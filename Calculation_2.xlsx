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ahaan\Desktop\Assignment 2\"/>
    </mc:Choice>
  </mc:AlternateContent>
  <xr:revisionPtr revIDLastSave="0" documentId="13_ncr:1_{FB5D41D0-BF5F-41CC-83E7-1B90650D5978}" xr6:coauthVersionLast="47" xr6:coauthVersionMax="47" xr10:uidLastSave="{00000000-0000-0000-0000-000000000000}"/>
  <bookViews>
    <workbookView xWindow="-120" yWindow="480" windowWidth="29040" windowHeight="15840" activeTab="9" xr2:uid="{00000000-000D-0000-FFFF-FFFF00000000}"/>
  </bookViews>
  <sheets>
    <sheet name="Question_1" sheetId="1" r:id="rId1"/>
    <sheet name="Question_2" sheetId="2" r:id="rId2"/>
    <sheet name="Question_3" sheetId="3" r:id="rId3"/>
    <sheet name="Question_4" sheetId="4" r:id="rId4"/>
    <sheet name="Question_5" sheetId="5" r:id="rId5"/>
    <sheet name="GBM_Apple" sheetId="8" r:id="rId6"/>
    <sheet name="Chart_Apple" sheetId="9" r:id="rId7"/>
    <sheet name="GBM_Tesla" sheetId="10" r:id="rId8"/>
    <sheet name="Chart_Tesla" sheetId="11" r:id="rId9"/>
    <sheet name="GBM_Multi" sheetId="15" r:id="rId10"/>
  </sheets>
  <externalReferences>
    <externalReference r:id="rId11"/>
    <externalReference r:id="rId12"/>
  </externalReferences>
  <definedNames>
    <definedName name="_xlchart.v1.0" hidden="1">Question_1!$C$1</definedName>
    <definedName name="_xlchart.v1.1" hidden="1">Question_1!$C$2:$C$252</definedName>
    <definedName name="_xlchart.v1.2" hidden="1">Question_1!$E$1</definedName>
    <definedName name="_xlchart.v1.3" hidden="1">Question_1!$E$2:$E$252</definedName>
    <definedName name="Chol" localSheetId="9">#REF!</definedName>
    <definedName name="Chol">#REF!</definedName>
    <definedName name="dt" localSheetId="7">GBM_Tesla!$B$7</definedName>
    <definedName name="dt">GBM_Apple!$B$7</definedName>
    <definedName name="Mu" localSheetId="7">GBM_Tesla!$B$4</definedName>
    <definedName name="Mu">GBM_Apple!$B$4</definedName>
    <definedName name="_xlnm.Print_Area" localSheetId="5">GBM_Apple!$A$1:$L$35</definedName>
    <definedName name="_xlnm.Print_Area" localSheetId="7">GBM_Tesla!$A$1:$L$35</definedName>
    <definedName name="Sigma" localSheetId="7">GBM_Tesla!$B$5</definedName>
    <definedName name="Sigma">GBM_Apple!$B$5</definedName>
    <definedName name="Szero" localSheetId="7">GBM_Tesla!$B$3</definedName>
    <definedName name="Szero">GBM_Apple!$B$3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5" l="1" a="1"/>
  <c r="E3" i="15"/>
  <c r="F3" i="15"/>
  <c r="K6" i="15" s="1"/>
  <c r="G3" i="15"/>
  <c r="L7" i="15" s="1"/>
  <c r="E4" i="15"/>
  <c r="F4" i="15"/>
  <c r="G4" i="15"/>
  <c r="P4" i="15" s="1"/>
  <c r="E5" i="15"/>
  <c r="F5" i="15"/>
  <c r="P5" i="15" s="1"/>
  <c r="G5" i="15"/>
  <c r="E6" i="15"/>
  <c r="F6" i="15"/>
  <c r="G6" i="15"/>
  <c r="E7" i="15"/>
  <c r="F7" i="15"/>
  <c r="G7" i="15"/>
  <c r="E8" i="15"/>
  <c r="F8" i="15"/>
  <c r="G8" i="15"/>
  <c r="P8" i="15"/>
  <c r="E9" i="15"/>
  <c r="F9" i="15"/>
  <c r="G9" i="15"/>
  <c r="E10" i="15"/>
  <c r="F10" i="15"/>
  <c r="G10" i="15"/>
  <c r="E11" i="15"/>
  <c r="P11" i="15" s="1"/>
  <c r="F11" i="15"/>
  <c r="G11" i="15"/>
  <c r="E12" i="15"/>
  <c r="F12" i="15"/>
  <c r="G12" i="15"/>
  <c r="E13" i="15"/>
  <c r="F13" i="15"/>
  <c r="G13" i="15"/>
  <c r="E14" i="15"/>
  <c r="P14" i="15" s="1"/>
  <c r="F14" i="15"/>
  <c r="G14" i="15"/>
  <c r="E15" i="15"/>
  <c r="F15" i="15"/>
  <c r="G15" i="15"/>
  <c r="E16" i="15"/>
  <c r="F16" i="15"/>
  <c r="G16" i="15"/>
  <c r="E17" i="15"/>
  <c r="F17" i="15"/>
  <c r="G17" i="15"/>
  <c r="E18" i="15"/>
  <c r="F18" i="15"/>
  <c r="G18" i="15"/>
  <c r="E19" i="15"/>
  <c r="F19" i="15"/>
  <c r="G19" i="15"/>
  <c r="E20" i="15"/>
  <c r="F20" i="15"/>
  <c r="G20" i="15"/>
  <c r="E21" i="15"/>
  <c r="F21" i="15"/>
  <c r="G21" i="15"/>
  <c r="E22" i="15"/>
  <c r="F22" i="15"/>
  <c r="G22" i="15"/>
  <c r="E23" i="15"/>
  <c r="F23" i="15"/>
  <c r="G23" i="15"/>
  <c r="E24" i="15"/>
  <c r="F24" i="15"/>
  <c r="G24" i="15"/>
  <c r="E25" i="15"/>
  <c r="F25" i="15"/>
  <c r="G25" i="15"/>
  <c r="E26" i="15"/>
  <c r="F26" i="15"/>
  <c r="G26" i="15"/>
  <c r="E27" i="15"/>
  <c r="F27" i="15"/>
  <c r="G27" i="15"/>
  <c r="E28" i="15"/>
  <c r="F28" i="15"/>
  <c r="G28" i="15"/>
  <c r="E29" i="15"/>
  <c r="F29" i="15"/>
  <c r="G29" i="15"/>
  <c r="E30" i="15"/>
  <c r="F30" i="15"/>
  <c r="G30" i="15"/>
  <c r="E31" i="15"/>
  <c r="F31" i="15"/>
  <c r="G31" i="15"/>
  <c r="E32" i="15"/>
  <c r="F32" i="15"/>
  <c r="P32" i="15" s="1"/>
  <c r="G32" i="15"/>
  <c r="E33" i="15"/>
  <c r="F33" i="15"/>
  <c r="G33" i="15"/>
  <c r="E34" i="15"/>
  <c r="P34" i="15" s="1"/>
  <c r="F34" i="15"/>
  <c r="G34" i="15"/>
  <c r="E35" i="15"/>
  <c r="F35" i="15"/>
  <c r="G35" i="15"/>
  <c r="E36" i="15"/>
  <c r="P36" i="15" s="1"/>
  <c r="F36" i="15"/>
  <c r="G36" i="15"/>
  <c r="E37" i="15"/>
  <c r="F37" i="15"/>
  <c r="G37" i="15"/>
  <c r="P37" i="15"/>
  <c r="E38" i="15"/>
  <c r="F38" i="15"/>
  <c r="G38" i="15"/>
  <c r="E39" i="15"/>
  <c r="F39" i="15"/>
  <c r="G39" i="15"/>
  <c r="E40" i="15"/>
  <c r="F40" i="15"/>
  <c r="G40" i="15"/>
  <c r="P40" i="15"/>
  <c r="E41" i="15"/>
  <c r="F41" i="15"/>
  <c r="G41" i="15"/>
  <c r="E42" i="15"/>
  <c r="F42" i="15"/>
  <c r="G42" i="15"/>
  <c r="E43" i="15"/>
  <c r="F43" i="15"/>
  <c r="G43" i="15"/>
  <c r="E44" i="15"/>
  <c r="F44" i="15"/>
  <c r="G44" i="15"/>
  <c r="P44" i="15"/>
  <c r="E45" i="15"/>
  <c r="F45" i="15"/>
  <c r="G45" i="15"/>
  <c r="E46" i="15"/>
  <c r="F46" i="15"/>
  <c r="G46" i="15"/>
  <c r="E47" i="15"/>
  <c r="P47" i="15" s="1"/>
  <c r="F47" i="15"/>
  <c r="G47" i="15"/>
  <c r="E48" i="15"/>
  <c r="F48" i="15"/>
  <c r="G48" i="15"/>
  <c r="E49" i="15"/>
  <c r="F49" i="15"/>
  <c r="G49" i="15"/>
  <c r="E50" i="15"/>
  <c r="F50" i="15"/>
  <c r="G50" i="15"/>
  <c r="E51" i="15"/>
  <c r="F51" i="15"/>
  <c r="G51" i="15"/>
  <c r="E52" i="15"/>
  <c r="F52" i="15"/>
  <c r="G52" i="15"/>
  <c r="E53" i="15"/>
  <c r="F53" i="15"/>
  <c r="G53" i="15"/>
  <c r="P53" i="15" s="1"/>
  <c r="E54" i="15"/>
  <c r="F54" i="15"/>
  <c r="G54" i="15"/>
  <c r="E55" i="15"/>
  <c r="F55" i="15"/>
  <c r="G55" i="15"/>
  <c r="E56" i="15"/>
  <c r="F56" i="15"/>
  <c r="G56" i="15"/>
  <c r="E57" i="15"/>
  <c r="F57" i="15"/>
  <c r="G57" i="15"/>
  <c r="E58" i="15"/>
  <c r="F58" i="15"/>
  <c r="G58" i="15"/>
  <c r="E59" i="15"/>
  <c r="F59" i="15"/>
  <c r="G59" i="15"/>
  <c r="E60" i="15"/>
  <c r="F60" i="15"/>
  <c r="G60" i="15"/>
  <c r="E61" i="15"/>
  <c r="F61" i="15"/>
  <c r="G61" i="15"/>
  <c r="E62" i="15"/>
  <c r="F62" i="15"/>
  <c r="G62" i="15"/>
  <c r="E63" i="15"/>
  <c r="F63" i="15"/>
  <c r="G63" i="15"/>
  <c r="E64" i="15"/>
  <c r="F64" i="15"/>
  <c r="G64" i="15"/>
  <c r="E65" i="15"/>
  <c r="F65" i="15"/>
  <c r="G65" i="15"/>
  <c r="E66" i="15"/>
  <c r="F66" i="15"/>
  <c r="G66" i="15"/>
  <c r="E67" i="15"/>
  <c r="F67" i="15"/>
  <c r="G67" i="15"/>
  <c r="P67" i="15"/>
  <c r="E68" i="15"/>
  <c r="F68" i="15"/>
  <c r="G68" i="15"/>
  <c r="E69" i="15"/>
  <c r="F69" i="15"/>
  <c r="G69" i="15"/>
  <c r="E70" i="15"/>
  <c r="P70" i="15" s="1"/>
  <c r="F70" i="15"/>
  <c r="G70" i="15"/>
  <c r="E71" i="15"/>
  <c r="F71" i="15"/>
  <c r="G71" i="15"/>
  <c r="E72" i="15"/>
  <c r="F72" i="15"/>
  <c r="G72" i="15"/>
  <c r="E73" i="15"/>
  <c r="F73" i="15"/>
  <c r="P73" i="15" s="1"/>
  <c r="G73" i="15"/>
  <c r="E74" i="15"/>
  <c r="F74" i="15"/>
  <c r="G74" i="15"/>
  <c r="E75" i="15"/>
  <c r="F75" i="15"/>
  <c r="G75" i="15"/>
  <c r="E76" i="15"/>
  <c r="F76" i="15"/>
  <c r="G76" i="15"/>
  <c r="E77" i="15"/>
  <c r="F77" i="15"/>
  <c r="G77" i="15"/>
  <c r="E78" i="15"/>
  <c r="F78" i="15"/>
  <c r="G78" i="15"/>
  <c r="E79" i="15"/>
  <c r="P79" i="15" s="1"/>
  <c r="F79" i="15"/>
  <c r="G79" i="15"/>
  <c r="E80" i="15"/>
  <c r="F80" i="15"/>
  <c r="G80" i="15"/>
  <c r="P80" i="15"/>
  <c r="E81" i="15"/>
  <c r="F81" i="15"/>
  <c r="G81" i="15"/>
  <c r="E82" i="15"/>
  <c r="F82" i="15"/>
  <c r="G82" i="15"/>
  <c r="E83" i="15"/>
  <c r="F83" i="15"/>
  <c r="G83" i="15"/>
  <c r="E84" i="15"/>
  <c r="F84" i="15"/>
  <c r="G84" i="15"/>
  <c r="E85" i="15"/>
  <c r="F85" i="15"/>
  <c r="G85" i="15"/>
  <c r="E86" i="15"/>
  <c r="P86" i="15" s="1"/>
  <c r="F86" i="15"/>
  <c r="G86" i="15"/>
  <c r="E87" i="15"/>
  <c r="F87" i="15"/>
  <c r="G87" i="15"/>
  <c r="E88" i="15"/>
  <c r="F88" i="15"/>
  <c r="G88" i="15"/>
  <c r="E89" i="15"/>
  <c r="F89" i="15"/>
  <c r="G89" i="15"/>
  <c r="E90" i="15"/>
  <c r="F90" i="15"/>
  <c r="G90" i="15"/>
  <c r="E91" i="15"/>
  <c r="F91" i="15"/>
  <c r="G91" i="15"/>
  <c r="E92" i="15" a="1"/>
  <c r="P56" i="15" l="1"/>
  <c r="P3" i="15"/>
  <c r="P10" i="15"/>
  <c r="P89" i="15"/>
  <c r="P17" i="15"/>
  <c r="P43" i="15"/>
  <c r="P20" i="15"/>
  <c r="P50" i="15"/>
  <c r="P35" i="15"/>
  <c r="P31" i="15"/>
  <c r="P69" i="15"/>
  <c r="P76" i="15"/>
  <c r="P83" i="15"/>
  <c r="K5" i="15"/>
  <c r="P71" i="15"/>
  <c r="P19" i="15"/>
  <c r="P82" i="15"/>
  <c r="P49" i="15"/>
  <c r="P16" i="15"/>
  <c r="P23" i="15"/>
  <c r="M7" i="15"/>
  <c r="P38" i="15"/>
  <c r="P75" i="15"/>
  <c r="P64" i="15"/>
  <c r="P12" i="15"/>
  <c r="P85" i="15"/>
  <c r="P52" i="15"/>
  <c r="P74" i="15"/>
  <c r="P59" i="15"/>
  <c r="P55" i="15"/>
  <c r="P48" i="15"/>
  <c r="P41" i="15"/>
  <c r="P88" i="15"/>
  <c r="P26" i="15"/>
  <c r="P22" i="15"/>
  <c r="P91" i="15"/>
  <c r="P84" i="15"/>
  <c r="P77" i="15"/>
  <c r="P62" i="15"/>
  <c r="P58" i="15"/>
  <c r="P33" i="15"/>
  <c r="P29" i="15"/>
  <c r="P25" i="15"/>
  <c r="P7" i="15"/>
  <c r="P65" i="15"/>
  <c r="P61" i="15"/>
  <c r="P72" i="15"/>
  <c r="P68" i="15"/>
  <c r="P46" i="15"/>
  <c r="P39" i="15"/>
  <c r="P28" i="15"/>
  <c r="P13" i="15"/>
  <c r="P87" i="15"/>
  <c r="P51" i="15"/>
  <c r="P90" i="15"/>
  <c r="P18" i="15"/>
  <c r="P60" i="15"/>
  <c r="P24" i="15"/>
  <c r="P57" i="15"/>
  <c r="P21" i="15"/>
  <c r="P63" i="15"/>
  <c r="P27" i="15"/>
  <c r="P66" i="15"/>
  <c r="P30" i="15"/>
  <c r="P54" i="15"/>
  <c r="P15" i="15"/>
  <c r="P78" i="15"/>
  <c r="P42" i="15"/>
  <c r="P81" i="15"/>
  <c r="P45" i="15"/>
  <c r="P9" i="15"/>
  <c r="P6" i="15"/>
  <c r="M2" i="15"/>
  <c r="M1" i="15"/>
  <c r="L6" i="15"/>
  <c r="L2" i="15"/>
  <c r="L1" i="15"/>
  <c r="K7" i="15"/>
  <c r="K2" i="15"/>
  <c r="K1" i="15"/>
  <c r="E92" i="15"/>
  <c r="P92" i="15" s="1"/>
  <c r="F92" i="15"/>
  <c r="G92" i="15"/>
  <c r="E93" i="15" a="1"/>
  <c r="E93" i="15" l="1"/>
  <c r="F93" i="15"/>
  <c r="G93" i="15"/>
  <c r="E94" i="15" a="1"/>
  <c r="P93" i="15" l="1"/>
  <c r="E94" i="15"/>
  <c r="F94" i="15"/>
  <c r="G94" i="15"/>
  <c r="E95" i="15" a="1"/>
  <c r="P94" i="15" l="1"/>
  <c r="E95" i="15"/>
  <c r="F95" i="15"/>
  <c r="G95" i="15"/>
  <c r="E96" i="15" a="1"/>
  <c r="P95" i="15" l="1"/>
  <c r="E96" i="15"/>
  <c r="F96" i="15"/>
  <c r="G96" i="15"/>
  <c r="E97" i="15" a="1"/>
  <c r="P96" i="15" l="1"/>
  <c r="E97" i="15"/>
  <c r="F97" i="15"/>
  <c r="G97" i="15"/>
  <c r="E98" i="15" a="1"/>
  <c r="P97" i="15" l="1"/>
  <c r="E98" i="15"/>
  <c r="F98" i="15"/>
  <c r="G98" i="15"/>
  <c r="E99" i="15" a="1"/>
  <c r="P98" i="15" l="1"/>
  <c r="E99" i="15"/>
  <c r="F99" i="15"/>
  <c r="G99" i="15"/>
  <c r="E100" i="15" a="1"/>
  <c r="P99" i="15" l="1"/>
  <c r="E100" i="15"/>
  <c r="P100" i="15" s="1"/>
  <c r="F100" i="15"/>
  <c r="G100" i="15"/>
  <c r="E101" i="15" a="1"/>
  <c r="E101" i="15"/>
  <c r="F101" i="15"/>
  <c r="G101" i="15"/>
  <c r="E102" i="15" a="1"/>
  <c r="P101" i="15" l="1"/>
  <c r="E102" i="15"/>
  <c r="F102" i="15"/>
  <c r="G102" i="15"/>
  <c r="E103" i="15" a="1"/>
  <c r="P102" i="15" l="1"/>
  <c r="E103" i="15"/>
  <c r="P103" i="15" s="1"/>
  <c r="F103" i="15"/>
  <c r="G103" i="15"/>
  <c r="E104" i="15" a="1"/>
  <c r="E104" i="15"/>
  <c r="F104" i="15"/>
  <c r="G104" i="15"/>
  <c r="E105" i="15" a="1"/>
  <c r="P104" i="15" l="1"/>
  <c r="E105" i="15"/>
  <c r="F105" i="15"/>
  <c r="G105" i="15"/>
  <c r="P105" i="15"/>
  <c r="E106" i="15" a="1"/>
  <c r="E106" i="15"/>
  <c r="F106" i="15"/>
  <c r="G106" i="15"/>
  <c r="E107" i="15" a="1"/>
  <c r="P106" i="15" l="1"/>
  <c r="E107" i="15"/>
  <c r="F107" i="15"/>
  <c r="G107" i="15"/>
  <c r="E108" i="15" a="1"/>
  <c r="P107" i="15" l="1"/>
  <c r="E108" i="15"/>
  <c r="F108" i="15"/>
  <c r="G108" i="15"/>
  <c r="E109" i="15" a="1"/>
  <c r="P108" i="15" l="1"/>
  <c r="E109" i="15"/>
  <c r="F109" i="15"/>
  <c r="G109" i="15"/>
  <c r="P109" i="15"/>
  <c r="E110" i="15" a="1"/>
  <c r="E110" i="15"/>
  <c r="F110" i="15"/>
  <c r="G110" i="15"/>
  <c r="P110" i="15"/>
  <c r="E111" i="15" a="1"/>
  <c r="E111" i="15"/>
  <c r="F111" i="15"/>
  <c r="G111" i="15"/>
  <c r="E112" i="15" a="1"/>
  <c r="P111" i="15" l="1"/>
  <c r="E112" i="15"/>
  <c r="F112" i="15"/>
  <c r="G112" i="15"/>
  <c r="E113" i="15" a="1"/>
  <c r="P112" i="15" l="1"/>
  <c r="E113" i="15"/>
  <c r="F113" i="15"/>
  <c r="G113" i="15"/>
  <c r="P113" i="15"/>
  <c r="E114" i="15" a="1"/>
  <c r="E114" i="15"/>
  <c r="F114" i="15"/>
  <c r="G114" i="15"/>
  <c r="P114" i="15"/>
  <c r="E115" i="15" a="1"/>
  <c r="E115" i="15"/>
  <c r="F115" i="15"/>
  <c r="G115" i="15"/>
  <c r="P115" i="15"/>
  <c r="E116" i="15" a="1"/>
  <c r="E116" i="15"/>
  <c r="F116" i="15"/>
  <c r="G116" i="15"/>
  <c r="P116" i="15"/>
  <c r="E117" i="15" a="1"/>
  <c r="E117" i="15"/>
  <c r="F117" i="15"/>
  <c r="G117" i="15"/>
  <c r="P117" i="15"/>
  <c r="E118" i="15" a="1"/>
  <c r="E118" i="15"/>
  <c r="F118" i="15"/>
  <c r="G118" i="15"/>
  <c r="P118" i="15"/>
  <c r="E119" i="15" a="1"/>
  <c r="E119" i="15"/>
  <c r="F119" i="15"/>
  <c r="G119" i="15"/>
  <c r="P119" i="15"/>
  <c r="E120" i="15" a="1"/>
  <c r="E120" i="15"/>
  <c r="F120" i="15"/>
  <c r="G120" i="15"/>
  <c r="P120" i="15"/>
  <c r="E121" i="15" a="1"/>
  <c r="E121" i="15"/>
  <c r="F121" i="15"/>
  <c r="G121" i="15"/>
  <c r="P121" i="15"/>
  <c r="E122" i="15" a="1"/>
  <c r="E122" i="15"/>
  <c r="F122" i="15"/>
  <c r="G122" i="15"/>
  <c r="P122" i="15"/>
  <c r="E123" i="15" a="1"/>
  <c r="E123" i="15"/>
  <c r="F123" i="15"/>
  <c r="G123" i="15"/>
  <c r="P123" i="15"/>
  <c r="E124" i="15" a="1"/>
  <c r="E124" i="15"/>
  <c r="F124" i="15"/>
  <c r="G124" i="15"/>
  <c r="P124" i="15"/>
  <c r="E125" i="15" a="1"/>
  <c r="E125" i="15"/>
  <c r="F125" i="15"/>
  <c r="G125" i="15"/>
  <c r="P125" i="15"/>
  <c r="E126" i="15" a="1"/>
  <c r="E126" i="15"/>
  <c r="F126" i="15"/>
  <c r="G126" i="15"/>
  <c r="P126" i="15"/>
  <c r="E127" i="15" a="1"/>
  <c r="E127" i="15"/>
  <c r="F127" i="15"/>
  <c r="G127" i="15"/>
  <c r="P127" i="15"/>
  <c r="E128" i="15" a="1"/>
  <c r="E128" i="15"/>
  <c r="F128" i="15"/>
  <c r="G128" i="15"/>
  <c r="P128" i="15"/>
  <c r="E129" i="15" a="1"/>
  <c r="E129" i="15"/>
  <c r="F129" i="15"/>
  <c r="G129" i="15"/>
  <c r="E130" i="15" a="1"/>
  <c r="P129" i="15" l="1"/>
  <c r="E130" i="15"/>
  <c r="F130" i="15"/>
  <c r="G130" i="15"/>
  <c r="P130" i="15"/>
  <c r="E131" i="15" a="1"/>
  <c r="E131" i="15"/>
  <c r="F131" i="15"/>
  <c r="G131" i="15"/>
  <c r="P131" i="15"/>
  <c r="E132" i="15" a="1"/>
  <c r="E132" i="15"/>
  <c r="F132" i="15"/>
  <c r="G132" i="15"/>
  <c r="P132" i="15"/>
  <c r="E133" i="15" a="1"/>
  <c r="E133" i="15"/>
  <c r="F133" i="15"/>
  <c r="G133" i="15"/>
  <c r="P133" i="15"/>
  <c r="E134" i="15" a="1"/>
  <c r="E134" i="15"/>
  <c r="F134" i="15"/>
  <c r="G134" i="15"/>
  <c r="P134" i="15"/>
  <c r="E135" i="15" a="1"/>
  <c r="E135" i="15"/>
  <c r="F135" i="15"/>
  <c r="G135" i="15"/>
  <c r="E136" i="15" a="1"/>
  <c r="P135" i="15" l="1"/>
  <c r="E136" i="15"/>
  <c r="F136" i="15"/>
  <c r="G136" i="15"/>
  <c r="E137" i="15" a="1"/>
  <c r="P136" i="15" l="1"/>
  <c r="E137" i="15"/>
  <c r="F137" i="15"/>
  <c r="G137" i="15"/>
  <c r="P137" i="15"/>
  <c r="E138" i="15" a="1"/>
  <c r="E138" i="15"/>
  <c r="F138" i="15"/>
  <c r="G138" i="15"/>
  <c r="P138" i="15"/>
  <c r="E139" i="15" a="1"/>
  <c r="E139" i="15"/>
  <c r="F139" i="15"/>
  <c r="G139" i="15"/>
  <c r="P139" i="15"/>
  <c r="E140" i="15" a="1"/>
  <c r="E140" i="15"/>
  <c r="F140" i="15"/>
  <c r="G140" i="15"/>
  <c r="P140" i="15"/>
  <c r="E141" i="15" a="1"/>
  <c r="E141" i="15"/>
  <c r="F141" i="15"/>
  <c r="G141" i="15"/>
  <c r="P141" i="15"/>
  <c r="E142" i="15" a="1"/>
  <c r="E142" i="15"/>
  <c r="F142" i="15"/>
  <c r="G142" i="15"/>
  <c r="P142" i="15"/>
  <c r="E143" i="15" a="1"/>
  <c r="E143" i="15"/>
  <c r="F143" i="15"/>
  <c r="G143" i="15"/>
  <c r="P143" i="15"/>
  <c r="E144" i="15" a="1"/>
  <c r="E144" i="15"/>
  <c r="F144" i="15"/>
  <c r="G144" i="15"/>
  <c r="P144" i="15"/>
  <c r="E145" i="15" a="1"/>
  <c r="E145" i="15"/>
  <c r="F145" i="15"/>
  <c r="G145" i="15"/>
  <c r="P145" i="15"/>
  <c r="E146" i="15" a="1"/>
  <c r="E146" i="15"/>
  <c r="F146" i="15"/>
  <c r="G146" i="15"/>
  <c r="P146" i="15"/>
  <c r="E147" i="15" a="1"/>
  <c r="E147" i="15"/>
  <c r="F147" i="15"/>
  <c r="G147" i="15"/>
  <c r="P147" i="15"/>
  <c r="E148" i="15" a="1"/>
  <c r="E148" i="15"/>
  <c r="F148" i="15"/>
  <c r="G148" i="15"/>
  <c r="P148" i="15"/>
  <c r="E149" i="15" a="1"/>
  <c r="E149" i="15"/>
  <c r="F149" i="15"/>
  <c r="G149" i="15"/>
  <c r="P149" i="15"/>
  <c r="E150" i="15" a="1"/>
  <c r="E150" i="15"/>
  <c r="F150" i="15"/>
  <c r="G150" i="15"/>
  <c r="P150" i="15"/>
  <c r="E151" i="15" a="1"/>
  <c r="E151" i="15"/>
  <c r="F151" i="15"/>
  <c r="G151" i="15"/>
  <c r="P151" i="15"/>
  <c r="E152" i="15" a="1"/>
  <c r="E152" i="15"/>
  <c r="F152" i="15"/>
  <c r="G152" i="15"/>
  <c r="P152" i="15"/>
  <c r="E153" i="15" a="1"/>
  <c r="E153" i="15"/>
  <c r="F153" i="15"/>
  <c r="G153" i="15"/>
  <c r="P153" i="15"/>
  <c r="E154" i="15" a="1"/>
  <c r="E154" i="15"/>
  <c r="F154" i="15"/>
  <c r="G154" i="15"/>
  <c r="P154" i="15"/>
  <c r="E155" i="15" a="1"/>
  <c r="E155" i="15"/>
  <c r="F155" i="15"/>
  <c r="G155" i="15"/>
  <c r="P155" i="15"/>
  <c r="E156" i="15" a="1"/>
  <c r="E156" i="15"/>
  <c r="F156" i="15"/>
  <c r="G156" i="15"/>
  <c r="P156" i="15"/>
  <c r="E157" i="15" a="1"/>
  <c r="E157" i="15"/>
  <c r="F157" i="15"/>
  <c r="G157" i="15"/>
  <c r="P157" i="15"/>
  <c r="E158" i="15" a="1"/>
  <c r="E158" i="15"/>
  <c r="F158" i="15"/>
  <c r="G158" i="15"/>
  <c r="P158" i="15"/>
  <c r="E159" i="15" a="1"/>
  <c r="E159" i="15"/>
  <c r="F159" i="15"/>
  <c r="G159" i="15"/>
  <c r="P159" i="15"/>
  <c r="E160" i="15" a="1"/>
  <c r="E160" i="15"/>
  <c r="F160" i="15"/>
  <c r="G160" i="15"/>
  <c r="P160" i="15"/>
  <c r="E161" i="15" a="1"/>
  <c r="E161" i="15"/>
  <c r="F161" i="15"/>
  <c r="G161" i="15"/>
  <c r="P161" i="15"/>
  <c r="E162" i="15" a="1"/>
  <c r="E162" i="15"/>
  <c r="F162" i="15"/>
  <c r="G162" i="15"/>
  <c r="P162" i="15"/>
  <c r="E163" i="15" a="1"/>
  <c r="E163" i="15"/>
  <c r="F163" i="15"/>
  <c r="G163" i="15"/>
  <c r="P163" i="15"/>
  <c r="E164" i="15" a="1"/>
  <c r="E164" i="15"/>
  <c r="F164" i="15"/>
  <c r="G164" i="15"/>
  <c r="P164" i="15"/>
  <c r="E165" i="15" a="1"/>
  <c r="E165" i="15"/>
  <c r="F165" i="15"/>
  <c r="G165" i="15"/>
  <c r="P165" i="15"/>
  <c r="E166" i="15" a="1"/>
  <c r="E166" i="15"/>
  <c r="F166" i="15"/>
  <c r="G166" i="15"/>
  <c r="P166" i="15"/>
  <c r="E167" i="15" a="1"/>
  <c r="E167" i="15"/>
  <c r="F167" i="15"/>
  <c r="G167" i="15"/>
  <c r="P167" i="15"/>
  <c r="E168" i="15" a="1"/>
  <c r="E168" i="15"/>
  <c r="F168" i="15"/>
  <c r="G168" i="15"/>
  <c r="P168" i="15"/>
  <c r="E169" i="15" a="1"/>
  <c r="E169" i="15"/>
  <c r="F169" i="15"/>
  <c r="G169" i="15"/>
  <c r="P169" i="15"/>
  <c r="E170" i="15" a="1"/>
  <c r="E170" i="15"/>
  <c r="F170" i="15"/>
  <c r="G170" i="15"/>
  <c r="P170" i="15"/>
  <c r="E171" i="15" a="1"/>
  <c r="E171" i="15"/>
  <c r="F171" i="15"/>
  <c r="G171" i="15"/>
  <c r="P171" i="15"/>
  <c r="E172" i="15" a="1"/>
  <c r="E172" i="15"/>
  <c r="F172" i="15"/>
  <c r="G172" i="15"/>
  <c r="P172" i="15"/>
  <c r="E173" i="15" a="1"/>
  <c r="E173" i="15"/>
  <c r="F173" i="15"/>
  <c r="G173" i="15"/>
  <c r="P173" i="15"/>
  <c r="E174" i="15" a="1"/>
  <c r="E174" i="15"/>
  <c r="F174" i="15"/>
  <c r="G174" i="15"/>
  <c r="P174" i="15"/>
  <c r="E175" i="15" a="1"/>
  <c r="E175" i="15"/>
  <c r="F175" i="15"/>
  <c r="G175" i="15"/>
  <c r="P175" i="15"/>
  <c r="E176" i="15" a="1"/>
  <c r="E176" i="15"/>
  <c r="F176" i="15"/>
  <c r="G176" i="15"/>
  <c r="P176" i="15"/>
  <c r="E177" i="15" a="1"/>
  <c r="E177" i="15"/>
  <c r="F177" i="15"/>
  <c r="G177" i="15"/>
  <c r="P177" i="15"/>
  <c r="E178" i="15" a="1"/>
  <c r="E178" i="15"/>
  <c r="F178" i="15"/>
  <c r="G178" i="15"/>
  <c r="P178" i="15"/>
  <c r="E179" i="15" a="1"/>
  <c r="E179" i="15"/>
  <c r="F179" i="15"/>
  <c r="G179" i="15"/>
  <c r="P179" i="15"/>
  <c r="E180" i="15" a="1"/>
  <c r="E180" i="15"/>
  <c r="F180" i="15"/>
  <c r="G180" i="15"/>
  <c r="P180" i="15"/>
  <c r="E181" i="15" a="1"/>
  <c r="E181" i="15"/>
  <c r="F181" i="15"/>
  <c r="G181" i="15"/>
  <c r="P181" i="15"/>
  <c r="E182" i="15" a="1"/>
  <c r="E182" i="15"/>
  <c r="F182" i="15"/>
  <c r="G182" i="15"/>
  <c r="P182" i="15"/>
  <c r="E183" i="15" a="1"/>
  <c r="E183" i="15"/>
  <c r="F183" i="15"/>
  <c r="G183" i="15"/>
  <c r="P183" i="15"/>
  <c r="E184" i="15" a="1"/>
  <c r="E184" i="15"/>
  <c r="F184" i="15"/>
  <c r="G184" i="15"/>
  <c r="P184" i="15"/>
  <c r="E185" i="15" a="1"/>
  <c r="E185" i="15"/>
  <c r="F185" i="15"/>
  <c r="G185" i="15"/>
  <c r="P185" i="15"/>
  <c r="E186" i="15" a="1"/>
  <c r="E186" i="15"/>
  <c r="F186" i="15"/>
  <c r="G186" i="15"/>
  <c r="P186" i="15"/>
  <c r="E187" i="15" a="1"/>
  <c r="E187" i="15"/>
  <c r="F187" i="15"/>
  <c r="G187" i="15"/>
  <c r="P187" i="15"/>
  <c r="E188" i="15" a="1"/>
  <c r="E188" i="15"/>
  <c r="F188" i="15"/>
  <c r="G188" i="15"/>
  <c r="P188" i="15"/>
  <c r="E189" i="15" a="1"/>
  <c r="E189" i="15"/>
  <c r="F189" i="15"/>
  <c r="G189" i="15"/>
  <c r="P189" i="15"/>
  <c r="E190" i="15" a="1"/>
  <c r="E190" i="15"/>
  <c r="F190" i="15"/>
  <c r="G190" i="15"/>
  <c r="P190" i="15"/>
  <c r="E191" i="15" a="1"/>
  <c r="E191" i="15"/>
  <c r="F191" i="15"/>
  <c r="G191" i="15"/>
  <c r="P191" i="15"/>
  <c r="E192" i="15" a="1"/>
  <c r="E192" i="15"/>
  <c r="F192" i="15"/>
  <c r="G192" i="15"/>
  <c r="P192" i="15"/>
  <c r="E193" i="15" a="1"/>
  <c r="E193" i="15"/>
  <c r="F193" i="15"/>
  <c r="G193" i="15"/>
  <c r="P193" i="15"/>
  <c r="E194" i="15" a="1"/>
  <c r="E194" i="15"/>
  <c r="F194" i="15"/>
  <c r="G194" i="15"/>
  <c r="P194" i="15"/>
  <c r="E195" i="15" a="1"/>
  <c r="E195" i="15"/>
  <c r="F195" i="15"/>
  <c r="G195" i="15"/>
  <c r="P195" i="15"/>
  <c r="E196" i="15" a="1"/>
  <c r="E196" i="15"/>
  <c r="F196" i="15"/>
  <c r="G196" i="15"/>
  <c r="P196" i="15"/>
  <c r="E197" i="15" a="1"/>
  <c r="E197" i="15"/>
  <c r="F197" i="15"/>
  <c r="G197" i="15"/>
  <c r="P197" i="15"/>
  <c r="E198" i="15" a="1"/>
  <c r="E198" i="15"/>
  <c r="F198" i="15"/>
  <c r="G198" i="15"/>
  <c r="P198" i="15"/>
  <c r="E199" i="15" a="1"/>
  <c r="E199" i="15"/>
  <c r="F199" i="15"/>
  <c r="G199" i="15"/>
  <c r="P199" i="15"/>
  <c r="E200" i="15" a="1"/>
  <c r="E200" i="15"/>
  <c r="F200" i="15"/>
  <c r="G200" i="15"/>
  <c r="P200" i="15"/>
  <c r="E201" i="15" a="1"/>
  <c r="E201" i="15"/>
  <c r="F201" i="15"/>
  <c r="G201" i="15"/>
  <c r="P201" i="15"/>
  <c r="E202" i="15" a="1"/>
  <c r="E202" i="15"/>
  <c r="F202" i="15"/>
  <c r="G202" i="15"/>
  <c r="P202" i="15"/>
  <c r="E203" i="15" a="1"/>
  <c r="E203" i="15"/>
  <c r="F203" i="15"/>
  <c r="G203" i="15"/>
  <c r="P203" i="15"/>
  <c r="E204" i="15" a="1"/>
  <c r="E204" i="15"/>
  <c r="F204" i="15"/>
  <c r="G204" i="15"/>
  <c r="P204" i="15"/>
  <c r="E205" i="15" a="1"/>
  <c r="E205" i="15"/>
  <c r="F205" i="15"/>
  <c r="G205" i="15"/>
  <c r="P205" i="15"/>
  <c r="E206" i="15" a="1"/>
  <c r="E206" i="15"/>
  <c r="F206" i="15"/>
  <c r="G206" i="15"/>
  <c r="P206" i="15"/>
  <c r="E207" i="15" a="1"/>
  <c r="E207" i="15"/>
  <c r="F207" i="15"/>
  <c r="G207" i="15"/>
  <c r="P207" i="15"/>
  <c r="E208" i="15" a="1"/>
  <c r="E208" i="15"/>
  <c r="F208" i="15"/>
  <c r="G208" i="15"/>
  <c r="P208" i="15"/>
  <c r="E209" i="15" a="1"/>
  <c r="E209" i="15"/>
  <c r="F209" i="15"/>
  <c r="G209" i="15"/>
  <c r="P209" i="15"/>
  <c r="E210" i="15" a="1"/>
  <c r="E210" i="15"/>
  <c r="F210" i="15"/>
  <c r="G210" i="15"/>
  <c r="P210" i="15"/>
  <c r="E211" i="15" a="1"/>
  <c r="E211" i="15"/>
  <c r="F211" i="15"/>
  <c r="G211" i="15"/>
  <c r="P211" i="15"/>
  <c r="E212" i="15" a="1"/>
  <c r="E212" i="15"/>
  <c r="F212" i="15"/>
  <c r="G212" i="15"/>
  <c r="P212" i="15"/>
  <c r="E213" i="15" a="1"/>
  <c r="E213" i="15"/>
  <c r="F213" i="15"/>
  <c r="G213" i="15"/>
  <c r="P213" i="15"/>
  <c r="E214" i="15" a="1"/>
  <c r="E214" i="15"/>
  <c r="F214" i="15"/>
  <c r="G214" i="15"/>
  <c r="P214" i="15"/>
  <c r="E215" i="15" a="1"/>
  <c r="E215" i="15"/>
  <c r="F215" i="15"/>
  <c r="G215" i="15"/>
  <c r="P215" i="15"/>
  <c r="E216" i="15" a="1"/>
  <c r="E216" i="15"/>
  <c r="F216" i="15"/>
  <c r="G216" i="15"/>
  <c r="P216" i="15"/>
  <c r="E217" i="15" a="1"/>
  <c r="E217" i="15"/>
  <c r="F217" i="15"/>
  <c r="G217" i="15"/>
  <c r="P217" i="15"/>
  <c r="E218" i="15" a="1"/>
  <c r="E218" i="15"/>
  <c r="F218" i="15"/>
  <c r="G218" i="15"/>
  <c r="P218" i="15"/>
  <c r="E219" i="15" a="1"/>
  <c r="E219" i="15"/>
  <c r="F219" i="15"/>
  <c r="G219" i="15"/>
  <c r="P219" i="15"/>
  <c r="E220" i="15" a="1"/>
  <c r="E220" i="15"/>
  <c r="F220" i="15"/>
  <c r="G220" i="15"/>
  <c r="P220" i="15"/>
  <c r="E221" i="15" a="1"/>
  <c r="E221" i="15"/>
  <c r="F221" i="15"/>
  <c r="G221" i="15"/>
  <c r="P221" i="15"/>
  <c r="E222" i="15" a="1"/>
  <c r="E222" i="15"/>
  <c r="F222" i="15"/>
  <c r="G222" i="15"/>
  <c r="P222" i="15"/>
  <c r="E223" i="15" a="1"/>
  <c r="E223" i="15"/>
  <c r="F223" i="15"/>
  <c r="G223" i="15"/>
  <c r="P223" i="15"/>
  <c r="E224" i="15" a="1"/>
  <c r="E224" i="15"/>
  <c r="F224" i="15"/>
  <c r="G224" i="15"/>
  <c r="P224" i="15"/>
  <c r="E225" i="15" a="1"/>
  <c r="E225" i="15"/>
  <c r="F225" i="15"/>
  <c r="G225" i="15"/>
  <c r="P225" i="15"/>
  <c r="E226" i="15" a="1"/>
  <c r="E226" i="15"/>
  <c r="F226" i="15"/>
  <c r="G226" i="15"/>
  <c r="P226" i="15"/>
  <c r="E227" i="15" a="1"/>
  <c r="E227" i="15"/>
  <c r="F227" i="15"/>
  <c r="G227" i="15"/>
  <c r="P227" i="15"/>
  <c r="E228" i="15" a="1"/>
  <c r="E228" i="15"/>
  <c r="F228" i="15"/>
  <c r="G228" i="15"/>
  <c r="P228" i="15"/>
  <c r="E229" i="15" a="1"/>
  <c r="E229" i="15"/>
  <c r="F229" i="15"/>
  <c r="G229" i="15"/>
  <c r="P229" i="15"/>
  <c r="E230" i="15" a="1"/>
  <c r="E230" i="15"/>
  <c r="F230" i="15"/>
  <c r="G230" i="15"/>
  <c r="P230" i="15"/>
  <c r="E231" i="15" a="1"/>
  <c r="E231" i="15"/>
  <c r="F231" i="15"/>
  <c r="G231" i="15"/>
  <c r="P231" i="15"/>
  <c r="E232" i="15" a="1"/>
  <c r="E232" i="15"/>
  <c r="F232" i="15"/>
  <c r="G232" i="15"/>
  <c r="P232" i="15"/>
  <c r="E233" i="15" a="1"/>
  <c r="E233" i="15"/>
  <c r="F233" i="15"/>
  <c r="G233" i="15"/>
  <c r="P233" i="15"/>
  <c r="E234" i="15" a="1"/>
  <c r="E234" i="15"/>
  <c r="F234" i="15"/>
  <c r="G234" i="15"/>
  <c r="P234" i="15"/>
  <c r="E235" i="15" a="1"/>
  <c r="E235" i="15"/>
  <c r="F235" i="15"/>
  <c r="G235" i="15"/>
  <c r="P235" i="15"/>
  <c r="E236" i="15" a="1"/>
  <c r="E236" i="15"/>
  <c r="F236" i="15"/>
  <c r="G236" i="15"/>
  <c r="P236" i="15"/>
  <c r="E237" i="15" a="1"/>
  <c r="E237" i="15"/>
  <c r="F237" i="15"/>
  <c r="G237" i="15"/>
  <c r="P237" i="15"/>
  <c r="E238" i="15" a="1"/>
  <c r="E238" i="15"/>
  <c r="F238" i="15"/>
  <c r="G238" i="15"/>
  <c r="P238" i="15"/>
  <c r="E239" i="15" a="1"/>
  <c r="E239" i="15"/>
  <c r="F239" i="15"/>
  <c r="G239" i="15"/>
  <c r="P239" i="15"/>
  <c r="E240" i="15" a="1"/>
  <c r="E240" i="15"/>
  <c r="F240" i="15"/>
  <c r="G240" i="15"/>
  <c r="P240" i="15"/>
  <c r="E241" i="15" a="1"/>
  <c r="E241" i="15"/>
  <c r="F241" i="15"/>
  <c r="G241" i="15"/>
  <c r="P241" i="15"/>
  <c r="E242" i="15" a="1"/>
  <c r="E242" i="15"/>
  <c r="F242" i="15"/>
  <c r="G242" i="15"/>
  <c r="P242" i="15"/>
  <c r="E243" i="15" a="1"/>
  <c r="E243" i="15"/>
  <c r="F243" i="15"/>
  <c r="G243" i="15"/>
  <c r="P243" i="15"/>
  <c r="E244" i="15" a="1"/>
  <c r="E244" i="15"/>
  <c r="F244" i="15"/>
  <c r="G244" i="15"/>
  <c r="P244" i="15"/>
  <c r="E245" i="15" a="1"/>
  <c r="E245" i="15"/>
  <c r="F245" i="15"/>
  <c r="G245" i="15"/>
  <c r="P245" i="15"/>
  <c r="E246" i="15" a="1"/>
  <c r="E246" i="15"/>
  <c r="F246" i="15"/>
  <c r="G246" i="15"/>
  <c r="P246" i="15"/>
  <c r="E247" i="15" a="1"/>
  <c r="E247" i="15"/>
  <c r="F247" i="15"/>
  <c r="G247" i="15"/>
  <c r="P247" i="15"/>
  <c r="E248" i="15" a="1"/>
  <c r="E248" i="15"/>
  <c r="F248" i="15"/>
  <c r="G248" i="15"/>
  <c r="P248" i="15"/>
  <c r="E249" i="15" a="1"/>
  <c r="E249" i="15"/>
  <c r="F249" i="15"/>
  <c r="G249" i="15"/>
  <c r="P249" i="15"/>
  <c r="E250" i="15" a="1"/>
  <c r="E250" i="15"/>
  <c r="F250" i="15"/>
  <c r="G250" i="15"/>
  <c r="P250" i="15"/>
  <c r="E251" i="15" a="1"/>
  <c r="E251" i="15"/>
  <c r="F251" i="15"/>
  <c r="G251" i="15"/>
  <c r="P251" i="15"/>
  <c r="E252" i="15" a="1"/>
  <c r="E252" i="15"/>
  <c r="F252" i="15"/>
  <c r="G252" i="15"/>
  <c r="P252" i="15"/>
  <c r="E253" i="15" a="1"/>
  <c r="E253" i="15"/>
  <c r="F253" i="15"/>
  <c r="G253" i="15"/>
  <c r="P253" i="15"/>
  <c r="E254" i="15" a="1"/>
  <c r="E254" i="15"/>
  <c r="F254" i="15"/>
  <c r="G254" i="15"/>
  <c r="P254" i="15"/>
  <c r="E255" i="15" a="1"/>
  <c r="E255" i="15"/>
  <c r="F255" i="15"/>
  <c r="G255" i="15"/>
  <c r="P255" i="15"/>
  <c r="E256" i="15" a="1"/>
  <c r="E256" i="15"/>
  <c r="P256" i="15" s="1"/>
  <c r="F256" i="15"/>
  <c r="G256" i="15"/>
  <c r="E257" i="15" a="1"/>
  <c r="E257" i="15"/>
  <c r="P257" i="15" s="1"/>
  <c r="F257" i="15"/>
  <c r="G257" i="15"/>
  <c r="E258" i="15" a="1"/>
  <c r="E258" i="15"/>
  <c r="P258" i="15" s="1"/>
  <c r="F258" i="15"/>
  <c r="G258" i="15"/>
  <c r="E259" i="15" a="1"/>
  <c r="E259" i="15"/>
  <c r="P259" i="15" s="1"/>
  <c r="F259" i="15"/>
  <c r="G259" i="15"/>
  <c r="E260" i="15" a="1"/>
  <c r="E260" i="15"/>
  <c r="P260" i="15" s="1"/>
  <c r="F260" i="15"/>
  <c r="G260" i="15"/>
  <c r="E261" i="15" a="1"/>
  <c r="E261" i="15"/>
  <c r="P261" i="15" s="1"/>
  <c r="F261" i="15"/>
  <c r="G261" i="15"/>
  <c r="E262" i="15" a="1"/>
  <c r="E262" i="15"/>
  <c r="P262" i="15" s="1"/>
  <c r="F262" i="15"/>
  <c r="G262" i="15"/>
  <c r="E263" i="15" a="1"/>
  <c r="E263" i="15"/>
  <c r="P263" i="15" s="1"/>
  <c r="F263" i="15"/>
  <c r="G263" i="15"/>
  <c r="E264" i="15" a="1"/>
  <c r="E264" i="15"/>
  <c r="P264" i="15" s="1"/>
  <c r="F264" i="15"/>
  <c r="G264" i="15"/>
  <c r="E265" i="15" a="1"/>
  <c r="E265" i="15"/>
  <c r="F265" i="15"/>
  <c r="G265" i="15"/>
  <c r="P265" i="15"/>
  <c r="E266" i="15" a="1"/>
  <c r="E266" i="15"/>
  <c r="F266" i="15"/>
  <c r="G266" i="15"/>
  <c r="P266" i="15"/>
  <c r="E267" i="15" a="1"/>
  <c r="E267" i="15"/>
  <c r="F267" i="15"/>
  <c r="G267" i="15"/>
  <c r="P267" i="15"/>
  <c r="E268" i="15" a="1"/>
  <c r="E268" i="15"/>
  <c r="F268" i="15"/>
  <c r="G268" i="15"/>
  <c r="P268" i="15"/>
  <c r="E269" i="15" a="1"/>
  <c r="E269" i="15"/>
  <c r="F269" i="15"/>
  <c r="G269" i="15"/>
  <c r="P269" i="15"/>
  <c r="E270" i="15" a="1"/>
  <c r="E270" i="15"/>
  <c r="F270" i="15"/>
  <c r="G270" i="15"/>
  <c r="P270" i="15"/>
  <c r="E271" i="15" a="1"/>
  <c r="E271" i="15"/>
  <c r="F271" i="15"/>
  <c r="G271" i="15"/>
  <c r="P271" i="15"/>
  <c r="E272" i="15" a="1"/>
  <c r="E272" i="15"/>
  <c r="F272" i="15"/>
  <c r="G272" i="15"/>
  <c r="P272" i="15"/>
  <c r="E273" i="15" a="1"/>
  <c r="E273" i="15"/>
  <c r="F273" i="15"/>
  <c r="G273" i="15"/>
  <c r="P273" i="15"/>
  <c r="E274" i="15" a="1"/>
  <c r="E274" i="15"/>
  <c r="F274" i="15"/>
  <c r="G274" i="15"/>
  <c r="P274" i="15"/>
  <c r="E275" i="15" a="1"/>
  <c r="E275" i="15"/>
  <c r="F275" i="15"/>
  <c r="G275" i="15"/>
  <c r="P275" i="15"/>
  <c r="E276" i="15" a="1"/>
  <c r="E276" i="15"/>
  <c r="F276" i="15"/>
  <c r="G276" i="15"/>
  <c r="P276" i="15"/>
  <c r="E277" i="15" a="1"/>
  <c r="E277" i="15"/>
  <c r="F277" i="15"/>
  <c r="G277" i="15"/>
  <c r="P277" i="15"/>
  <c r="E278" i="15" a="1"/>
  <c r="E278" i="15"/>
  <c r="F278" i="15"/>
  <c r="G278" i="15"/>
  <c r="P278" i="15"/>
  <c r="E279" i="15" a="1"/>
  <c r="E279" i="15"/>
  <c r="F279" i="15"/>
  <c r="G279" i="15"/>
  <c r="P279" i="15"/>
  <c r="E280" i="15" a="1"/>
  <c r="E280" i="15"/>
  <c r="F280" i="15"/>
  <c r="G280" i="15"/>
  <c r="P280" i="15"/>
  <c r="E281" i="15" a="1"/>
  <c r="E281" i="15"/>
  <c r="F281" i="15"/>
  <c r="G281" i="15"/>
  <c r="P281" i="15"/>
  <c r="E282" i="15" a="1"/>
  <c r="E282" i="15"/>
  <c r="F282" i="15"/>
  <c r="G282" i="15"/>
  <c r="P282" i="15"/>
  <c r="E283" i="15" a="1"/>
  <c r="E283" i="15"/>
  <c r="F283" i="15"/>
  <c r="G283" i="15"/>
  <c r="P283" i="15"/>
  <c r="E284" i="15" a="1"/>
  <c r="E284" i="15"/>
  <c r="F284" i="15"/>
  <c r="G284" i="15"/>
  <c r="P284" i="15"/>
  <c r="E285" i="15" a="1"/>
  <c r="E285" i="15"/>
  <c r="F285" i="15"/>
  <c r="G285" i="15"/>
  <c r="P285" i="15"/>
  <c r="E286" i="15" a="1"/>
  <c r="E286" i="15"/>
  <c r="F286" i="15"/>
  <c r="G286" i="15"/>
  <c r="P286" i="15"/>
  <c r="E287" i="15" a="1"/>
  <c r="E287" i="15"/>
  <c r="F287" i="15"/>
  <c r="G287" i="15"/>
  <c r="P287" i="15"/>
  <c r="E288" i="15" a="1"/>
  <c r="E288" i="15"/>
  <c r="F288" i="15"/>
  <c r="G288" i="15"/>
  <c r="P288" i="15"/>
  <c r="E289" i="15" a="1"/>
  <c r="E289" i="15"/>
  <c r="F289" i="15"/>
  <c r="G289" i="15"/>
  <c r="P289" i="15"/>
  <c r="E290" i="15" a="1"/>
  <c r="E290" i="15"/>
  <c r="F290" i="15"/>
  <c r="G290" i="15"/>
  <c r="P290" i="15"/>
  <c r="E291" i="15" a="1"/>
  <c r="E291" i="15"/>
  <c r="F291" i="15"/>
  <c r="G291" i="15"/>
  <c r="P291" i="15"/>
  <c r="E292" i="15" a="1"/>
  <c r="E292" i="15"/>
  <c r="F292" i="15"/>
  <c r="G292" i="15"/>
  <c r="P292" i="15"/>
  <c r="E293" i="15" a="1"/>
  <c r="E293" i="15"/>
  <c r="F293" i="15"/>
  <c r="G293" i="15"/>
  <c r="P293" i="15"/>
  <c r="E294" i="15" a="1"/>
  <c r="E294" i="15"/>
  <c r="F294" i="15"/>
  <c r="G294" i="15"/>
  <c r="P294" i="15"/>
  <c r="E295" i="15" a="1"/>
  <c r="E295" i="15"/>
  <c r="F295" i="15"/>
  <c r="G295" i="15"/>
  <c r="P295" i="15"/>
  <c r="E296" i="15" a="1"/>
  <c r="E296" i="15"/>
  <c r="F296" i="15"/>
  <c r="G296" i="15"/>
  <c r="P296" i="15"/>
  <c r="E297" i="15" a="1"/>
  <c r="E297" i="15"/>
  <c r="F297" i="15"/>
  <c r="G297" i="15"/>
  <c r="P297" i="15"/>
  <c r="E298" i="15" a="1"/>
  <c r="E298" i="15"/>
  <c r="F298" i="15"/>
  <c r="G298" i="15"/>
  <c r="P298" i="15"/>
  <c r="E299" i="15" a="1"/>
  <c r="E299" i="15"/>
  <c r="F299" i="15"/>
  <c r="G299" i="15"/>
  <c r="P299" i="15"/>
  <c r="E300" i="15" a="1"/>
  <c r="E300" i="15"/>
  <c r="F300" i="15"/>
  <c r="G300" i="15"/>
  <c r="P300" i="15"/>
  <c r="E301" i="15" a="1"/>
  <c r="E301" i="15"/>
  <c r="F301" i="15"/>
  <c r="G301" i="15"/>
  <c r="P301" i="15"/>
  <c r="E302" i="15" a="1"/>
  <c r="E302" i="15"/>
  <c r="F302" i="15"/>
  <c r="G302" i="15"/>
  <c r="P302" i="15"/>
  <c r="E303" i="15" a="1"/>
  <c r="E303" i="15"/>
  <c r="F303" i="15"/>
  <c r="G303" i="15"/>
  <c r="P303" i="15"/>
  <c r="E304" i="15" a="1"/>
  <c r="E304" i="15"/>
  <c r="F304" i="15"/>
  <c r="G304" i="15"/>
  <c r="P304" i="15"/>
  <c r="E305" i="15" a="1"/>
  <c r="E305" i="15"/>
  <c r="F305" i="15"/>
  <c r="G305" i="15"/>
  <c r="P305" i="15"/>
  <c r="E306" i="15" a="1"/>
  <c r="E306" i="15"/>
  <c r="F306" i="15"/>
  <c r="G306" i="15"/>
  <c r="P306" i="15"/>
  <c r="E307" i="15" a="1"/>
  <c r="E307" i="15"/>
  <c r="F307" i="15"/>
  <c r="G307" i="15"/>
  <c r="P307" i="15"/>
  <c r="E308" i="15" a="1"/>
  <c r="E308" i="15"/>
  <c r="F308" i="15"/>
  <c r="G308" i="15"/>
  <c r="P308" i="15"/>
  <c r="E309" i="15" a="1"/>
  <c r="E309" i="15"/>
  <c r="F309" i="15"/>
  <c r="G309" i="15"/>
  <c r="P309" i="15"/>
  <c r="E310" i="15" a="1"/>
  <c r="E310" i="15"/>
  <c r="F310" i="15"/>
  <c r="G310" i="15"/>
  <c r="P310" i="15"/>
  <c r="E311" i="15" a="1"/>
  <c r="E311" i="15"/>
  <c r="F311" i="15"/>
  <c r="G311" i="15"/>
  <c r="P311" i="15"/>
  <c r="E312" i="15" a="1"/>
  <c r="E312" i="15"/>
  <c r="F312" i="15"/>
  <c r="G312" i="15"/>
  <c r="P312" i="15"/>
  <c r="E313" i="15" a="1"/>
  <c r="E313" i="15"/>
  <c r="F313" i="15"/>
  <c r="G313" i="15"/>
  <c r="P313" i="15"/>
  <c r="E314" i="15" a="1"/>
  <c r="E314" i="15"/>
  <c r="F314" i="15"/>
  <c r="G314" i="15"/>
  <c r="P314" i="15"/>
  <c r="E315" i="15" a="1"/>
  <c r="E315" i="15"/>
  <c r="F315" i="15"/>
  <c r="G315" i="15"/>
  <c r="P315" i="15"/>
  <c r="E316" i="15" a="1"/>
  <c r="E316" i="15"/>
  <c r="F316" i="15"/>
  <c r="G316" i="15"/>
  <c r="P316" i="15"/>
  <c r="E317" i="15" a="1"/>
  <c r="E317" i="15"/>
  <c r="F317" i="15"/>
  <c r="G317" i="15"/>
  <c r="P317" i="15"/>
  <c r="E318" i="15" a="1"/>
  <c r="E318" i="15"/>
  <c r="P318" i="15" s="1"/>
  <c r="F318" i="15"/>
  <c r="G318" i="15"/>
  <c r="E319" i="15" a="1"/>
  <c r="E319" i="15"/>
  <c r="P319" i="15" s="1"/>
  <c r="F319" i="15"/>
  <c r="G319" i="15"/>
  <c r="E320" i="15" a="1"/>
  <c r="E320" i="15"/>
  <c r="F320" i="15"/>
  <c r="G320" i="15"/>
  <c r="P320" i="15"/>
  <c r="E321" i="15" a="1"/>
  <c r="E321" i="15"/>
  <c r="P321" i="15" s="1"/>
  <c r="F321" i="15"/>
  <c r="G321" i="15"/>
  <c r="E322" i="15" a="1"/>
  <c r="E322" i="15"/>
  <c r="P322" i="15" s="1"/>
  <c r="F322" i="15"/>
  <c r="G322" i="15"/>
  <c r="E323" i="15" a="1"/>
  <c r="E323" i="15"/>
  <c r="P323" i="15" s="1"/>
  <c r="F323" i="15"/>
  <c r="G323" i="15"/>
  <c r="E324" i="15" a="1"/>
  <c r="E324" i="15"/>
  <c r="F324" i="15"/>
  <c r="G324" i="15"/>
  <c r="P324" i="15"/>
  <c r="E325" i="15" a="1"/>
  <c r="E325" i="15"/>
  <c r="P325" i="15" s="1"/>
  <c r="F325" i="15"/>
  <c r="G325" i="15"/>
  <c r="E326" i="15" a="1"/>
  <c r="E326" i="15"/>
  <c r="F326" i="15"/>
  <c r="G326" i="15"/>
  <c r="P326" i="15"/>
  <c r="E327" i="15" a="1"/>
  <c r="E327" i="15"/>
  <c r="P327" i="15" s="1"/>
  <c r="F327" i="15"/>
  <c r="G327" i="15"/>
  <c r="E328" i="15" a="1"/>
  <c r="E328" i="15"/>
  <c r="P328" i="15" s="1"/>
  <c r="F328" i="15"/>
  <c r="G328" i="15"/>
  <c r="E329" i="15" a="1"/>
  <c r="E329" i="15"/>
  <c r="F329" i="15"/>
  <c r="G329" i="15"/>
  <c r="P329" i="15"/>
  <c r="E330" i="15" a="1"/>
  <c r="E330" i="15"/>
  <c r="F330" i="15"/>
  <c r="G330" i="15"/>
  <c r="P330" i="15"/>
  <c r="E331" i="15" a="1"/>
  <c r="E331" i="15"/>
  <c r="F331" i="15"/>
  <c r="G331" i="15"/>
  <c r="P331" i="15"/>
  <c r="E332" i="15" a="1"/>
  <c r="E332" i="15"/>
  <c r="P332" i="15" s="1"/>
  <c r="F332" i="15"/>
  <c r="G332" i="15"/>
  <c r="E333" i="15" a="1"/>
  <c r="E333" i="15"/>
  <c r="F333" i="15"/>
  <c r="G333" i="15"/>
  <c r="P333" i="15"/>
  <c r="E334" i="15" a="1"/>
  <c r="E334" i="15"/>
  <c r="F334" i="15"/>
  <c r="G334" i="15"/>
  <c r="P334" i="15"/>
  <c r="E335" i="15" a="1"/>
  <c r="E335" i="15"/>
  <c r="F335" i="15"/>
  <c r="G335" i="15"/>
  <c r="P335" i="15"/>
  <c r="E336" i="15" a="1"/>
  <c r="E336" i="15"/>
  <c r="F336" i="15"/>
  <c r="G336" i="15"/>
  <c r="P336" i="15"/>
  <c r="E337" i="15" a="1"/>
  <c r="E337" i="15"/>
  <c r="F337" i="15"/>
  <c r="G337" i="15"/>
  <c r="P337" i="15"/>
  <c r="E338" i="15" a="1"/>
  <c r="E338" i="15"/>
  <c r="F338" i="15"/>
  <c r="G338" i="15"/>
  <c r="P338" i="15"/>
  <c r="E339" i="15" a="1"/>
  <c r="E339" i="15"/>
  <c r="F339" i="15"/>
  <c r="G339" i="15"/>
  <c r="P339" i="15"/>
  <c r="E340" i="15" a="1"/>
  <c r="E340" i="15"/>
  <c r="F340" i="15"/>
  <c r="G340" i="15"/>
  <c r="P340" i="15"/>
  <c r="E341" i="15" a="1"/>
  <c r="E341" i="15"/>
  <c r="F341" i="15"/>
  <c r="G341" i="15"/>
  <c r="P341" i="15"/>
  <c r="E342" i="15" a="1"/>
  <c r="E342" i="15"/>
  <c r="F342" i="15"/>
  <c r="G342" i="15"/>
  <c r="P342" i="15"/>
  <c r="E343" i="15" a="1"/>
  <c r="E343" i="15"/>
  <c r="F343" i="15"/>
  <c r="G343" i="15"/>
  <c r="P343" i="15"/>
  <c r="E344" i="15" a="1"/>
  <c r="E344" i="15"/>
  <c r="F344" i="15"/>
  <c r="G344" i="15"/>
  <c r="P344" i="15"/>
  <c r="E345" i="15" a="1"/>
  <c r="E345" i="15"/>
  <c r="F345" i="15"/>
  <c r="G345" i="15"/>
  <c r="P345" i="15"/>
  <c r="E346" i="15" a="1"/>
  <c r="E346" i="15"/>
  <c r="F346" i="15"/>
  <c r="G346" i="15"/>
  <c r="P346" i="15"/>
  <c r="E347" i="15" a="1"/>
  <c r="E347" i="15"/>
  <c r="F347" i="15"/>
  <c r="G347" i="15"/>
  <c r="P347" i="15"/>
  <c r="E348" i="15" a="1"/>
  <c r="E348" i="15"/>
  <c r="F348" i="15"/>
  <c r="G348" i="15"/>
  <c r="P348" i="15"/>
  <c r="E349" i="15" a="1"/>
  <c r="E349" i="15"/>
  <c r="F349" i="15"/>
  <c r="G349" i="15"/>
  <c r="P349" i="15"/>
  <c r="E350" i="15" a="1"/>
  <c r="E350" i="15"/>
  <c r="F350" i="15"/>
  <c r="G350" i="15"/>
  <c r="P350" i="15"/>
  <c r="E351" i="15" a="1"/>
  <c r="E351" i="15"/>
  <c r="F351" i="15"/>
  <c r="G351" i="15"/>
  <c r="P351" i="15"/>
  <c r="E352" i="15" a="1"/>
  <c r="E352" i="15"/>
  <c r="F352" i="15"/>
  <c r="G352" i="15"/>
  <c r="P352" i="15"/>
  <c r="E353" i="15" a="1"/>
  <c r="E353" i="15"/>
  <c r="F353" i="15"/>
  <c r="G353" i="15"/>
  <c r="P353" i="15"/>
  <c r="E354" i="15" a="1"/>
  <c r="E354" i="15"/>
  <c r="F354" i="15"/>
  <c r="G354" i="15"/>
  <c r="P354" i="15"/>
  <c r="E355" i="15" a="1"/>
  <c r="E355" i="15"/>
  <c r="F355" i="15"/>
  <c r="G355" i="15"/>
  <c r="E356" i="15" a="1"/>
  <c r="P355" i="15" l="1"/>
  <c r="E356" i="15"/>
  <c r="F356" i="15"/>
  <c r="G356" i="15"/>
  <c r="P356" i="15"/>
  <c r="E357" i="15" a="1"/>
  <c r="E357" i="15"/>
  <c r="F357" i="15"/>
  <c r="G357" i="15"/>
  <c r="P357" i="15"/>
  <c r="E358" i="15" a="1"/>
  <c r="E358" i="15"/>
  <c r="F358" i="15"/>
  <c r="G358" i="15"/>
  <c r="P358" i="15"/>
  <c r="E359" i="15" a="1"/>
  <c r="E359" i="15"/>
  <c r="F359" i="15"/>
  <c r="G359" i="15"/>
  <c r="E360" i="15" a="1"/>
  <c r="P359" i="15" l="1"/>
  <c r="E360" i="15"/>
  <c r="F360" i="15"/>
  <c r="G360" i="15"/>
  <c r="P360" i="15"/>
  <c r="E361" i="15" a="1"/>
  <c r="E361" i="15"/>
  <c r="F361" i="15"/>
  <c r="G361" i="15"/>
  <c r="E362" i="15" a="1"/>
  <c r="P361" i="15" l="1"/>
  <c r="E362" i="15"/>
  <c r="F362" i="15"/>
  <c r="G362" i="15"/>
  <c r="P362" i="15"/>
  <c r="E363" i="15" a="1"/>
  <c r="E363" i="15"/>
  <c r="F363" i="15"/>
  <c r="G363" i="15"/>
  <c r="P363" i="15"/>
  <c r="E364" i="15" a="1"/>
  <c r="E364" i="15"/>
  <c r="F364" i="15"/>
  <c r="G364" i="15"/>
  <c r="P364" i="15"/>
  <c r="E365" i="15" a="1"/>
  <c r="E365" i="15"/>
  <c r="F365" i="15"/>
  <c r="G365" i="15"/>
  <c r="P365" i="15"/>
  <c r="E366" i="15" a="1"/>
  <c r="E366" i="15"/>
  <c r="F366" i="15"/>
  <c r="G366" i="15"/>
  <c r="E367" i="15" a="1"/>
  <c r="P366" i="15" l="1"/>
  <c r="E367" i="15"/>
  <c r="F367" i="15"/>
  <c r="G367" i="15"/>
  <c r="E368" i="15" a="1"/>
  <c r="P367" i="15" l="1"/>
  <c r="E368" i="15"/>
  <c r="F368" i="15"/>
  <c r="G368" i="15"/>
  <c r="E369" i="15" a="1"/>
  <c r="P368" i="15" l="1"/>
  <c r="E369" i="15"/>
  <c r="F369" i="15"/>
  <c r="G369" i="15"/>
  <c r="E370" i="15" a="1"/>
  <c r="P369" i="15" l="1"/>
  <c r="E370" i="15"/>
  <c r="F370" i="15"/>
  <c r="G370" i="15"/>
  <c r="E371" i="15" a="1"/>
  <c r="P370" i="15" l="1"/>
  <c r="E371" i="15"/>
  <c r="F371" i="15"/>
  <c r="G371" i="15"/>
  <c r="E372" i="15" a="1"/>
  <c r="P371" i="15" l="1"/>
  <c r="E372" i="15"/>
  <c r="F372" i="15"/>
  <c r="G372" i="15"/>
  <c r="E373" i="15" a="1"/>
  <c r="P372" i="15" l="1"/>
  <c r="E373" i="15"/>
  <c r="F373" i="15"/>
  <c r="G373" i="15"/>
  <c r="E374" i="15" a="1"/>
  <c r="P373" i="15" l="1"/>
  <c r="E374" i="15"/>
  <c r="F374" i="15"/>
  <c r="G374" i="15"/>
  <c r="E375" i="15" a="1"/>
  <c r="P374" i="15" l="1"/>
  <c r="E375" i="15"/>
  <c r="F375" i="15"/>
  <c r="G375" i="15"/>
  <c r="P375" i="15"/>
  <c r="E376" i="15" a="1"/>
  <c r="E376" i="15"/>
  <c r="F376" i="15"/>
  <c r="G376" i="15"/>
  <c r="P376" i="15"/>
  <c r="E377" i="15" a="1"/>
  <c r="E377" i="15"/>
  <c r="F377" i="15"/>
  <c r="G377" i="15"/>
  <c r="P377" i="15"/>
  <c r="E378" i="15" a="1"/>
  <c r="E378" i="15"/>
  <c r="F378" i="15"/>
  <c r="G378" i="15"/>
  <c r="P378" i="15"/>
  <c r="E379" i="15" a="1"/>
  <c r="E379" i="15"/>
  <c r="F379" i="15"/>
  <c r="G379" i="15"/>
  <c r="E380" i="15" a="1"/>
  <c r="P379" i="15" l="1"/>
  <c r="E380" i="15"/>
  <c r="F380" i="15"/>
  <c r="G380" i="15"/>
  <c r="P380" i="15"/>
  <c r="E381" i="15" a="1"/>
  <c r="E381" i="15"/>
  <c r="F381" i="15"/>
  <c r="G381" i="15"/>
  <c r="P381" i="15"/>
  <c r="E382" i="15" a="1"/>
  <c r="E382" i="15"/>
  <c r="F382" i="15"/>
  <c r="G382" i="15"/>
  <c r="P382" i="15"/>
  <c r="E383" i="15" a="1"/>
  <c r="E383" i="15"/>
  <c r="F383" i="15"/>
  <c r="G383" i="15"/>
  <c r="P383" i="15"/>
  <c r="E384" i="15" a="1"/>
  <c r="E384" i="15"/>
  <c r="F384" i="15"/>
  <c r="G384" i="15"/>
  <c r="P384" i="15"/>
  <c r="E385" i="15" a="1"/>
  <c r="E385" i="15"/>
  <c r="F385" i="15"/>
  <c r="G385" i="15"/>
  <c r="P385" i="15"/>
  <c r="E386" i="15" a="1"/>
  <c r="E386" i="15"/>
  <c r="F386" i="15"/>
  <c r="G386" i="15"/>
  <c r="P386" i="15"/>
  <c r="E387" i="15" a="1"/>
  <c r="E387" i="15"/>
  <c r="F387" i="15"/>
  <c r="G387" i="15"/>
  <c r="P387" i="15"/>
  <c r="E388" i="15" a="1"/>
  <c r="E388" i="15"/>
  <c r="F388" i="15"/>
  <c r="G388" i="15"/>
  <c r="P388" i="15"/>
  <c r="E389" i="15" a="1"/>
  <c r="E389" i="15"/>
  <c r="F389" i="15"/>
  <c r="G389" i="15"/>
  <c r="P389" i="15"/>
  <c r="E390" i="15" a="1"/>
  <c r="E390" i="15"/>
  <c r="F390" i="15"/>
  <c r="G390" i="15"/>
  <c r="P390" i="15"/>
  <c r="E391" i="15" a="1"/>
  <c r="E391" i="15"/>
  <c r="F391" i="15"/>
  <c r="G391" i="15"/>
  <c r="P391" i="15"/>
  <c r="E392" i="15" a="1"/>
  <c r="E392" i="15"/>
  <c r="F392" i="15"/>
  <c r="G392" i="15"/>
  <c r="P392" i="15"/>
  <c r="E393" i="15" a="1"/>
  <c r="E393" i="15"/>
  <c r="F393" i="15"/>
  <c r="G393" i="15"/>
  <c r="P393" i="15"/>
  <c r="E394" i="15" a="1"/>
  <c r="E394" i="15"/>
  <c r="F394" i="15"/>
  <c r="G394" i="15"/>
  <c r="P394" i="15"/>
  <c r="E395" i="15" a="1"/>
  <c r="E395" i="15"/>
  <c r="F395" i="15"/>
  <c r="G395" i="15"/>
  <c r="P395" i="15"/>
  <c r="E396" i="15" a="1"/>
  <c r="E396" i="15"/>
  <c r="F396" i="15"/>
  <c r="G396" i="15"/>
  <c r="P396" i="15"/>
  <c r="E397" i="15" a="1"/>
  <c r="E397" i="15"/>
  <c r="F397" i="15"/>
  <c r="G397" i="15"/>
  <c r="P397" i="15"/>
  <c r="E398" i="15" a="1"/>
  <c r="E398" i="15"/>
  <c r="F398" i="15"/>
  <c r="G398" i="15"/>
  <c r="P398" i="15"/>
  <c r="E399" i="15" a="1"/>
  <c r="E399" i="15"/>
  <c r="F399" i="15"/>
  <c r="G399" i="15"/>
  <c r="P399" i="15"/>
  <c r="E400" i="15" a="1"/>
  <c r="E400" i="15"/>
  <c r="F400" i="15"/>
  <c r="G400" i="15"/>
  <c r="P400" i="15"/>
  <c r="E401" i="15" a="1"/>
  <c r="E401" i="15"/>
  <c r="F401" i="15"/>
  <c r="G401" i="15"/>
  <c r="P401" i="15"/>
  <c r="E402" i="15" a="1"/>
  <c r="E402" i="15"/>
  <c r="F402" i="15"/>
  <c r="G402" i="15"/>
  <c r="P402" i="15"/>
  <c r="E403" i="15" a="1"/>
  <c r="E403" i="15"/>
  <c r="F403" i="15"/>
  <c r="G403" i="15"/>
  <c r="P403" i="15"/>
  <c r="E404" i="15" a="1"/>
  <c r="E404" i="15"/>
  <c r="F404" i="15"/>
  <c r="G404" i="15"/>
  <c r="P404" i="15"/>
  <c r="E405" i="15" a="1"/>
  <c r="E405" i="15"/>
  <c r="F405" i="15"/>
  <c r="G405" i="15"/>
  <c r="P405" i="15"/>
  <c r="E406" i="15" a="1"/>
  <c r="E406" i="15"/>
  <c r="F406" i="15"/>
  <c r="G406" i="15"/>
  <c r="P406" i="15"/>
  <c r="E407" i="15" a="1"/>
  <c r="E407" i="15"/>
  <c r="F407" i="15"/>
  <c r="G407" i="15"/>
  <c r="P407" i="15"/>
  <c r="E408" i="15" a="1"/>
  <c r="E408" i="15"/>
  <c r="F408" i="15"/>
  <c r="G408" i="15"/>
  <c r="P408" i="15"/>
  <c r="E409" i="15" a="1"/>
  <c r="E409" i="15"/>
  <c r="F409" i="15"/>
  <c r="G409" i="15"/>
  <c r="P409" i="15"/>
  <c r="E410" i="15" a="1"/>
  <c r="E410" i="15"/>
  <c r="F410" i="15"/>
  <c r="G410" i="15"/>
  <c r="P410" i="15"/>
  <c r="E411" i="15" a="1"/>
  <c r="E411" i="15"/>
  <c r="F411" i="15"/>
  <c r="G411" i="15"/>
  <c r="P411" i="15"/>
  <c r="E412" i="15" a="1"/>
  <c r="E412" i="15"/>
  <c r="F412" i="15"/>
  <c r="G412" i="15"/>
  <c r="P412" i="15"/>
  <c r="E413" i="15" a="1"/>
  <c r="E413" i="15"/>
  <c r="F413" i="15"/>
  <c r="G413" i="15"/>
  <c r="P413" i="15"/>
  <c r="E414" i="15" a="1"/>
  <c r="E414" i="15"/>
  <c r="F414" i="15"/>
  <c r="G414" i="15"/>
  <c r="P414" i="15"/>
  <c r="E415" i="15" a="1"/>
  <c r="E415" i="15"/>
  <c r="F415" i="15"/>
  <c r="G415" i="15"/>
  <c r="P415" i="15"/>
  <c r="E416" i="15" a="1"/>
  <c r="E416" i="15"/>
  <c r="F416" i="15"/>
  <c r="G416" i="15"/>
  <c r="P416" i="15"/>
  <c r="E417" i="15" a="1"/>
  <c r="E417" i="15"/>
  <c r="F417" i="15"/>
  <c r="G417" i="15"/>
  <c r="P417" i="15"/>
  <c r="E418" i="15" a="1"/>
  <c r="E418" i="15"/>
  <c r="F418" i="15"/>
  <c r="G418" i="15"/>
  <c r="P418" i="15"/>
  <c r="E419" i="15" a="1"/>
  <c r="E419" i="15"/>
  <c r="F419" i="15"/>
  <c r="G419" i="15"/>
  <c r="P419" i="15"/>
  <c r="E420" i="15" a="1"/>
  <c r="E420" i="15"/>
  <c r="F420" i="15"/>
  <c r="G420" i="15"/>
  <c r="P420" i="15"/>
  <c r="E421" i="15" a="1"/>
  <c r="E421" i="15"/>
  <c r="F421" i="15"/>
  <c r="G421" i="15"/>
  <c r="P421" i="15"/>
  <c r="E422" i="15" a="1"/>
  <c r="E422" i="15"/>
  <c r="F422" i="15"/>
  <c r="G422" i="15"/>
  <c r="P422" i="15"/>
  <c r="E423" i="15" a="1"/>
  <c r="E423" i="15"/>
  <c r="F423" i="15"/>
  <c r="G423" i="15"/>
  <c r="P423" i="15"/>
  <c r="E424" i="15" a="1"/>
  <c r="E424" i="15"/>
  <c r="F424" i="15"/>
  <c r="G424" i="15"/>
  <c r="P424" i="15"/>
  <c r="E425" i="15" a="1"/>
  <c r="E425" i="15"/>
  <c r="F425" i="15"/>
  <c r="G425" i="15"/>
  <c r="P425" i="15"/>
  <c r="E426" i="15" a="1"/>
  <c r="E426" i="15"/>
  <c r="F426" i="15"/>
  <c r="G426" i="15"/>
  <c r="P426" i="15"/>
  <c r="E427" i="15" a="1"/>
  <c r="E427" i="15"/>
  <c r="F427" i="15"/>
  <c r="G427" i="15"/>
  <c r="P427" i="15"/>
  <c r="E428" i="15" a="1"/>
  <c r="E428" i="15"/>
  <c r="F428" i="15"/>
  <c r="G428" i="15"/>
  <c r="P428" i="15"/>
  <c r="E429" i="15" a="1"/>
  <c r="E429" i="15"/>
  <c r="F429" i="15"/>
  <c r="G429" i="15"/>
  <c r="P429" i="15"/>
  <c r="E430" i="15" a="1"/>
  <c r="E430" i="15"/>
  <c r="F430" i="15"/>
  <c r="G430" i="15"/>
  <c r="P430" i="15"/>
  <c r="E431" i="15" a="1"/>
  <c r="E431" i="15"/>
  <c r="F431" i="15"/>
  <c r="G431" i="15"/>
  <c r="P431" i="15"/>
  <c r="E432" i="15" a="1"/>
  <c r="E432" i="15"/>
  <c r="F432" i="15"/>
  <c r="G432" i="15"/>
  <c r="P432" i="15"/>
  <c r="E433" i="15" a="1"/>
  <c r="E433" i="15"/>
  <c r="F433" i="15"/>
  <c r="G433" i="15"/>
  <c r="P433" i="15"/>
  <c r="E434" i="15" a="1"/>
  <c r="E434" i="15"/>
  <c r="F434" i="15"/>
  <c r="G434" i="15"/>
  <c r="P434" i="15"/>
  <c r="E435" i="15" a="1"/>
  <c r="E435" i="15"/>
  <c r="F435" i="15"/>
  <c r="G435" i="15"/>
  <c r="P435" i="15"/>
  <c r="E436" i="15" a="1"/>
  <c r="E436" i="15"/>
  <c r="F436" i="15"/>
  <c r="G436" i="15"/>
  <c r="P436" i="15"/>
  <c r="E437" i="15" a="1"/>
  <c r="E437" i="15"/>
  <c r="F437" i="15"/>
  <c r="G437" i="15"/>
  <c r="P437" i="15"/>
  <c r="E438" i="15" a="1"/>
  <c r="E438" i="15"/>
  <c r="F438" i="15"/>
  <c r="G438" i="15"/>
  <c r="P438" i="15"/>
  <c r="E439" i="15" a="1"/>
  <c r="E439" i="15"/>
  <c r="F439" i="15"/>
  <c r="G439" i="15"/>
  <c r="P439" i="15"/>
  <c r="E440" i="15" a="1"/>
  <c r="E440" i="15"/>
  <c r="F440" i="15"/>
  <c r="G440" i="15"/>
  <c r="P440" i="15"/>
  <c r="E441" i="15" a="1"/>
  <c r="E441" i="15"/>
  <c r="F441" i="15"/>
  <c r="G441" i="15"/>
  <c r="P441" i="15"/>
  <c r="E442" i="15" a="1"/>
  <c r="E442" i="15"/>
  <c r="F442" i="15"/>
  <c r="G442" i="15"/>
  <c r="P442" i="15"/>
  <c r="E443" i="15" a="1"/>
  <c r="E443" i="15"/>
  <c r="F443" i="15"/>
  <c r="G443" i="15"/>
  <c r="P443" i="15"/>
  <c r="E444" i="15" a="1"/>
  <c r="E444" i="15"/>
  <c r="F444" i="15"/>
  <c r="G444" i="15"/>
  <c r="P444" i="15"/>
  <c r="E445" i="15" a="1"/>
  <c r="E445" i="15"/>
  <c r="F445" i="15"/>
  <c r="G445" i="15"/>
  <c r="P445" i="15"/>
  <c r="E446" i="15" a="1"/>
  <c r="E446" i="15"/>
  <c r="F446" i="15"/>
  <c r="G446" i="15"/>
  <c r="P446" i="15"/>
  <c r="E447" i="15" a="1"/>
  <c r="E447" i="15"/>
  <c r="F447" i="15"/>
  <c r="G447" i="15"/>
  <c r="P447" i="15"/>
  <c r="E448" i="15" a="1"/>
  <c r="E448" i="15"/>
  <c r="F448" i="15"/>
  <c r="G448" i="15"/>
  <c r="P448" i="15"/>
  <c r="E449" i="15" a="1"/>
  <c r="E449" i="15"/>
  <c r="F449" i="15"/>
  <c r="G449" i="15"/>
  <c r="P449" i="15"/>
  <c r="E450" i="15" a="1"/>
  <c r="E450" i="15"/>
  <c r="F450" i="15"/>
  <c r="G450" i="15"/>
  <c r="P450" i="15"/>
  <c r="E451" i="15" a="1"/>
  <c r="E451" i="15"/>
  <c r="F451" i="15"/>
  <c r="G451" i="15"/>
  <c r="P451" i="15"/>
  <c r="E452" i="15" a="1"/>
  <c r="E452" i="15"/>
  <c r="F452" i="15"/>
  <c r="G452" i="15"/>
  <c r="P452" i="15"/>
  <c r="E453" i="15" a="1"/>
  <c r="E453" i="15"/>
  <c r="F453" i="15"/>
  <c r="G453" i="15"/>
  <c r="P453" i="15"/>
  <c r="E454" i="15" a="1"/>
  <c r="E454" i="15"/>
  <c r="F454" i="15"/>
  <c r="G454" i="15"/>
  <c r="P454" i="15"/>
  <c r="E455" i="15" a="1"/>
  <c r="E455" i="15"/>
  <c r="F455" i="15"/>
  <c r="G455" i="15"/>
  <c r="P455" i="15"/>
  <c r="E456" i="15" a="1"/>
  <c r="E456" i="15"/>
  <c r="F456" i="15"/>
  <c r="G456" i="15"/>
  <c r="P456" i="15"/>
  <c r="E457" i="15" a="1"/>
  <c r="E457" i="15"/>
  <c r="F457" i="15"/>
  <c r="G457" i="15"/>
  <c r="P457" i="15"/>
  <c r="E458" i="15" a="1"/>
  <c r="E458" i="15"/>
  <c r="F458" i="15"/>
  <c r="G458" i="15"/>
  <c r="P458" i="15"/>
  <c r="E459" i="15" a="1"/>
  <c r="E459" i="15"/>
  <c r="F459" i="15"/>
  <c r="G459" i="15"/>
  <c r="P459" i="15"/>
  <c r="E460" i="15" a="1"/>
  <c r="E460" i="15"/>
  <c r="F460" i="15"/>
  <c r="G460" i="15"/>
  <c r="P460" i="15"/>
  <c r="E461" i="15" a="1"/>
  <c r="E461" i="15"/>
  <c r="F461" i="15"/>
  <c r="G461" i="15"/>
  <c r="P461" i="15"/>
  <c r="E462" i="15" a="1"/>
  <c r="E462" i="15"/>
  <c r="F462" i="15"/>
  <c r="G462" i="15"/>
  <c r="P462" i="15"/>
  <c r="E463" i="15" a="1"/>
  <c r="E463" i="15"/>
  <c r="F463" i="15"/>
  <c r="G463" i="15"/>
  <c r="P463" i="15"/>
  <c r="E464" i="15" a="1"/>
  <c r="E464" i="15"/>
  <c r="F464" i="15"/>
  <c r="G464" i="15"/>
  <c r="P464" i="15"/>
  <c r="E465" i="15" a="1"/>
  <c r="E465" i="15"/>
  <c r="F465" i="15"/>
  <c r="G465" i="15"/>
  <c r="P465" i="15"/>
  <c r="E466" i="15" a="1"/>
  <c r="E466" i="15"/>
  <c r="F466" i="15"/>
  <c r="G466" i="15"/>
  <c r="P466" i="15"/>
  <c r="E467" i="15" a="1"/>
  <c r="E467" i="15"/>
  <c r="F467" i="15"/>
  <c r="G467" i="15"/>
  <c r="P467" i="15"/>
  <c r="E468" i="15" a="1"/>
  <c r="E468" i="15"/>
  <c r="F468" i="15"/>
  <c r="G468" i="15"/>
  <c r="P468" i="15"/>
  <c r="E469" i="15" a="1"/>
  <c r="E469" i="15"/>
  <c r="F469" i="15"/>
  <c r="G469" i="15"/>
  <c r="P469" i="15"/>
  <c r="E470" i="15" a="1"/>
  <c r="E470" i="15"/>
  <c r="F470" i="15"/>
  <c r="G470" i="15"/>
  <c r="P470" i="15"/>
  <c r="E471" i="15" a="1"/>
  <c r="E471" i="15"/>
  <c r="F471" i="15"/>
  <c r="G471" i="15"/>
  <c r="P471" i="15"/>
  <c r="E472" i="15" a="1"/>
  <c r="E472" i="15"/>
  <c r="F472" i="15"/>
  <c r="G472" i="15"/>
  <c r="P472" i="15"/>
  <c r="E473" i="15" a="1"/>
  <c r="E473" i="15"/>
  <c r="F473" i="15"/>
  <c r="G473" i="15"/>
  <c r="P473" i="15"/>
  <c r="E474" i="15" a="1"/>
  <c r="E474" i="15"/>
  <c r="F474" i="15"/>
  <c r="G474" i="15"/>
  <c r="P474" i="15"/>
  <c r="E475" i="15" a="1"/>
  <c r="E475" i="15"/>
  <c r="F475" i="15"/>
  <c r="G475" i="15"/>
  <c r="P475" i="15"/>
  <c r="E476" i="15" a="1"/>
  <c r="E476" i="15"/>
  <c r="F476" i="15"/>
  <c r="G476" i="15"/>
  <c r="P476" i="15"/>
  <c r="E477" i="15" a="1"/>
  <c r="E477" i="15"/>
  <c r="F477" i="15"/>
  <c r="G477" i="15"/>
  <c r="P477" i="15"/>
  <c r="E478" i="15" a="1"/>
  <c r="E478" i="15"/>
  <c r="F478" i="15"/>
  <c r="G478" i="15"/>
  <c r="P478" i="15"/>
  <c r="E479" i="15" a="1"/>
  <c r="E479" i="15"/>
  <c r="F479" i="15"/>
  <c r="G479" i="15"/>
  <c r="P479" i="15"/>
  <c r="E480" i="15" a="1"/>
  <c r="E480" i="15"/>
  <c r="F480" i="15"/>
  <c r="G480" i="15"/>
  <c r="P480" i="15"/>
  <c r="E481" i="15" a="1"/>
  <c r="E481" i="15"/>
  <c r="F481" i="15"/>
  <c r="G481" i="15"/>
  <c r="P481" i="15"/>
  <c r="E482" i="15" a="1"/>
  <c r="E482" i="15"/>
  <c r="F482" i="15"/>
  <c r="G482" i="15"/>
  <c r="P482" i="15"/>
  <c r="E483" i="15" a="1"/>
  <c r="E483" i="15"/>
  <c r="F483" i="15"/>
  <c r="G483" i="15"/>
  <c r="P483" i="15"/>
  <c r="E484" i="15" a="1"/>
  <c r="E484" i="15"/>
  <c r="F484" i="15"/>
  <c r="G484" i="15"/>
  <c r="P484" i="15"/>
  <c r="E485" i="15" a="1"/>
  <c r="E485" i="15"/>
  <c r="F485" i="15"/>
  <c r="G485" i="15"/>
  <c r="P485" i="15"/>
  <c r="E486" i="15" a="1"/>
  <c r="E486" i="15"/>
  <c r="F486" i="15"/>
  <c r="G486" i="15"/>
  <c r="P486" i="15"/>
  <c r="E487" i="15" a="1"/>
  <c r="E487" i="15"/>
  <c r="F487" i="15"/>
  <c r="G487" i="15"/>
  <c r="P487" i="15"/>
  <c r="E488" i="15" a="1"/>
  <c r="E488" i="15"/>
  <c r="F488" i="15"/>
  <c r="G488" i="15"/>
  <c r="P488" i="15"/>
  <c r="E489" i="15" a="1"/>
  <c r="E489" i="15"/>
  <c r="P489" i="15" s="1"/>
  <c r="F489" i="15"/>
  <c r="G489" i="15"/>
  <c r="E490" i="15" a="1"/>
  <c r="E490" i="15"/>
  <c r="F490" i="15"/>
  <c r="G490" i="15"/>
  <c r="P490" i="15"/>
  <c r="E491" i="15" a="1"/>
  <c r="E491" i="15"/>
  <c r="F491" i="15"/>
  <c r="G491" i="15"/>
  <c r="P491" i="15"/>
  <c r="E492" i="15" a="1"/>
  <c r="E492" i="15"/>
  <c r="F492" i="15"/>
  <c r="G492" i="15"/>
  <c r="P492" i="15"/>
  <c r="E493" i="15" a="1"/>
  <c r="E493" i="15"/>
  <c r="F493" i="15"/>
  <c r="G493" i="15"/>
  <c r="P493" i="15"/>
  <c r="E494" i="15" a="1"/>
  <c r="E494" i="15"/>
  <c r="F494" i="15"/>
  <c r="G494" i="15"/>
  <c r="P494" i="15"/>
  <c r="E495" i="15" a="1"/>
  <c r="E495" i="15"/>
  <c r="F495" i="15"/>
  <c r="G495" i="15"/>
  <c r="P495" i="15"/>
  <c r="E496" i="15" a="1"/>
  <c r="E496" i="15"/>
  <c r="F496" i="15"/>
  <c r="G496" i="15"/>
  <c r="P496" i="15"/>
  <c r="E497" i="15" a="1"/>
  <c r="E497" i="15"/>
  <c r="F497" i="15"/>
  <c r="G497" i="15"/>
  <c r="P497" i="15"/>
  <c r="E498" i="15" a="1"/>
  <c r="E498" i="15"/>
  <c r="F498" i="15"/>
  <c r="G498" i="15"/>
  <c r="P498" i="15"/>
  <c r="E499" i="15" a="1"/>
  <c r="E499" i="15"/>
  <c r="F499" i="15"/>
  <c r="G499" i="15"/>
  <c r="P499" i="15"/>
  <c r="E500" i="15" a="1"/>
  <c r="E500" i="15"/>
  <c r="F500" i="15"/>
  <c r="G500" i="15"/>
  <c r="P500" i="15"/>
  <c r="E501" i="15" a="1"/>
  <c r="E501" i="15"/>
  <c r="F501" i="15"/>
  <c r="G501" i="15"/>
  <c r="P501" i="15"/>
  <c r="R3" i="15" s="1" a="1"/>
  <c r="R3" i="15" s="1"/>
  <c r="Z3" i="4" l="1"/>
  <c r="Z4" i="4"/>
  <c r="Z5" i="4"/>
  <c r="B5" i="10" l="1"/>
  <c r="B4" i="10"/>
  <c r="B15" i="10" s="1"/>
  <c r="B3" i="10"/>
  <c r="C11" i="10" s="1"/>
  <c r="B7" i="10"/>
  <c r="B12" i="10"/>
  <c r="E12" i="10"/>
  <c r="F12" i="10" s="1"/>
  <c r="B13" i="10"/>
  <c r="E13" i="10"/>
  <c r="F13" i="10" s="1"/>
  <c r="G13" i="10" s="1"/>
  <c r="B14" i="10"/>
  <c r="E14" i="10"/>
  <c r="F14" i="10" s="1"/>
  <c r="G14" i="10" s="1"/>
  <c r="E15" i="10"/>
  <c r="F15" i="10" s="1"/>
  <c r="E16" i="10"/>
  <c r="F16" i="10" s="1"/>
  <c r="B17" i="10"/>
  <c r="E17" i="10"/>
  <c r="F17" i="10" s="1"/>
  <c r="B18" i="10"/>
  <c r="E18" i="10"/>
  <c r="F18" i="10" s="1"/>
  <c r="G18" i="10" s="1"/>
  <c r="B19" i="10"/>
  <c r="E19" i="10"/>
  <c r="F19" i="10" s="1"/>
  <c r="B20" i="10"/>
  <c r="E20" i="10"/>
  <c r="F20" i="10" s="1"/>
  <c r="G20" i="10" s="1"/>
  <c r="E21" i="10"/>
  <c r="F21" i="10" s="1"/>
  <c r="G21" i="10" s="1"/>
  <c r="E22" i="10"/>
  <c r="F22" i="10" s="1"/>
  <c r="G22" i="10" s="1"/>
  <c r="B23" i="10"/>
  <c r="E23" i="10"/>
  <c r="F23" i="10" s="1"/>
  <c r="B24" i="10"/>
  <c r="E24" i="10"/>
  <c r="F24" i="10" s="1"/>
  <c r="G24" i="10" s="1"/>
  <c r="B25" i="10"/>
  <c r="E25" i="10"/>
  <c r="F25" i="10" s="1"/>
  <c r="G25" i="10" s="1"/>
  <c r="B26" i="10"/>
  <c r="E26" i="10"/>
  <c r="F26" i="10" s="1"/>
  <c r="E27" i="10"/>
  <c r="F27" i="10" s="1"/>
  <c r="G27" i="10" s="1"/>
  <c r="E28" i="10"/>
  <c r="F28" i="10" s="1"/>
  <c r="G28" i="10" s="1"/>
  <c r="B29" i="10"/>
  <c r="E29" i="10"/>
  <c r="F29" i="10" s="1"/>
  <c r="G29" i="10" s="1"/>
  <c r="B30" i="10"/>
  <c r="E30" i="10"/>
  <c r="F30" i="10" s="1"/>
  <c r="B31" i="10"/>
  <c r="E31" i="10"/>
  <c r="F31" i="10" s="1"/>
  <c r="G31" i="10" s="1"/>
  <c r="B32" i="10"/>
  <c r="E32" i="10"/>
  <c r="F32" i="10" s="1"/>
  <c r="G32" i="10" s="1"/>
  <c r="E33" i="10"/>
  <c r="F33" i="10" s="1"/>
  <c r="E34" i="10"/>
  <c r="F34" i="10" s="1"/>
  <c r="B35" i="10"/>
  <c r="E35" i="10"/>
  <c r="F35" i="10" s="1"/>
  <c r="G35" i="10" s="1"/>
  <c r="B36" i="10"/>
  <c r="E36" i="10"/>
  <c r="F36" i="10" s="1"/>
  <c r="G36" i="10" s="1"/>
  <c r="B37" i="10"/>
  <c r="E37" i="10"/>
  <c r="F37" i="10" s="1"/>
  <c r="B38" i="10"/>
  <c r="E38" i="10"/>
  <c r="F38" i="10" s="1"/>
  <c r="G38" i="10" s="1"/>
  <c r="E39" i="10"/>
  <c r="F39" i="10" s="1"/>
  <c r="G39" i="10" s="1"/>
  <c r="E40" i="10"/>
  <c r="F40" i="10" s="1"/>
  <c r="G40" i="10" s="1"/>
  <c r="B41" i="10"/>
  <c r="E41" i="10"/>
  <c r="F41" i="10" s="1"/>
  <c r="G41" i="10" s="1"/>
  <c r="B42" i="10"/>
  <c r="E42" i="10"/>
  <c r="F42" i="10" s="1"/>
  <c r="G42" i="10" s="1"/>
  <c r="B43" i="10"/>
  <c r="E43" i="10"/>
  <c r="F43" i="10" s="1"/>
  <c r="G43" i="10" s="1"/>
  <c r="B44" i="10"/>
  <c r="E44" i="10"/>
  <c r="F44" i="10" s="1"/>
  <c r="E45" i="10"/>
  <c r="F45" i="10" s="1"/>
  <c r="G45" i="10" s="1"/>
  <c r="E46" i="10"/>
  <c r="F46" i="10" s="1"/>
  <c r="G46" i="10" s="1"/>
  <c r="B47" i="10"/>
  <c r="E47" i="10"/>
  <c r="F47" i="10" s="1"/>
  <c r="G47" i="10" s="1"/>
  <c r="B48" i="10"/>
  <c r="E48" i="10"/>
  <c r="F48" i="10" s="1"/>
  <c r="B49" i="10"/>
  <c r="E49" i="10"/>
  <c r="F49" i="10" s="1"/>
  <c r="G49" i="10" s="1"/>
  <c r="B50" i="10"/>
  <c r="E50" i="10"/>
  <c r="F50" i="10" s="1"/>
  <c r="G50" i="10" s="1"/>
  <c r="E51" i="10"/>
  <c r="F51" i="10" s="1"/>
  <c r="G17" i="10" l="1"/>
  <c r="G44" i="10"/>
  <c r="G37" i="10"/>
  <c r="G30" i="10"/>
  <c r="G23" i="10"/>
  <c r="G16" i="10"/>
  <c r="G51" i="10"/>
  <c r="G15" i="10"/>
  <c r="G48" i="10"/>
  <c r="G34" i="10"/>
  <c r="G26" i="10"/>
  <c r="G19" i="10"/>
  <c r="G12" i="10"/>
  <c r="G33" i="10"/>
  <c r="B46" i="10"/>
  <c r="B40" i="10"/>
  <c r="B34" i="10"/>
  <c r="B28" i="10"/>
  <c r="B22" i="10"/>
  <c r="B16" i="10"/>
  <c r="B51" i="10"/>
  <c r="B45" i="10"/>
  <c r="B39" i="10"/>
  <c r="B33" i="10"/>
  <c r="B27" i="10"/>
  <c r="B21" i="10"/>
  <c r="K11" i="10"/>
  <c r="C12" i="10"/>
  <c r="C13" i="10" s="1"/>
  <c r="C14" i="10" s="1"/>
  <c r="C15" i="10" s="1"/>
  <c r="B5" i="8"/>
  <c r="B4" i="8"/>
  <c r="B31" i="8" s="1"/>
  <c r="B3" i="8"/>
  <c r="K11" i="8"/>
  <c r="B7" i="8"/>
  <c r="C11" i="8"/>
  <c r="E12" i="8"/>
  <c r="F12" i="8" s="1"/>
  <c r="G12" i="8" s="1"/>
  <c r="E13" i="8"/>
  <c r="F13" i="8" s="1"/>
  <c r="G13" i="8" s="1"/>
  <c r="E14" i="8"/>
  <c r="F14" i="8" s="1"/>
  <c r="G14" i="8" s="1"/>
  <c r="E15" i="8"/>
  <c r="F15" i="8" s="1"/>
  <c r="G15" i="8" s="1"/>
  <c r="E16" i="8"/>
  <c r="E17" i="8"/>
  <c r="F17" i="8" s="1"/>
  <c r="G17" i="8" s="1"/>
  <c r="E18" i="8"/>
  <c r="F18" i="8" s="1"/>
  <c r="G18" i="8" s="1"/>
  <c r="E19" i="8"/>
  <c r="F19" i="8" s="1"/>
  <c r="G19" i="8" s="1"/>
  <c r="E20" i="8"/>
  <c r="F20" i="8" s="1"/>
  <c r="G20" i="8" s="1"/>
  <c r="E21" i="8"/>
  <c r="F21" i="8" s="1"/>
  <c r="G21" i="8" s="1"/>
  <c r="E22" i="8"/>
  <c r="E23" i="8"/>
  <c r="F23" i="8" s="1"/>
  <c r="G23" i="8" s="1"/>
  <c r="E24" i="8"/>
  <c r="F24" i="8" s="1"/>
  <c r="G24" i="8" s="1"/>
  <c r="E25" i="8"/>
  <c r="F25" i="8" s="1"/>
  <c r="G25" i="8" s="1"/>
  <c r="E26" i="8"/>
  <c r="F26" i="8" s="1"/>
  <c r="G26" i="8" s="1"/>
  <c r="E27" i="8"/>
  <c r="F27" i="8" s="1"/>
  <c r="G27" i="8" s="1"/>
  <c r="E28" i="8"/>
  <c r="E29" i="8"/>
  <c r="F29" i="8" s="1"/>
  <c r="G29" i="8" s="1"/>
  <c r="E30" i="8"/>
  <c r="F30" i="8" s="1"/>
  <c r="G30" i="8" s="1"/>
  <c r="E31" i="8"/>
  <c r="F31" i="8" s="1"/>
  <c r="G31" i="8" s="1"/>
  <c r="E32" i="8"/>
  <c r="F32" i="8" s="1"/>
  <c r="G32" i="8" s="1"/>
  <c r="E33" i="8"/>
  <c r="F33" i="8" s="1"/>
  <c r="G33" i="8" s="1"/>
  <c r="E34" i="8"/>
  <c r="F34" i="8" s="1"/>
  <c r="G34" i="8" s="1"/>
  <c r="E35" i="8"/>
  <c r="F35" i="8" s="1"/>
  <c r="G35" i="8" s="1"/>
  <c r="E36" i="8"/>
  <c r="F36" i="8" s="1"/>
  <c r="G36" i="8" s="1"/>
  <c r="E37" i="8"/>
  <c r="F37" i="8" s="1"/>
  <c r="G37" i="8" s="1"/>
  <c r="E38" i="8"/>
  <c r="F38" i="8" s="1"/>
  <c r="G38" i="8" s="1"/>
  <c r="E39" i="8"/>
  <c r="F39" i="8" s="1"/>
  <c r="G39" i="8" s="1"/>
  <c r="E40" i="8"/>
  <c r="F40" i="8" s="1"/>
  <c r="G40" i="8" s="1"/>
  <c r="E41" i="8"/>
  <c r="F41" i="8" s="1"/>
  <c r="G41" i="8" s="1"/>
  <c r="E42" i="8"/>
  <c r="F42" i="8" s="1"/>
  <c r="G42" i="8" s="1"/>
  <c r="E43" i="8"/>
  <c r="F43" i="8" s="1"/>
  <c r="G43" i="8" s="1"/>
  <c r="E44" i="8"/>
  <c r="F44" i="8" s="1"/>
  <c r="G44" i="8" s="1"/>
  <c r="E45" i="8"/>
  <c r="F45" i="8" s="1"/>
  <c r="G45" i="8" s="1"/>
  <c r="E46" i="8"/>
  <c r="F46" i="8" s="1"/>
  <c r="G46" i="8" s="1"/>
  <c r="E47" i="8"/>
  <c r="F47" i="8" s="1"/>
  <c r="G47" i="8" s="1"/>
  <c r="E48" i="8"/>
  <c r="F48" i="8" s="1"/>
  <c r="G48" i="8" s="1"/>
  <c r="E49" i="8"/>
  <c r="F49" i="8" s="1"/>
  <c r="G49" i="8" s="1"/>
  <c r="E50" i="8"/>
  <c r="F50" i="8" s="1"/>
  <c r="G50" i="8" s="1"/>
  <c r="E51" i="8"/>
  <c r="F51" i="8" s="1"/>
  <c r="G51" i="8" s="1"/>
  <c r="H12" i="10" l="1"/>
  <c r="I12" i="10" s="1"/>
  <c r="C16" i="10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D12" i="10"/>
  <c r="B36" i="8"/>
  <c r="B42" i="8"/>
  <c r="B48" i="8"/>
  <c r="B22" i="8"/>
  <c r="B15" i="8"/>
  <c r="B43" i="8"/>
  <c r="B30" i="8"/>
  <c r="B16" i="8"/>
  <c r="B34" i="8"/>
  <c r="B28" i="8"/>
  <c r="B40" i="8"/>
  <c r="B21" i="8"/>
  <c r="B46" i="8"/>
  <c r="B33" i="8"/>
  <c r="B27" i="8"/>
  <c r="B13" i="8"/>
  <c r="B24" i="8"/>
  <c r="B49" i="8"/>
  <c r="B45" i="8"/>
  <c r="B19" i="8"/>
  <c r="B12" i="8"/>
  <c r="C12" i="8" s="1"/>
  <c r="C13" i="8" s="1"/>
  <c r="B39" i="8"/>
  <c r="B51" i="8"/>
  <c r="B38" i="8"/>
  <c r="B32" i="8"/>
  <c r="B44" i="8"/>
  <c r="B25" i="8"/>
  <c r="B18" i="8"/>
  <c r="B17" i="8"/>
  <c r="B50" i="8"/>
  <c r="B37" i="8"/>
  <c r="F28" i="8"/>
  <c r="G28" i="8" s="1"/>
  <c r="B26" i="8"/>
  <c r="F22" i="8"/>
  <c r="G22" i="8" s="1"/>
  <c r="B20" i="8"/>
  <c r="F16" i="8"/>
  <c r="G16" i="8" s="1"/>
  <c r="B14" i="8"/>
  <c r="B47" i="8"/>
  <c r="B41" i="8"/>
  <c r="B35" i="8"/>
  <c r="B29" i="8"/>
  <c r="B23" i="8"/>
  <c r="H12" i="8"/>
  <c r="I12" i="8" s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V3" i="3"/>
  <c r="J12" i="10" l="1"/>
  <c r="K12" i="10" s="1"/>
  <c r="H13" i="10" s="1"/>
  <c r="I13" i="10" s="1"/>
  <c r="D12" i="8"/>
  <c r="C14" i="8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J12" i="8"/>
  <c r="K12" i="8" s="1"/>
  <c r="H13" i="8" s="1"/>
  <c r="I13" i="8" s="1"/>
  <c r="D7" i="5"/>
  <c r="E7" i="5"/>
  <c r="F7" i="5"/>
  <c r="C7" i="5"/>
  <c r="B7" i="5"/>
  <c r="G6" i="5"/>
  <c r="D5" i="5"/>
  <c r="E5" i="5"/>
  <c r="F5" i="5"/>
  <c r="C5" i="5"/>
  <c r="D4" i="5"/>
  <c r="E4" i="5"/>
  <c r="F4" i="5"/>
  <c r="C4" i="5"/>
  <c r="F3" i="5"/>
  <c r="E3" i="5"/>
  <c r="D3" i="5"/>
  <c r="C3" i="5"/>
  <c r="B3" i="5"/>
  <c r="Y10" i="4"/>
  <c r="D13" i="10" l="1"/>
  <c r="J13" i="10" s="1"/>
  <c r="K13" i="10" s="1"/>
  <c r="D14" i="10" s="1"/>
  <c r="D13" i="8"/>
  <c r="J13" i="8" s="1"/>
  <c r="K13" i="8" s="1"/>
  <c r="N2" i="1"/>
  <c r="M2" i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K27" i="4"/>
  <c r="K75" i="4"/>
  <c r="K123" i="4"/>
  <c r="K171" i="4"/>
  <c r="K219" i="4"/>
  <c r="K267" i="4"/>
  <c r="K315" i="4"/>
  <c r="K363" i="4"/>
  <c r="K411" i="4"/>
  <c r="K459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3" i="4"/>
  <c r="D4" i="4"/>
  <c r="D5" i="4"/>
  <c r="D6" i="4"/>
  <c r="K6" i="4" s="1"/>
  <c r="D7" i="4"/>
  <c r="K7" i="4" s="1"/>
  <c r="D8" i="4"/>
  <c r="K8" i="4" s="1"/>
  <c r="D9" i="4"/>
  <c r="K9" i="4" s="1"/>
  <c r="D10" i="4"/>
  <c r="K10" i="4" s="1"/>
  <c r="D11" i="4"/>
  <c r="K11" i="4" s="1"/>
  <c r="D12" i="4"/>
  <c r="K12" i="4" s="1"/>
  <c r="D13" i="4"/>
  <c r="K13" i="4" s="1"/>
  <c r="D14" i="4"/>
  <c r="K14" i="4" s="1"/>
  <c r="D15" i="4"/>
  <c r="K15" i="4" s="1"/>
  <c r="D16" i="4"/>
  <c r="D17" i="4"/>
  <c r="D18" i="4"/>
  <c r="K18" i="4" s="1"/>
  <c r="D19" i="4"/>
  <c r="K19" i="4" s="1"/>
  <c r="D20" i="4"/>
  <c r="K20" i="4" s="1"/>
  <c r="D21" i="4"/>
  <c r="K21" i="4" s="1"/>
  <c r="D22" i="4"/>
  <c r="K22" i="4" s="1"/>
  <c r="D23" i="4"/>
  <c r="K23" i="4" s="1"/>
  <c r="D24" i="4"/>
  <c r="K24" i="4" s="1"/>
  <c r="D25" i="4"/>
  <c r="K25" i="4" s="1"/>
  <c r="D26" i="4"/>
  <c r="K26" i="4" s="1"/>
  <c r="D27" i="4"/>
  <c r="D28" i="4"/>
  <c r="D29" i="4"/>
  <c r="D30" i="4"/>
  <c r="K30" i="4" s="1"/>
  <c r="D31" i="4"/>
  <c r="K31" i="4" s="1"/>
  <c r="D32" i="4"/>
  <c r="K32" i="4" s="1"/>
  <c r="D33" i="4"/>
  <c r="K33" i="4" s="1"/>
  <c r="D34" i="4"/>
  <c r="K34" i="4" s="1"/>
  <c r="D35" i="4"/>
  <c r="K35" i="4" s="1"/>
  <c r="D36" i="4"/>
  <c r="K36" i="4" s="1"/>
  <c r="D37" i="4"/>
  <c r="K37" i="4" s="1"/>
  <c r="D38" i="4"/>
  <c r="K38" i="4" s="1"/>
  <c r="D39" i="4"/>
  <c r="K39" i="4" s="1"/>
  <c r="D40" i="4"/>
  <c r="D41" i="4"/>
  <c r="D42" i="4"/>
  <c r="K42" i="4" s="1"/>
  <c r="D43" i="4"/>
  <c r="K43" i="4" s="1"/>
  <c r="D44" i="4"/>
  <c r="K44" i="4" s="1"/>
  <c r="D45" i="4"/>
  <c r="K45" i="4" s="1"/>
  <c r="D46" i="4"/>
  <c r="K46" i="4" s="1"/>
  <c r="D47" i="4"/>
  <c r="K47" i="4" s="1"/>
  <c r="D48" i="4"/>
  <c r="K48" i="4" s="1"/>
  <c r="D49" i="4"/>
  <c r="K49" i="4" s="1"/>
  <c r="D50" i="4"/>
  <c r="K50" i="4" s="1"/>
  <c r="D51" i="4"/>
  <c r="K51" i="4" s="1"/>
  <c r="D52" i="4"/>
  <c r="D53" i="4"/>
  <c r="D54" i="4"/>
  <c r="K54" i="4" s="1"/>
  <c r="D55" i="4"/>
  <c r="K55" i="4" s="1"/>
  <c r="D56" i="4"/>
  <c r="K56" i="4" s="1"/>
  <c r="D57" i="4"/>
  <c r="K57" i="4" s="1"/>
  <c r="D58" i="4"/>
  <c r="K58" i="4" s="1"/>
  <c r="D59" i="4"/>
  <c r="K59" i="4" s="1"/>
  <c r="D60" i="4"/>
  <c r="K60" i="4" s="1"/>
  <c r="D61" i="4"/>
  <c r="K61" i="4" s="1"/>
  <c r="D62" i="4"/>
  <c r="K62" i="4" s="1"/>
  <c r="D63" i="4"/>
  <c r="K63" i="4" s="1"/>
  <c r="D64" i="4"/>
  <c r="D65" i="4"/>
  <c r="D66" i="4"/>
  <c r="K66" i="4" s="1"/>
  <c r="D67" i="4"/>
  <c r="K67" i="4" s="1"/>
  <c r="D68" i="4"/>
  <c r="K68" i="4" s="1"/>
  <c r="D69" i="4"/>
  <c r="K69" i="4" s="1"/>
  <c r="D70" i="4"/>
  <c r="K70" i="4" s="1"/>
  <c r="D71" i="4"/>
  <c r="K71" i="4" s="1"/>
  <c r="D72" i="4"/>
  <c r="K72" i="4" s="1"/>
  <c r="D73" i="4"/>
  <c r="K73" i="4" s="1"/>
  <c r="D74" i="4"/>
  <c r="K74" i="4" s="1"/>
  <c r="D75" i="4"/>
  <c r="D76" i="4"/>
  <c r="D77" i="4"/>
  <c r="D78" i="4"/>
  <c r="K78" i="4" s="1"/>
  <c r="D79" i="4"/>
  <c r="K79" i="4" s="1"/>
  <c r="D80" i="4"/>
  <c r="K80" i="4" s="1"/>
  <c r="D81" i="4"/>
  <c r="K81" i="4" s="1"/>
  <c r="D82" i="4"/>
  <c r="K82" i="4" s="1"/>
  <c r="D83" i="4"/>
  <c r="K83" i="4" s="1"/>
  <c r="D84" i="4"/>
  <c r="K84" i="4" s="1"/>
  <c r="D85" i="4"/>
  <c r="K85" i="4" s="1"/>
  <c r="D86" i="4"/>
  <c r="K86" i="4" s="1"/>
  <c r="D87" i="4"/>
  <c r="K87" i="4" s="1"/>
  <c r="D88" i="4"/>
  <c r="D89" i="4"/>
  <c r="D90" i="4"/>
  <c r="K90" i="4" s="1"/>
  <c r="D91" i="4"/>
  <c r="K91" i="4" s="1"/>
  <c r="D92" i="4"/>
  <c r="K92" i="4" s="1"/>
  <c r="D93" i="4"/>
  <c r="K93" i="4" s="1"/>
  <c r="D94" i="4"/>
  <c r="K94" i="4" s="1"/>
  <c r="D95" i="4"/>
  <c r="K95" i="4" s="1"/>
  <c r="D96" i="4"/>
  <c r="K96" i="4" s="1"/>
  <c r="D97" i="4"/>
  <c r="K97" i="4" s="1"/>
  <c r="D98" i="4"/>
  <c r="K98" i="4" s="1"/>
  <c r="D99" i="4"/>
  <c r="K99" i="4" s="1"/>
  <c r="D100" i="4"/>
  <c r="D101" i="4"/>
  <c r="D102" i="4"/>
  <c r="K102" i="4" s="1"/>
  <c r="D103" i="4"/>
  <c r="K103" i="4" s="1"/>
  <c r="D104" i="4"/>
  <c r="K104" i="4" s="1"/>
  <c r="D105" i="4"/>
  <c r="K105" i="4" s="1"/>
  <c r="D106" i="4"/>
  <c r="K106" i="4" s="1"/>
  <c r="D107" i="4"/>
  <c r="K107" i="4" s="1"/>
  <c r="D108" i="4"/>
  <c r="K108" i="4" s="1"/>
  <c r="D109" i="4"/>
  <c r="K109" i="4" s="1"/>
  <c r="D110" i="4"/>
  <c r="K110" i="4" s="1"/>
  <c r="D111" i="4"/>
  <c r="K111" i="4" s="1"/>
  <c r="D112" i="4"/>
  <c r="D113" i="4"/>
  <c r="D114" i="4"/>
  <c r="K114" i="4" s="1"/>
  <c r="D115" i="4"/>
  <c r="K115" i="4" s="1"/>
  <c r="D116" i="4"/>
  <c r="K116" i="4" s="1"/>
  <c r="D117" i="4"/>
  <c r="K117" i="4" s="1"/>
  <c r="D118" i="4"/>
  <c r="K118" i="4" s="1"/>
  <c r="D119" i="4"/>
  <c r="K119" i="4" s="1"/>
  <c r="D120" i="4"/>
  <c r="K120" i="4" s="1"/>
  <c r="D121" i="4"/>
  <c r="K121" i="4" s="1"/>
  <c r="D122" i="4"/>
  <c r="K122" i="4" s="1"/>
  <c r="D123" i="4"/>
  <c r="D124" i="4"/>
  <c r="D125" i="4"/>
  <c r="D126" i="4"/>
  <c r="K126" i="4" s="1"/>
  <c r="D127" i="4"/>
  <c r="K127" i="4" s="1"/>
  <c r="D128" i="4"/>
  <c r="K128" i="4" s="1"/>
  <c r="D129" i="4"/>
  <c r="K129" i="4" s="1"/>
  <c r="D130" i="4"/>
  <c r="K130" i="4" s="1"/>
  <c r="D131" i="4"/>
  <c r="K131" i="4" s="1"/>
  <c r="D132" i="4"/>
  <c r="K132" i="4" s="1"/>
  <c r="D133" i="4"/>
  <c r="K133" i="4" s="1"/>
  <c r="D134" i="4"/>
  <c r="K134" i="4" s="1"/>
  <c r="D135" i="4"/>
  <c r="K135" i="4" s="1"/>
  <c r="D136" i="4"/>
  <c r="D137" i="4"/>
  <c r="D138" i="4"/>
  <c r="K138" i="4" s="1"/>
  <c r="D139" i="4"/>
  <c r="K139" i="4" s="1"/>
  <c r="D140" i="4"/>
  <c r="K140" i="4" s="1"/>
  <c r="D141" i="4"/>
  <c r="K141" i="4" s="1"/>
  <c r="D142" i="4"/>
  <c r="K142" i="4" s="1"/>
  <c r="D143" i="4"/>
  <c r="K143" i="4" s="1"/>
  <c r="D144" i="4"/>
  <c r="K144" i="4" s="1"/>
  <c r="D145" i="4"/>
  <c r="K145" i="4" s="1"/>
  <c r="D146" i="4"/>
  <c r="K146" i="4" s="1"/>
  <c r="D147" i="4"/>
  <c r="K147" i="4" s="1"/>
  <c r="D148" i="4"/>
  <c r="D149" i="4"/>
  <c r="D150" i="4"/>
  <c r="K150" i="4" s="1"/>
  <c r="D151" i="4"/>
  <c r="K151" i="4" s="1"/>
  <c r="D152" i="4"/>
  <c r="K152" i="4" s="1"/>
  <c r="D153" i="4"/>
  <c r="K153" i="4" s="1"/>
  <c r="D154" i="4"/>
  <c r="K154" i="4" s="1"/>
  <c r="D155" i="4"/>
  <c r="K155" i="4" s="1"/>
  <c r="D156" i="4"/>
  <c r="K156" i="4" s="1"/>
  <c r="D157" i="4"/>
  <c r="K157" i="4" s="1"/>
  <c r="D158" i="4"/>
  <c r="K158" i="4" s="1"/>
  <c r="D159" i="4"/>
  <c r="K159" i="4" s="1"/>
  <c r="D160" i="4"/>
  <c r="D161" i="4"/>
  <c r="D162" i="4"/>
  <c r="K162" i="4" s="1"/>
  <c r="D163" i="4"/>
  <c r="K163" i="4" s="1"/>
  <c r="D164" i="4"/>
  <c r="K164" i="4" s="1"/>
  <c r="D165" i="4"/>
  <c r="K165" i="4" s="1"/>
  <c r="D166" i="4"/>
  <c r="K166" i="4" s="1"/>
  <c r="D167" i="4"/>
  <c r="K167" i="4" s="1"/>
  <c r="D168" i="4"/>
  <c r="K168" i="4" s="1"/>
  <c r="D169" i="4"/>
  <c r="K169" i="4" s="1"/>
  <c r="D170" i="4"/>
  <c r="K170" i="4" s="1"/>
  <c r="D171" i="4"/>
  <c r="D172" i="4"/>
  <c r="D173" i="4"/>
  <c r="D174" i="4"/>
  <c r="K174" i="4" s="1"/>
  <c r="D175" i="4"/>
  <c r="K175" i="4" s="1"/>
  <c r="D176" i="4"/>
  <c r="K176" i="4" s="1"/>
  <c r="D177" i="4"/>
  <c r="K177" i="4" s="1"/>
  <c r="D178" i="4"/>
  <c r="K178" i="4" s="1"/>
  <c r="D179" i="4"/>
  <c r="K179" i="4" s="1"/>
  <c r="D180" i="4"/>
  <c r="K180" i="4" s="1"/>
  <c r="D181" i="4"/>
  <c r="K181" i="4" s="1"/>
  <c r="D182" i="4"/>
  <c r="K182" i="4" s="1"/>
  <c r="D183" i="4"/>
  <c r="K183" i="4" s="1"/>
  <c r="D184" i="4"/>
  <c r="D185" i="4"/>
  <c r="D186" i="4"/>
  <c r="K186" i="4" s="1"/>
  <c r="D187" i="4"/>
  <c r="K187" i="4" s="1"/>
  <c r="D188" i="4"/>
  <c r="K188" i="4" s="1"/>
  <c r="D189" i="4"/>
  <c r="K189" i="4" s="1"/>
  <c r="D190" i="4"/>
  <c r="K190" i="4" s="1"/>
  <c r="D191" i="4"/>
  <c r="K191" i="4" s="1"/>
  <c r="D192" i="4"/>
  <c r="K192" i="4" s="1"/>
  <c r="D193" i="4"/>
  <c r="K193" i="4" s="1"/>
  <c r="D194" i="4"/>
  <c r="K194" i="4" s="1"/>
  <c r="D195" i="4"/>
  <c r="K195" i="4" s="1"/>
  <c r="D196" i="4"/>
  <c r="D197" i="4"/>
  <c r="D198" i="4"/>
  <c r="K198" i="4" s="1"/>
  <c r="D199" i="4"/>
  <c r="K199" i="4" s="1"/>
  <c r="D200" i="4"/>
  <c r="K200" i="4" s="1"/>
  <c r="D201" i="4"/>
  <c r="K201" i="4" s="1"/>
  <c r="D202" i="4"/>
  <c r="K202" i="4" s="1"/>
  <c r="D203" i="4"/>
  <c r="K203" i="4" s="1"/>
  <c r="D204" i="4"/>
  <c r="K204" i="4" s="1"/>
  <c r="D205" i="4"/>
  <c r="K205" i="4" s="1"/>
  <c r="D206" i="4"/>
  <c r="K206" i="4" s="1"/>
  <c r="D207" i="4"/>
  <c r="K207" i="4" s="1"/>
  <c r="D208" i="4"/>
  <c r="D209" i="4"/>
  <c r="D210" i="4"/>
  <c r="K210" i="4" s="1"/>
  <c r="D211" i="4"/>
  <c r="K211" i="4" s="1"/>
  <c r="D212" i="4"/>
  <c r="K212" i="4" s="1"/>
  <c r="D213" i="4"/>
  <c r="K213" i="4" s="1"/>
  <c r="D214" i="4"/>
  <c r="K214" i="4" s="1"/>
  <c r="D215" i="4"/>
  <c r="K215" i="4" s="1"/>
  <c r="D216" i="4"/>
  <c r="K216" i="4" s="1"/>
  <c r="D217" i="4"/>
  <c r="K217" i="4" s="1"/>
  <c r="D218" i="4"/>
  <c r="K218" i="4" s="1"/>
  <c r="D219" i="4"/>
  <c r="D220" i="4"/>
  <c r="D221" i="4"/>
  <c r="D222" i="4"/>
  <c r="K222" i="4" s="1"/>
  <c r="D223" i="4"/>
  <c r="K223" i="4" s="1"/>
  <c r="D224" i="4"/>
  <c r="K224" i="4" s="1"/>
  <c r="D225" i="4"/>
  <c r="K225" i="4" s="1"/>
  <c r="D226" i="4"/>
  <c r="K226" i="4" s="1"/>
  <c r="D227" i="4"/>
  <c r="K227" i="4" s="1"/>
  <c r="D228" i="4"/>
  <c r="K228" i="4" s="1"/>
  <c r="D229" i="4"/>
  <c r="K229" i="4" s="1"/>
  <c r="D230" i="4"/>
  <c r="K230" i="4" s="1"/>
  <c r="D231" i="4"/>
  <c r="K231" i="4" s="1"/>
  <c r="D232" i="4"/>
  <c r="D233" i="4"/>
  <c r="D234" i="4"/>
  <c r="K234" i="4" s="1"/>
  <c r="D235" i="4"/>
  <c r="K235" i="4" s="1"/>
  <c r="D236" i="4"/>
  <c r="K236" i="4" s="1"/>
  <c r="D237" i="4"/>
  <c r="K237" i="4" s="1"/>
  <c r="D238" i="4"/>
  <c r="K238" i="4" s="1"/>
  <c r="D239" i="4"/>
  <c r="K239" i="4" s="1"/>
  <c r="D240" i="4"/>
  <c r="K240" i="4" s="1"/>
  <c r="D241" i="4"/>
  <c r="K241" i="4" s="1"/>
  <c r="D242" i="4"/>
  <c r="K242" i="4" s="1"/>
  <c r="D243" i="4"/>
  <c r="K243" i="4" s="1"/>
  <c r="D244" i="4"/>
  <c r="D245" i="4"/>
  <c r="D246" i="4"/>
  <c r="K246" i="4" s="1"/>
  <c r="D247" i="4"/>
  <c r="K247" i="4" s="1"/>
  <c r="D248" i="4"/>
  <c r="K248" i="4" s="1"/>
  <c r="D249" i="4"/>
  <c r="K249" i="4" s="1"/>
  <c r="D250" i="4"/>
  <c r="K250" i="4" s="1"/>
  <c r="D251" i="4"/>
  <c r="K251" i="4" s="1"/>
  <c r="D252" i="4"/>
  <c r="K252" i="4" s="1"/>
  <c r="D253" i="4"/>
  <c r="K253" i="4" s="1"/>
  <c r="D254" i="4"/>
  <c r="K254" i="4" s="1"/>
  <c r="D255" i="4"/>
  <c r="K255" i="4" s="1"/>
  <c r="D256" i="4"/>
  <c r="D257" i="4"/>
  <c r="D258" i="4"/>
  <c r="K258" i="4" s="1"/>
  <c r="D259" i="4"/>
  <c r="K259" i="4" s="1"/>
  <c r="D260" i="4"/>
  <c r="K260" i="4" s="1"/>
  <c r="D261" i="4"/>
  <c r="K261" i="4" s="1"/>
  <c r="D262" i="4"/>
  <c r="K262" i="4" s="1"/>
  <c r="D263" i="4"/>
  <c r="K263" i="4" s="1"/>
  <c r="D264" i="4"/>
  <c r="K264" i="4" s="1"/>
  <c r="D265" i="4"/>
  <c r="K265" i="4" s="1"/>
  <c r="D266" i="4"/>
  <c r="K266" i="4" s="1"/>
  <c r="D267" i="4"/>
  <c r="D268" i="4"/>
  <c r="D269" i="4"/>
  <c r="D270" i="4"/>
  <c r="K270" i="4" s="1"/>
  <c r="D271" i="4"/>
  <c r="K271" i="4" s="1"/>
  <c r="D272" i="4"/>
  <c r="K272" i="4" s="1"/>
  <c r="D273" i="4"/>
  <c r="K273" i="4" s="1"/>
  <c r="D274" i="4"/>
  <c r="K274" i="4" s="1"/>
  <c r="D275" i="4"/>
  <c r="K275" i="4" s="1"/>
  <c r="D276" i="4"/>
  <c r="K276" i="4" s="1"/>
  <c r="D277" i="4"/>
  <c r="K277" i="4" s="1"/>
  <c r="D278" i="4"/>
  <c r="K278" i="4" s="1"/>
  <c r="D279" i="4"/>
  <c r="K279" i="4" s="1"/>
  <c r="D280" i="4"/>
  <c r="D281" i="4"/>
  <c r="D282" i="4"/>
  <c r="K282" i="4" s="1"/>
  <c r="D283" i="4"/>
  <c r="K283" i="4" s="1"/>
  <c r="D284" i="4"/>
  <c r="K284" i="4" s="1"/>
  <c r="D285" i="4"/>
  <c r="K285" i="4" s="1"/>
  <c r="D286" i="4"/>
  <c r="K286" i="4" s="1"/>
  <c r="D287" i="4"/>
  <c r="K287" i="4" s="1"/>
  <c r="D288" i="4"/>
  <c r="K288" i="4" s="1"/>
  <c r="D289" i="4"/>
  <c r="K289" i="4" s="1"/>
  <c r="D290" i="4"/>
  <c r="K290" i="4" s="1"/>
  <c r="D291" i="4"/>
  <c r="K291" i="4" s="1"/>
  <c r="D292" i="4"/>
  <c r="D293" i="4"/>
  <c r="D294" i="4"/>
  <c r="K294" i="4" s="1"/>
  <c r="D295" i="4"/>
  <c r="K295" i="4" s="1"/>
  <c r="D296" i="4"/>
  <c r="K296" i="4" s="1"/>
  <c r="D297" i="4"/>
  <c r="K297" i="4" s="1"/>
  <c r="D298" i="4"/>
  <c r="K298" i="4" s="1"/>
  <c r="D299" i="4"/>
  <c r="K299" i="4" s="1"/>
  <c r="D300" i="4"/>
  <c r="K300" i="4" s="1"/>
  <c r="D301" i="4"/>
  <c r="K301" i="4" s="1"/>
  <c r="D302" i="4"/>
  <c r="K302" i="4" s="1"/>
  <c r="D303" i="4"/>
  <c r="K303" i="4" s="1"/>
  <c r="D304" i="4"/>
  <c r="D305" i="4"/>
  <c r="D306" i="4"/>
  <c r="K306" i="4" s="1"/>
  <c r="D307" i="4"/>
  <c r="K307" i="4" s="1"/>
  <c r="D308" i="4"/>
  <c r="K308" i="4" s="1"/>
  <c r="D309" i="4"/>
  <c r="K309" i="4" s="1"/>
  <c r="D310" i="4"/>
  <c r="K310" i="4" s="1"/>
  <c r="D311" i="4"/>
  <c r="K311" i="4" s="1"/>
  <c r="D312" i="4"/>
  <c r="K312" i="4" s="1"/>
  <c r="D313" i="4"/>
  <c r="K313" i="4" s="1"/>
  <c r="D314" i="4"/>
  <c r="K314" i="4" s="1"/>
  <c r="D315" i="4"/>
  <c r="D316" i="4"/>
  <c r="D317" i="4"/>
  <c r="D318" i="4"/>
  <c r="K318" i="4" s="1"/>
  <c r="D319" i="4"/>
  <c r="K319" i="4" s="1"/>
  <c r="D320" i="4"/>
  <c r="K320" i="4" s="1"/>
  <c r="D321" i="4"/>
  <c r="K321" i="4" s="1"/>
  <c r="D322" i="4"/>
  <c r="K322" i="4" s="1"/>
  <c r="D323" i="4"/>
  <c r="K323" i="4" s="1"/>
  <c r="D324" i="4"/>
  <c r="K324" i="4" s="1"/>
  <c r="D325" i="4"/>
  <c r="K325" i="4" s="1"/>
  <c r="D326" i="4"/>
  <c r="K326" i="4" s="1"/>
  <c r="D327" i="4"/>
  <c r="K327" i="4" s="1"/>
  <c r="D328" i="4"/>
  <c r="D329" i="4"/>
  <c r="D330" i="4"/>
  <c r="K330" i="4" s="1"/>
  <c r="D331" i="4"/>
  <c r="K331" i="4" s="1"/>
  <c r="D332" i="4"/>
  <c r="K332" i="4" s="1"/>
  <c r="D333" i="4"/>
  <c r="K333" i="4" s="1"/>
  <c r="D334" i="4"/>
  <c r="K334" i="4" s="1"/>
  <c r="D335" i="4"/>
  <c r="K335" i="4" s="1"/>
  <c r="D336" i="4"/>
  <c r="K336" i="4" s="1"/>
  <c r="D337" i="4"/>
  <c r="K337" i="4" s="1"/>
  <c r="D338" i="4"/>
  <c r="K338" i="4" s="1"/>
  <c r="D339" i="4"/>
  <c r="K339" i="4" s="1"/>
  <c r="D340" i="4"/>
  <c r="D341" i="4"/>
  <c r="D342" i="4"/>
  <c r="K342" i="4" s="1"/>
  <c r="D343" i="4"/>
  <c r="K343" i="4" s="1"/>
  <c r="D344" i="4"/>
  <c r="K344" i="4" s="1"/>
  <c r="D345" i="4"/>
  <c r="K345" i="4" s="1"/>
  <c r="D346" i="4"/>
  <c r="K346" i="4" s="1"/>
  <c r="D347" i="4"/>
  <c r="K347" i="4" s="1"/>
  <c r="D348" i="4"/>
  <c r="K348" i="4" s="1"/>
  <c r="D349" i="4"/>
  <c r="K349" i="4" s="1"/>
  <c r="D350" i="4"/>
  <c r="K350" i="4" s="1"/>
  <c r="D351" i="4"/>
  <c r="K351" i="4" s="1"/>
  <c r="D352" i="4"/>
  <c r="D353" i="4"/>
  <c r="D354" i="4"/>
  <c r="K354" i="4" s="1"/>
  <c r="D355" i="4"/>
  <c r="K355" i="4" s="1"/>
  <c r="D356" i="4"/>
  <c r="K356" i="4" s="1"/>
  <c r="D357" i="4"/>
  <c r="K357" i="4" s="1"/>
  <c r="D358" i="4"/>
  <c r="K358" i="4" s="1"/>
  <c r="D359" i="4"/>
  <c r="K359" i="4" s="1"/>
  <c r="D360" i="4"/>
  <c r="K360" i="4" s="1"/>
  <c r="D361" i="4"/>
  <c r="K361" i="4" s="1"/>
  <c r="D362" i="4"/>
  <c r="K362" i="4" s="1"/>
  <c r="D363" i="4"/>
  <c r="D364" i="4"/>
  <c r="D365" i="4"/>
  <c r="D366" i="4"/>
  <c r="K366" i="4" s="1"/>
  <c r="D367" i="4"/>
  <c r="K367" i="4" s="1"/>
  <c r="D368" i="4"/>
  <c r="K368" i="4" s="1"/>
  <c r="D369" i="4"/>
  <c r="K369" i="4" s="1"/>
  <c r="D370" i="4"/>
  <c r="K370" i="4" s="1"/>
  <c r="D371" i="4"/>
  <c r="K371" i="4" s="1"/>
  <c r="D372" i="4"/>
  <c r="K372" i="4" s="1"/>
  <c r="D373" i="4"/>
  <c r="K373" i="4" s="1"/>
  <c r="D374" i="4"/>
  <c r="K374" i="4" s="1"/>
  <c r="D375" i="4"/>
  <c r="K375" i="4" s="1"/>
  <c r="D376" i="4"/>
  <c r="D377" i="4"/>
  <c r="D378" i="4"/>
  <c r="K378" i="4" s="1"/>
  <c r="D379" i="4"/>
  <c r="K379" i="4" s="1"/>
  <c r="D380" i="4"/>
  <c r="K380" i="4" s="1"/>
  <c r="D381" i="4"/>
  <c r="K381" i="4" s="1"/>
  <c r="D382" i="4"/>
  <c r="K382" i="4" s="1"/>
  <c r="D383" i="4"/>
  <c r="K383" i="4" s="1"/>
  <c r="D384" i="4"/>
  <c r="K384" i="4" s="1"/>
  <c r="D385" i="4"/>
  <c r="K385" i="4" s="1"/>
  <c r="D386" i="4"/>
  <c r="K386" i="4" s="1"/>
  <c r="D387" i="4"/>
  <c r="K387" i="4" s="1"/>
  <c r="D388" i="4"/>
  <c r="D389" i="4"/>
  <c r="D390" i="4"/>
  <c r="K390" i="4" s="1"/>
  <c r="D391" i="4"/>
  <c r="K391" i="4" s="1"/>
  <c r="D392" i="4"/>
  <c r="K392" i="4" s="1"/>
  <c r="D393" i="4"/>
  <c r="K393" i="4" s="1"/>
  <c r="D394" i="4"/>
  <c r="K394" i="4" s="1"/>
  <c r="D395" i="4"/>
  <c r="K395" i="4" s="1"/>
  <c r="D396" i="4"/>
  <c r="K396" i="4" s="1"/>
  <c r="D397" i="4"/>
  <c r="K397" i="4" s="1"/>
  <c r="D398" i="4"/>
  <c r="K398" i="4" s="1"/>
  <c r="D399" i="4"/>
  <c r="K399" i="4" s="1"/>
  <c r="D400" i="4"/>
  <c r="D401" i="4"/>
  <c r="D402" i="4"/>
  <c r="K402" i="4" s="1"/>
  <c r="D403" i="4"/>
  <c r="K403" i="4" s="1"/>
  <c r="D404" i="4"/>
  <c r="K404" i="4" s="1"/>
  <c r="D405" i="4"/>
  <c r="K405" i="4" s="1"/>
  <c r="D406" i="4"/>
  <c r="K406" i="4" s="1"/>
  <c r="D407" i="4"/>
  <c r="K407" i="4" s="1"/>
  <c r="D408" i="4"/>
  <c r="K408" i="4" s="1"/>
  <c r="D409" i="4"/>
  <c r="K409" i="4" s="1"/>
  <c r="D410" i="4"/>
  <c r="K410" i="4" s="1"/>
  <c r="D411" i="4"/>
  <c r="D412" i="4"/>
  <c r="D413" i="4"/>
  <c r="D414" i="4"/>
  <c r="K414" i="4" s="1"/>
  <c r="D415" i="4"/>
  <c r="K415" i="4" s="1"/>
  <c r="D416" i="4"/>
  <c r="K416" i="4" s="1"/>
  <c r="D417" i="4"/>
  <c r="K417" i="4" s="1"/>
  <c r="D418" i="4"/>
  <c r="K418" i="4" s="1"/>
  <c r="D419" i="4"/>
  <c r="K419" i="4" s="1"/>
  <c r="D420" i="4"/>
  <c r="K420" i="4" s="1"/>
  <c r="D421" i="4"/>
  <c r="K421" i="4" s="1"/>
  <c r="D422" i="4"/>
  <c r="K422" i="4" s="1"/>
  <c r="D423" i="4"/>
  <c r="K423" i="4" s="1"/>
  <c r="D424" i="4"/>
  <c r="D425" i="4"/>
  <c r="D426" i="4"/>
  <c r="K426" i="4" s="1"/>
  <c r="D427" i="4"/>
  <c r="K427" i="4" s="1"/>
  <c r="D428" i="4"/>
  <c r="K428" i="4" s="1"/>
  <c r="D429" i="4"/>
  <c r="K429" i="4" s="1"/>
  <c r="D430" i="4"/>
  <c r="K430" i="4" s="1"/>
  <c r="D431" i="4"/>
  <c r="K431" i="4" s="1"/>
  <c r="D432" i="4"/>
  <c r="K432" i="4" s="1"/>
  <c r="D433" i="4"/>
  <c r="K433" i="4" s="1"/>
  <c r="D434" i="4"/>
  <c r="K434" i="4" s="1"/>
  <c r="D435" i="4"/>
  <c r="K435" i="4" s="1"/>
  <c r="D436" i="4"/>
  <c r="D437" i="4"/>
  <c r="D438" i="4"/>
  <c r="K438" i="4" s="1"/>
  <c r="D439" i="4"/>
  <c r="K439" i="4" s="1"/>
  <c r="D440" i="4"/>
  <c r="K440" i="4" s="1"/>
  <c r="D441" i="4"/>
  <c r="K441" i="4" s="1"/>
  <c r="D442" i="4"/>
  <c r="K442" i="4" s="1"/>
  <c r="D443" i="4"/>
  <c r="K443" i="4" s="1"/>
  <c r="D444" i="4"/>
  <c r="K444" i="4" s="1"/>
  <c r="D445" i="4"/>
  <c r="K445" i="4" s="1"/>
  <c r="D446" i="4"/>
  <c r="K446" i="4" s="1"/>
  <c r="D447" i="4"/>
  <c r="K447" i="4" s="1"/>
  <c r="D448" i="4"/>
  <c r="D449" i="4"/>
  <c r="D450" i="4"/>
  <c r="K450" i="4" s="1"/>
  <c r="D451" i="4"/>
  <c r="K451" i="4" s="1"/>
  <c r="D452" i="4"/>
  <c r="K452" i="4" s="1"/>
  <c r="D453" i="4"/>
  <c r="K453" i="4" s="1"/>
  <c r="D454" i="4"/>
  <c r="K454" i="4" s="1"/>
  <c r="D455" i="4"/>
  <c r="K455" i="4" s="1"/>
  <c r="D456" i="4"/>
  <c r="K456" i="4" s="1"/>
  <c r="D457" i="4"/>
  <c r="K457" i="4" s="1"/>
  <c r="D458" i="4"/>
  <c r="K458" i="4" s="1"/>
  <c r="D459" i="4"/>
  <c r="D460" i="4"/>
  <c r="D461" i="4"/>
  <c r="D462" i="4"/>
  <c r="K462" i="4" s="1"/>
  <c r="D463" i="4"/>
  <c r="K463" i="4" s="1"/>
  <c r="D464" i="4"/>
  <c r="K464" i="4" s="1"/>
  <c r="D465" i="4"/>
  <c r="K465" i="4" s="1"/>
  <c r="D466" i="4"/>
  <c r="K466" i="4" s="1"/>
  <c r="D467" i="4"/>
  <c r="K467" i="4" s="1"/>
  <c r="D468" i="4"/>
  <c r="K468" i="4" s="1"/>
  <c r="D469" i="4"/>
  <c r="K469" i="4" s="1"/>
  <c r="D470" i="4"/>
  <c r="K470" i="4" s="1"/>
  <c r="D471" i="4"/>
  <c r="K471" i="4" s="1"/>
  <c r="D472" i="4"/>
  <c r="D473" i="4"/>
  <c r="D474" i="4"/>
  <c r="K474" i="4" s="1"/>
  <c r="D475" i="4"/>
  <c r="K475" i="4" s="1"/>
  <c r="D476" i="4"/>
  <c r="K476" i="4" s="1"/>
  <c r="D477" i="4"/>
  <c r="K477" i="4" s="1"/>
  <c r="D478" i="4"/>
  <c r="K478" i="4" s="1"/>
  <c r="D479" i="4"/>
  <c r="K479" i="4" s="1"/>
  <c r="D480" i="4"/>
  <c r="K480" i="4" s="1"/>
  <c r="D481" i="4"/>
  <c r="K481" i="4" s="1"/>
  <c r="D482" i="4"/>
  <c r="K482" i="4" s="1"/>
  <c r="D483" i="4"/>
  <c r="K483" i="4" s="1"/>
  <c r="D484" i="4"/>
  <c r="D485" i="4"/>
  <c r="D486" i="4"/>
  <c r="K486" i="4" s="1"/>
  <c r="D487" i="4"/>
  <c r="K487" i="4" s="1"/>
  <c r="D488" i="4"/>
  <c r="K488" i="4" s="1"/>
  <c r="D489" i="4"/>
  <c r="K489" i="4" s="1"/>
  <c r="D490" i="4"/>
  <c r="K490" i="4" s="1"/>
  <c r="D491" i="4"/>
  <c r="K491" i="4" s="1"/>
  <c r="D492" i="4"/>
  <c r="K492" i="4" s="1"/>
  <c r="D493" i="4"/>
  <c r="K493" i="4" s="1"/>
  <c r="D494" i="4"/>
  <c r="K494" i="4" s="1"/>
  <c r="D495" i="4"/>
  <c r="K495" i="4" s="1"/>
  <c r="D496" i="4"/>
  <c r="D497" i="4"/>
  <c r="D498" i="4"/>
  <c r="K498" i="4" s="1"/>
  <c r="D499" i="4"/>
  <c r="K499" i="4" s="1"/>
  <c r="D500" i="4"/>
  <c r="K500" i="4" s="1"/>
  <c r="D501" i="4"/>
  <c r="K501" i="4" s="1"/>
  <c r="D502" i="4"/>
  <c r="K502" i="4" s="1"/>
  <c r="D503" i="4"/>
  <c r="K503" i="4" s="1"/>
  <c r="D504" i="4"/>
  <c r="K504" i="4" s="1"/>
  <c r="D505" i="4"/>
  <c r="K505" i="4" s="1"/>
  <c r="D3" i="4"/>
  <c r="K3" i="4" s="1"/>
  <c r="Y2" i="3"/>
  <c r="U3" i="3"/>
  <c r="U4" i="3"/>
  <c r="V4" i="3" s="1"/>
  <c r="U5" i="3"/>
  <c r="V5" i="3" s="1"/>
  <c r="U6" i="3"/>
  <c r="V6" i="3" s="1"/>
  <c r="U7" i="3"/>
  <c r="V7" i="3"/>
  <c r="U8" i="3"/>
  <c r="V8" i="3"/>
  <c r="U9" i="3"/>
  <c r="V9" i="3"/>
  <c r="U10" i="3"/>
  <c r="V10" i="3" s="1"/>
  <c r="U11" i="3"/>
  <c r="V11" i="3" s="1"/>
  <c r="U12" i="3"/>
  <c r="V12" i="3" s="1"/>
  <c r="U13" i="3"/>
  <c r="V13" i="3"/>
  <c r="U14" i="3"/>
  <c r="V14" i="3"/>
  <c r="U15" i="3"/>
  <c r="V15" i="3"/>
  <c r="U16" i="3"/>
  <c r="V16" i="3"/>
  <c r="U17" i="3"/>
  <c r="V17" i="3" s="1"/>
  <c r="U18" i="3"/>
  <c r="V18" i="3" s="1"/>
  <c r="U19" i="3"/>
  <c r="V19" i="3" s="1"/>
  <c r="U20" i="3"/>
  <c r="V20" i="3"/>
  <c r="U21" i="3"/>
  <c r="V21" i="3"/>
  <c r="U22" i="3"/>
  <c r="V22" i="3"/>
  <c r="U23" i="3"/>
  <c r="V23" i="3" s="1"/>
  <c r="U24" i="3"/>
  <c r="V24" i="3" s="1"/>
  <c r="U25" i="3"/>
  <c r="V25" i="3" s="1"/>
  <c r="U26" i="3"/>
  <c r="V26" i="3" s="1"/>
  <c r="U27" i="3"/>
  <c r="V27" i="3"/>
  <c r="U28" i="3"/>
  <c r="V28" i="3"/>
  <c r="U29" i="3"/>
  <c r="V29" i="3" s="1"/>
  <c r="U30" i="3"/>
  <c r="V30" i="3" s="1"/>
  <c r="U31" i="3"/>
  <c r="V31" i="3"/>
  <c r="U32" i="3"/>
  <c r="V32" i="3"/>
  <c r="U33" i="3"/>
  <c r="V33" i="3" s="1"/>
  <c r="U34" i="3"/>
  <c r="V34" i="3"/>
  <c r="U35" i="3"/>
  <c r="V35" i="3" s="1"/>
  <c r="U36" i="3"/>
  <c r="V36" i="3" s="1"/>
  <c r="U37" i="3"/>
  <c r="V37" i="3"/>
  <c r="U38" i="3"/>
  <c r="V38" i="3"/>
  <c r="U39" i="3"/>
  <c r="V39" i="3"/>
  <c r="U40" i="3"/>
  <c r="V40" i="3" s="1"/>
  <c r="U41" i="3"/>
  <c r="V41" i="3" s="1"/>
  <c r="U42" i="3"/>
  <c r="V42" i="3" s="1"/>
  <c r="U43" i="3"/>
  <c r="V43" i="3"/>
  <c r="U44" i="3"/>
  <c r="V44" i="3"/>
  <c r="U45" i="3"/>
  <c r="V45" i="3"/>
  <c r="U46" i="3"/>
  <c r="V46" i="3"/>
  <c r="U47" i="3"/>
  <c r="V47" i="3" s="1"/>
  <c r="U48" i="3"/>
  <c r="V48" i="3" s="1"/>
  <c r="U49" i="3"/>
  <c r="V49" i="3"/>
  <c r="U50" i="3"/>
  <c r="V50" i="3"/>
  <c r="U51" i="3"/>
  <c r="V51" i="3"/>
  <c r="U52" i="3"/>
  <c r="V52" i="3"/>
  <c r="U53" i="3"/>
  <c r="V53" i="3" s="1"/>
  <c r="U54" i="3"/>
  <c r="V54" i="3" s="1"/>
  <c r="U55" i="3"/>
  <c r="V55" i="3" s="1"/>
  <c r="U56" i="3"/>
  <c r="V56" i="3"/>
  <c r="U57" i="3"/>
  <c r="V57" i="3"/>
  <c r="U58" i="3"/>
  <c r="V58" i="3"/>
  <c r="U59" i="3"/>
  <c r="V59" i="3" s="1"/>
  <c r="U60" i="3"/>
  <c r="V60" i="3" s="1"/>
  <c r="U61" i="3"/>
  <c r="V61" i="3"/>
  <c r="U62" i="3"/>
  <c r="V62" i="3" s="1"/>
  <c r="U63" i="3"/>
  <c r="V63" i="3"/>
  <c r="U64" i="3"/>
  <c r="V64" i="3"/>
  <c r="U65" i="3"/>
  <c r="V65" i="3" s="1"/>
  <c r="U66" i="3"/>
  <c r="V66" i="3" s="1"/>
  <c r="U67" i="3"/>
  <c r="V67" i="3"/>
  <c r="U68" i="3"/>
  <c r="V68" i="3"/>
  <c r="U69" i="3"/>
  <c r="V69" i="3" s="1"/>
  <c r="U70" i="3"/>
  <c r="V70" i="3"/>
  <c r="U71" i="3"/>
  <c r="V71" i="3" s="1"/>
  <c r="U72" i="3"/>
  <c r="V72" i="3" s="1"/>
  <c r="U73" i="3"/>
  <c r="V73" i="3"/>
  <c r="U74" i="3"/>
  <c r="V74" i="3"/>
  <c r="U75" i="3"/>
  <c r="V75" i="3"/>
  <c r="U76" i="3"/>
  <c r="V76" i="3" s="1"/>
  <c r="U77" i="3"/>
  <c r="V77" i="3" s="1"/>
  <c r="U78" i="3"/>
  <c r="V78" i="3" s="1"/>
  <c r="U79" i="3"/>
  <c r="V79" i="3"/>
  <c r="U80" i="3"/>
  <c r="V80" i="3"/>
  <c r="U81" i="3"/>
  <c r="V81" i="3"/>
  <c r="U82" i="3"/>
  <c r="V82" i="3"/>
  <c r="U83" i="3"/>
  <c r="V83" i="3" s="1"/>
  <c r="U84" i="3"/>
  <c r="V84" i="3" s="1"/>
  <c r="U85" i="3"/>
  <c r="V85" i="3"/>
  <c r="U86" i="3"/>
  <c r="V86" i="3"/>
  <c r="U87" i="3"/>
  <c r="V87" i="3"/>
  <c r="U88" i="3"/>
  <c r="V88" i="3"/>
  <c r="U89" i="3"/>
  <c r="V89" i="3" s="1"/>
  <c r="U90" i="3"/>
  <c r="V90" i="3" s="1"/>
  <c r="U91" i="3"/>
  <c r="V91" i="3" s="1"/>
  <c r="U92" i="3"/>
  <c r="V92" i="3"/>
  <c r="U93" i="3"/>
  <c r="V93" i="3"/>
  <c r="U94" i="3"/>
  <c r="V94" i="3"/>
  <c r="U95" i="3"/>
  <c r="V95" i="3" s="1"/>
  <c r="U96" i="3"/>
  <c r="V96" i="3" s="1"/>
  <c r="U97" i="3"/>
  <c r="V97" i="3"/>
  <c r="U98" i="3"/>
  <c r="V98" i="3" s="1"/>
  <c r="U99" i="3"/>
  <c r="V99" i="3"/>
  <c r="U100" i="3"/>
  <c r="V100" i="3"/>
  <c r="U101" i="3"/>
  <c r="V101" i="3" s="1"/>
  <c r="U102" i="3"/>
  <c r="V102" i="3" s="1"/>
  <c r="U103" i="3"/>
  <c r="V103" i="3"/>
  <c r="U104" i="3"/>
  <c r="V104" i="3"/>
  <c r="U105" i="3"/>
  <c r="V105" i="3" s="1"/>
  <c r="U106" i="3"/>
  <c r="V106" i="3"/>
  <c r="U107" i="3"/>
  <c r="V107" i="3" s="1"/>
  <c r="U108" i="3"/>
  <c r="V108" i="3" s="1"/>
  <c r="U109" i="3"/>
  <c r="V109" i="3"/>
  <c r="U110" i="3"/>
  <c r="V110" i="3"/>
  <c r="U111" i="3"/>
  <c r="V111" i="3" s="1"/>
  <c r="U112" i="3"/>
  <c r="V112" i="3" s="1"/>
  <c r="U113" i="3"/>
  <c r="V113" i="3" s="1"/>
  <c r="U114" i="3"/>
  <c r="V114" i="3" s="1"/>
  <c r="U115" i="3"/>
  <c r="V115" i="3"/>
  <c r="U116" i="3"/>
  <c r="V116" i="3"/>
  <c r="U117" i="3"/>
  <c r="V117" i="3"/>
  <c r="U118" i="3"/>
  <c r="V118" i="3" s="1"/>
  <c r="U119" i="3"/>
  <c r="V119" i="3" s="1"/>
  <c r="U120" i="3"/>
  <c r="V120" i="3" s="1"/>
  <c r="U121" i="3"/>
  <c r="V121" i="3"/>
  <c r="U122" i="3"/>
  <c r="V122" i="3"/>
  <c r="U123" i="3"/>
  <c r="V123" i="3"/>
  <c r="U124" i="3"/>
  <c r="V124" i="3"/>
  <c r="U125" i="3"/>
  <c r="V125" i="3" s="1"/>
  <c r="U126" i="3"/>
  <c r="V126" i="3" s="1"/>
  <c r="U127" i="3"/>
  <c r="V127" i="3" s="1"/>
  <c r="U128" i="3"/>
  <c r="V128" i="3"/>
  <c r="U129" i="3"/>
  <c r="V129" i="3"/>
  <c r="U130" i="3"/>
  <c r="V130" i="3"/>
  <c r="U131" i="3"/>
  <c r="V131" i="3" s="1"/>
  <c r="U132" i="3"/>
  <c r="V132" i="3" s="1"/>
  <c r="U133" i="3"/>
  <c r="V133" i="3" s="1"/>
  <c r="U134" i="3"/>
  <c r="V134" i="3" s="1"/>
  <c r="U135" i="3"/>
  <c r="V135" i="3"/>
  <c r="U136" i="3"/>
  <c r="V136" i="3"/>
  <c r="U137" i="3"/>
  <c r="V137" i="3" s="1"/>
  <c r="U138" i="3"/>
  <c r="V138" i="3" s="1"/>
  <c r="U139" i="3"/>
  <c r="V139" i="3"/>
  <c r="U140" i="3"/>
  <c r="V140" i="3" s="1"/>
  <c r="U141" i="3"/>
  <c r="V141" i="3" s="1"/>
  <c r="U142" i="3"/>
  <c r="V142" i="3"/>
  <c r="U143" i="3"/>
  <c r="V143" i="3" s="1"/>
  <c r="U144" i="3"/>
  <c r="V144" i="3" s="1"/>
  <c r="U145" i="3"/>
  <c r="V145" i="3"/>
  <c r="U146" i="3"/>
  <c r="V146" i="3"/>
  <c r="U147" i="3"/>
  <c r="V147" i="3" s="1"/>
  <c r="U148" i="3"/>
  <c r="V148" i="3" s="1"/>
  <c r="U149" i="3"/>
  <c r="V149" i="3" s="1"/>
  <c r="U150" i="3"/>
  <c r="V150" i="3" s="1"/>
  <c r="U151" i="3"/>
  <c r="V151" i="3"/>
  <c r="U152" i="3"/>
  <c r="V152" i="3"/>
  <c r="U153" i="3"/>
  <c r="V153" i="3"/>
  <c r="U154" i="3"/>
  <c r="V154" i="3" s="1"/>
  <c r="U155" i="3"/>
  <c r="V155" i="3" s="1"/>
  <c r="U156" i="3"/>
  <c r="V156" i="3" s="1"/>
  <c r="U157" i="3"/>
  <c r="V157" i="3"/>
  <c r="U158" i="3"/>
  <c r="V158" i="3"/>
  <c r="U159" i="3"/>
  <c r="V159" i="3"/>
  <c r="U160" i="3"/>
  <c r="V160" i="3"/>
  <c r="U161" i="3"/>
  <c r="V161" i="3" s="1"/>
  <c r="U162" i="3"/>
  <c r="V162" i="3" s="1"/>
  <c r="U163" i="3"/>
  <c r="V163" i="3" s="1"/>
  <c r="U164" i="3"/>
  <c r="V164" i="3"/>
  <c r="U165" i="3"/>
  <c r="V165" i="3"/>
  <c r="U166" i="3"/>
  <c r="V166" i="3"/>
  <c r="U167" i="3"/>
  <c r="V167" i="3" s="1"/>
  <c r="U168" i="3"/>
  <c r="V168" i="3" s="1"/>
  <c r="U169" i="3"/>
  <c r="V169" i="3" s="1"/>
  <c r="U170" i="3"/>
  <c r="V170" i="3" s="1"/>
  <c r="U171" i="3"/>
  <c r="V171" i="3"/>
  <c r="U172" i="3"/>
  <c r="V172" i="3"/>
  <c r="U173" i="3"/>
  <c r="V173" i="3" s="1"/>
  <c r="U174" i="3"/>
  <c r="V174" i="3" s="1"/>
  <c r="U175" i="3"/>
  <c r="V175" i="3"/>
  <c r="U176" i="3"/>
  <c r="V176" i="3" s="1"/>
  <c r="U177" i="3"/>
  <c r="V177" i="3" s="1"/>
  <c r="U178" i="3"/>
  <c r="V178" i="3"/>
  <c r="U179" i="3"/>
  <c r="V179" i="3" s="1"/>
  <c r="U180" i="3"/>
  <c r="V180" i="3" s="1"/>
  <c r="U181" i="3"/>
  <c r="V181" i="3"/>
  <c r="U182" i="3"/>
  <c r="V182" i="3"/>
  <c r="U183" i="3"/>
  <c r="V183" i="3" s="1"/>
  <c r="U184" i="3"/>
  <c r="V184" i="3" s="1"/>
  <c r="U185" i="3"/>
  <c r="V185" i="3" s="1"/>
  <c r="U186" i="3"/>
  <c r="V186" i="3" s="1"/>
  <c r="U187" i="3"/>
  <c r="V187" i="3"/>
  <c r="U188" i="3"/>
  <c r="V188" i="3"/>
  <c r="U189" i="3"/>
  <c r="V189" i="3"/>
  <c r="U190" i="3"/>
  <c r="V190" i="3" s="1"/>
  <c r="U191" i="3"/>
  <c r="V191" i="3" s="1"/>
  <c r="U192" i="3"/>
  <c r="V192" i="3" s="1"/>
  <c r="U193" i="3"/>
  <c r="V193" i="3"/>
  <c r="U194" i="3"/>
  <c r="V194" i="3"/>
  <c r="U195" i="3"/>
  <c r="V195" i="3"/>
  <c r="U196" i="3"/>
  <c r="V196" i="3"/>
  <c r="U197" i="3"/>
  <c r="V197" i="3" s="1"/>
  <c r="U198" i="3"/>
  <c r="V198" i="3" s="1"/>
  <c r="U199" i="3"/>
  <c r="V199" i="3" s="1"/>
  <c r="U200" i="3"/>
  <c r="V200" i="3" s="1"/>
  <c r="U201" i="3"/>
  <c r="V201" i="3"/>
  <c r="U202" i="3"/>
  <c r="V202" i="3"/>
  <c r="U203" i="3"/>
  <c r="V203" i="3" s="1"/>
  <c r="U204" i="3"/>
  <c r="V204" i="3" s="1"/>
  <c r="U205" i="3"/>
  <c r="V205" i="3" s="1"/>
  <c r="U206" i="3"/>
  <c r="V206" i="3" s="1"/>
  <c r="U207" i="3"/>
  <c r="V207" i="3" s="1"/>
  <c r="U208" i="3"/>
  <c r="V208" i="3"/>
  <c r="U209" i="3"/>
  <c r="V209" i="3" s="1"/>
  <c r="U210" i="3"/>
  <c r="V210" i="3" s="1"/>
  <c r="U211" i="3"/>
  <c r="V211" i="3"/>
  <c r="U212" i="3"/>
  <c r="V212" i="3" s="1"/>
  <c r="U213" i="3"/>
  <c r="V213" i="3" s="1"/>
  <c r="U214" i="3"/>
  <c r="V214" i="3" s="1"/>
  <c r="U215" i="3"/>
  <c r="V215" i="3" s="1"/>
  <c r="U216" i="3"/>
  <c r="V216" i="3" s="1"/>
  <c r="U217" i="3"/>
  <c r="V217" i="3"/>
  <c r="U218" i="3"/>
  <c r="V218" i="3"/>
  <c r="U219" i="3"/>
  <c r="V219" i="3" s="1"/>
  <c r="U220" i="3"/>
  <c r="V220" i="3" s="1"/>
  <c r="U221" i="3"/>
  <c r="V221" i="3" s="1"/>
  <c r="U222" i="3"/>
  <c r="V222" i="3" s="1"/>
  <c r="U223" i="3"/>
  <c r="V223" i="3"/>
  <c r="U224" i="3"/>
  <c r="V224" i="3"/>
  <c r="U225" i="3"/>
  <c r="V225" i="3"/>
  <c r="U226" i="3"/>
  <c r="V226" i="3" s="1"/>
  <c r="U227" i="3"/>
  <c r="V227" i="3" s="1"/>
  <c r="U228" i="3"/>
  <c r="V228" i="3" s="1"/>
  <c r="U229" i="3"/>
  <c r="V229" i="3" s="1"/>
  <c r="U230" i="3"/>
  <c r="V230" i="3"/>
  <c r="U231" i="3"/>
  <c r="V231" i="3"/>
  <c r="U232" i="3"/>
  <c r="V232" i="3"/>
  <c r="U233" i="3"/>
  <c r="V233" i="3" s="1"/>
  <c r="U234" i="3"/>
  <c r="V234" i="3" s="1"/>
  <c r="U235" i="3"/>
  <c r="V235" i="3" s="1"/>
  <c r="U236" i="3"/>
  <c r="V236" i="3" s="1"/>
  <c r="U237" i="3"/>
  <c r="V237" i="3"/>
  <c r="U238" i="3"/>
  <c r="V238" i="3"/>
  <c r="U239" i="3"/>
  <c r="V239" i="3" s="1"/>
  <c r="U240" i="3"/>
  <c r="V240" i="3" s="1"/>
  <c r="U241" i="3"/>
  <c r="V241" i="3" s="1"/>
  <c r="U242" i="3"/>
  <c r="V242" i="3" s="1"/>
  <c r="U243" i="3"/>
  <c r="V243" i="3" s="1"/>
  <c r="U244" i="3"/>
  <c r="V244" i="3"/>
  <c r="U245" i="3"/>
  <c r="V245" i="3" s="1"/>
  <c r="U246" i="3"/>
  <c r="V246" i="3" s="1"/>
  <c r="U247" i="3"/>
  <c r="V247" i="3"/>
  <c r="U248" i="3"/>
  <c r="V248" i="3" s="1"/>
  <c r="U249" i="3"/>
  <c r="V249" i="3" s="1"/>
  <c r="U250" i="3"/>
  <c r="V250" i="3"/>
  <c r="U251" i="3"/>
  <c r="V251" i="3" s="1"/>
  <c r="U252" i="3"/>
  <c r="V252" i="3" s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3" i="3"/>
  <c r="H8" i="3"/>
  <c r="F11" i="3" s="1"/>
  <c r="G12" i="3" s="1"/>
  <c r="H13" i="3" s="1"/>
  <c r="H14" i="3" s="1"/>
  <c r="G6" i="3"/>
  <c r="C3" i="3"/>
  <c r="C4" i="3" s="1"/>
  <c r="B3" i="3"/>
  <c r="B4" i="3" s="1"/>
  <c r="AB21" i="2"/>
  <c r="AB16" i="2"/>
  <c r="Z15" i="2"/>
  <c r="Y13" i="2"/>
  <c r="Z7" i="2"/>
  <c r="H4" i="2"/>
  <c r="J4" i="2" s="1"/>
  <c r="S3" i="2" s="1"/>
  <c r="H3" i="2"/>
  <c r="J3" i="2" s="1"/>
  <c r="Q3" i="2" s="1"/>
  <c r="H2" i="2"/>
  <c r="J2" i="2" s="1"/>
  <c r="O3" i="2" s="1"/>
  <c r="L4" i="2"/>
  <c r="L3" i="2"/>
  <c r="L2" i="2"/>
  <c r="F3" i="2"/>
  <c r="F2" i="2"/>
  <c r="H14" i="10" l="1"/>
  <c r="I14" i="10" s="1"/>
  <c r="D14" i="8"/>
  <c r="H14" i="8"/>
  <c r="I14" i="8" s="1"/>
  <c r="U3" i="2"/>
  <c r="K497" i="4"/>
  <c r="K485" i="4"/>
  <c r="K473" i="4"/>
  <c r="K461" i="4"/>
  <c r="K449" i="4"/>
  <c r="K437" i="4"/>
  <c r="K425" i="4"/>
  <c r="K413" i="4"/>
  <c r="K401" i="4"/>
  <c r="K389" i="4"/>
  <c r="K377" i="4"/>
  <c r="K365" i="4"/>
  <c r="K353" i="4"/>
  <c r="K341" i="4"/>
  <c r="K329" i="4"/>
  <c r="K317" i="4"/>
  <c r="K305" i="4"/>
  <c r="K293" i="4"/>
  <c r="K281" i="4"/>
  <c r="K269" i="4"/>
  <c r="K257" i="4"/>
  <c r="K245" i="4"/>
  <c r="K233" i="4"/>
  <c r="K221" i="4"/>
  <c r="K209" i="4"/>
  <c r="K197" i="4"/>
  <c r="K185" i="4"/>
  <c r="K173" i="4"/>
  <c r="K161" i="4"/>
  <c r="K149" i="4"/>
  <c r="K137" i="4"/>
  <c r="K125" i="4"/>
  <c r="K113" i="4"/>
  <c r="K101" i="4"/>
  <c r="K89" i="4"/>
  <c r="K77" i="4"/>
  <c r="K65" i="4"/>
  <c r="K53" i="4"/>
  <c r="K41" i="4"/>
  <c r="K29" i="4"/>
  <c r="K17" i="4"/>
  <c r="K5" i="4"/>
  <c r="K484" i="4"/>
  <c r="K460" i="4"/>
  <c r="K448" i="4"/>
  <c r="K412" i="4"/>
  <c r="K376" i="4"/>
  <c r="K364" i="4"/>
  <c r="K340" i="4"/>
  <c r="K328" i="4"/>
  <c r="K316" i="4"/>
  <c r="K304" i="4"/>
  <c r="K292" i="4"/>
  <c r="K280" i="4"/>
  <c r="K268" i="4"/>
  <c r="K256" i="4"/>
  <c r="K244" i="4"/>
  <c r="K232" i="4"/>
  <c r="K220" i="4"/>
  <c r="K208" i="4"/>
  <c r="K196" i="4"/>
  <c r="K184" i="4"/>
  <c r="K172" i="4"/>
  <c r="K160" i="4"/>
  <c r="K148" i="4"/>
  <c r="K136" i="4"/>
  <c r="K124" i="4"/>
  <c r="K112" i="4"/>
  <c r="K100" i="4"/>
  <c r="K88" i="4"/>
  <c r="K76" i="4"/>
  <c r="L3" i="4" s="1" a="1"/>
  <c r="K64" i="4"/>
  <c r="K52" i="4"/>
  <c r="K40" i="4"/>
  <c r="K28" i="4"/>
  <c r="K16" i="4"/>
  <c r="K4" i="4"/>
  <c r="K472" i="4"/>
  <c r="K352" i="4"/>
  <c r="K436" i="4"/>
  <c r="AA3" i="4"/>
  <c r="Y11" i="4"/>
  <c r="K496" i="4"/>
  <c r="K388" i="4"/>
  <c r="K400" i="4"/>
  <c r="AA4" i="4"/>
  <c r="K424" i="4"/>
  <c r="Z11" i="4"/>
  <c r="AA5" i="4"/>
  <c r="Q3" i="3" a="1"/>
  <c r="Q3" i="3" s="1"/>
  <c r="R2" i="3" s="1"/>
  <c r="W3" i="3" a="1"/>
  <c r="W3" i="3" s="1"/>
  <c r="B5" i="3"/>
  <c r="C5" i="3"/>
  <c r="S4" i="2"/>
  <c r="I4" i="2"/>
  <c r="S2" i="2" s="1"/>
  <c r="T2" i="2" s="1"/>
  <c r="Q4" i="2"/>
  <c r="I3" i="2"/>
  <c r="Q2" i="2" s="1"/>
  <c r="R2" i="2" s="1"/>
  <c r="O4" i="2"/>
  <c r="I2" i="2"/>
  <c r="O2" i="2" s="1"/>
  <c r="N3" i="1"/>
  <c r="M3" i="1"/>
  <c r="J14" i="10" l="1"/>
  <c r="K14" i="10" s="1"/>
  <c r="D15" i="10" s="1"/>
  <c r="J14" i="8"/>
  <c r="K14" i="8" s="1"/>
  <c r="H15" i="8" s="1"/>
  <c r="I15" i="8" s="1"/>
  <c r="Y11" i="2"/>
  <c r="AB8" i="2"/>
  <c r="AB20" i="2"/>
  <c r="L3" i="4"/>
  <c r="N3" i="4"/>
  <c r="AA3" i="3" a="1"/>
  <c r="AA3" i="3" s="1"/>
  <c r="AC2" i="3" s="1"/>
  <c r="U4" i="2"/>
  <c r="P2" i="2"/>
  <c r="U2" i="2" s="1"/>
  <c r="Y14" i="2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3" i="1"/>
  <c r="H15" i="10" l="1"/>
  <c r="I15" i="10" s="1"/>
  <c r="D15" i="8"/>
  <c r="J15" i="8" s="1"/>
  <c r="K15" i="8" s="1"/>
  <c r="J15" i="10" l="1"/>
  <c r="K15" i="10" s="1"/>
  <c r="D16" i="10" s="1"/>
  <c r="D16" i="8"/>
  <c r="H16" i="8"/>
  <c r="I16" i="8" s="1"/>
  <c r="H16" i="10" l="1"/>
  <c r="I16" i="10" s="1"/>
  <c r="J16" i="8"/>
  <c r="K16" i="8" s="1"/>
  <c r="J16" i="10" l="1"/>
  <c r="K16" i="10" s="1"/>
  <c r="H17" i="10" s="1"/>
  <c r="I17" i="10" s="1"/>
  <c r="D17" i="8"/>
  <c r="H17" i="8"/>
  <c r="I17" i="8" s="1"/>
  <c r="D17" i="10" l="1"/>
  <c r="J17" i="10" s="1"/>
  <c r="K17" i="10" s="1"/>
  <c r="D18" i="10" s="1"/>
  <c r="J17" i="8"/>
  <c r="K17" i="8" s="1"/>
  <c r="H18" i="10" l="1"/>
  <c r="I18" i="10" s="1"/>
  <c r="H18" i="8"/>
  <c r="I18" i="8" s="1"/>
  <c r="D18" i="8"/>
  <c r="J18" i="10" l="1"/>
  <c r="K18" i="10" s="1"/>
  <c r="D19" i="10" s="1"/>
  <c r="J18" i="8"/>
  <c r="K18" i="8" s="1"/>
  <c r="D19" i="8" s="1"/>
  <c r="H19" i="10" l="1"/>
  <c r="I19" i="10" s="1"/>
  <c r="H19" i="8"/>
  <c r="I19" i="8" s="1"/>
  <c r="J19" i="10" l="1"/>
  <c r="K19" i="10" s="1"/>
  <c r="D20" i="10" s="1"/>
  <c r="J19" i="8"/>
  <c r="K19" i="8" s="1"/>
  <c r="D20" i="8" s="1"/>
  <c r="H20" i="10" l="1"/>
  <c r="I20" i="10" s="1"/>
  <c r="H20" i="8"/>
  <c r="I20" i="8" s="1"/>
  <c r="J20" i="10" l="1"/>
  <c r="K20" i="10" s="1"/>
  <c r="D21" i="10" s="1"/>
  <c r="J20" i="8"/>
  <c r="K20" i="8" s="1"/>
  <c r="H21" i="8" s="1"/>
  <c r="I21" i="8" s="1"/>
  <c r="H21" i="10" l="1"/>
  <c r="I21" i="10" s="1"/>
  <c r="D21" i="8"/>
  <c r="J21" i="8" s="1"/>
  <c r="K21" i="8" s="1"/>
  <c r="D22" i="8" s="1"/>
  <c r="J21" i="10" l="1"/>
  <c r="K21" i="10" s="1"/>
  <c r="D22" i="10" s="1"/>
  <c r="H22" i="8"/>
  <c r="I22" i="8" s="1"/>
  <c r="H22" i="10" l="1"/>
  <c r="I22" i="10" s="1"/>
  <c r="J22" i="8"/>
  <c r="K22" i="8" s="1"/>
  <c r="D23" i="8" s="1"/>
  <c r="J22" i="10" l="1"/>
  <c r="K22" i="10" s="1"/>
  <c r="H23" i="10" s="1"/>
  <c r="I23" i="10" s="1"/>
  <c r="H23" i="8"/>
  <c r="I23" i="8" s="1"/>
  <c r="D23" i="10" l="1"/>
  <c r="J23" i="10" s="1"/>
  <c r="K23" i="10" s="1"/>
  <c r="H24" i="10" s="1"/>
  <c r="I24" i="10" s="1"/>
  <c r="J23" i="8"/>
  <c r="K23" i="8" s="1"/>
  <c r="H24" i="8" s="1"/>
  <c r="I24" i="8" s="1"/>
  <c r="D24" i="10" l="1"/>
  <c r="J24" i="10" s="1"/>
  <c r="K24" i="10" s="1"/>
  <c r="D25" i="10" s="1"/>
  <c r="D24" i="8"/>
  <c r="J24" i="8" s="1"/>
  <c r="K24" i="8" s="1"/>
  <c r="H25" i="10" l="1"/>
  <c r="I25" i="10" s="1"/>
  <c r="H25" i="8"/>
  <c r="I25" i="8" s="1"/>
  <c r="D25" i="8"/>
  <c r="J25" i="10" l="1"/>
  <c r="K25" i="10" s="1"/>
  <c r="H26" i="10" s="1"/>
  <c r="I26" i="10" s="1"/>
  <c r="J25" i="8"/>
  <c r="K25" i="8" s="1"/>
  <c r="H26" i="8" s="1"/>
  <c r="I26" i="8" s="1"/>
  <c r="D26" i="10" l="1"/>
  <c r="J26" i="10" s="1"/>
  <c r="K26" i="10" s="1"/>
  <c r="D27" i="10" s="1"/>
  <c r="D26" i="8"/>
  <c r="J26" i="8" s="1"/>
  <c r="K26" i="8" s="1"/>
  <c r="H27" i="10" l="1"/>
  <c r="I27" i="10" s="1"/>
  <c r="H27" i="8"/>
  <c r="I27" i="8" s="1"/>
  <c r="D27" i="8"/>
  <c r="J27" i="10" l="1"/>
  <c r="K27" i="10" s="1"/>
  <c r="H28" i="10" s="1"/>
  <c r="I28" i="10" s="1"/>
  <c r="J27" i="8"/>
  <c r="K27" i="8" s="1"/>
  <c r="D28" i="8" s="1"/>
  <c r="H28" i="8" l="1"/>
  <c r="I28" i="8" s="1"/>
  <c r="D28" i="10"/>
  <c r="J28" i="10" s="1"/>
  <c r="K28" i="10" s="1"/>
  <c r="J28" i="8" l="1"/>
  <c r="K28" i="8" s="1"/>
  <c r="D29" i="8" s="1"/>
  <c r="D29" i="10"/>
  <c r="H29" i="10"/>
  <c r="I29" i="10" s="1"/>
  <c r="H29" i="8" l="1"/>
  <c r="I29" i="8" s="1"/>
  <c r="J29" i="10"/>
  <c r="K29" i="10" s="1"/>
  <c r="D30" i="10" s="1"/>
  <c r="J29" i="8"/>
  <c r="K29" i="8" s="1"/>
  <c r="H30" i="10" l="1"/>
  <c r="I30" i="10" s="1"/>
  <c r="J30" i="10"/>
  <c r="K30" i="10" s="1"/>
  <c r="D30" i="8"/>
  <c r="H30" i="8"/>
  <c r="I30" i="8" s="1"/>
  <c r="D31" i="10" l="1"/>
  <c r="H31" i="10"/>
  <c r="I31" i="10" s="1"/>
  <c r="J30" i="8"/>
  <c r="K30" i="8" s="1"/>
  <c r="J31" i="10" l="1"/>
  <c r="K31" i="10" s="1"/>
  <c r="D31" i="8"/>
  <c r="H31" i="8"/>
  <c r="I31" i="8" s="1"/>
  <c r="D32" i="10" l="1"/>
  <c r="H32" i="10"/>
  <c r="I32" i="10" s="1"/>
  <c r="J31" i="8"/>
  <c r="K31" i="8" s="1"/>
  <c r="J32" i="10" l="1"/>
  <c r="K32" i="10" s="1"/>
  <c r="D32" i="8"/>
  <c r="H32" i="8"/>
  <c r="I32" i="8" s="1"/>
  <c r="H33" i="10" l="1"/>
  <c r="I33" i="10" s="1"/>
  <c r="D33" i="10"/>
  <c r="J32" i="8"/>
  <c r="K32" i="8" s="1"/>
  <c r="J33" i="10" l="1"/>
  <c r="K33" i="10" s="1"/>
  <c r="D34" i="10" s="1"/>
  <c r="H33" i="8"/>
  <c r="I33" i="8" s="1"/>
  <c r="D33" i="8"/>
  <c r="H34" i="10" l="1"/>
  <c r="I34" i="10" s="1"/>
  <c r="J33" i="8"/>
  <c r="K33" i="8" s="1"/>
  <c r="D34" i="8" s="1"/>
  <c r="J34" i="10" l="1"/>
  <c r="K34" i="10" s="1"/>
  <c r="D35" i="10" s="1"/>
  <c r="H34" i="8"/>
  <c r="I34" i="8" s="1"/>
  <c r="H35" i="10" l="1"/>
  <c r="I35" i="10" s="1"/>
  <c r="J34" i="8"/>
  <c r="K34" i="8" s="1"/>
  <c r="D35" i="8" s="1"/>
  <c r="J35" i="10" l="1"/>
  <c r="K35" i="10" s="1"/>
  <c r="D36" i="10" s="1"/>
  <c r="H35" i="8"/>
  <c r="I35" i="8" s="1"/>
  <c r="H36" i="10" l="1"/>
  <c r="I36" i="10" s="1"/>
  <c r="J35" i="8"/>
  <c r="K35" i="8" s="1"/>
  <c r="H36" i="8" s="1"/>
  <c r="I36" i="8" s="1"/>
  <c r="J36" i="10" l="1"/>
  <c r="K36" i="10" s="1"/>
  <c r="D37" i="10" s="1"/>
  <c r="D36" i="8"/>
  <c r="J36" i="8" s="1"/>
  <c r="K36" i="8" s="1"/>
  <c r="D37" i="8" s="1"/>
  <c r="H37" i="10" l="1"/>
  <c r="I37" i="10" s="1"/>
  <c r="H37" i="8"/>
  <c r="I37" i="8" s="1"/>
  <c r="J37" i="10" l="1"/>
  <c r="K37" i="10" s="1"/>
  <c r="D38" i="10" s="1"/>
  <c r="H38" i="10"/>
  <c r="I38" i="10" s="1"/>
  <c r="J37" i="8"/>
  <c r="K37" i="8" s="1"/>
  <c r="D38" i="8" s="1"/>
  <c r="J38" i="10" l="1"/>
  <c r="K38" i="10" s="1"/>
  <c r="D39" i="10" s="1"/>
  <c r="H38" i="8"/>
  <c r="I38" i="8" s="1"/>
  <c r="H39" i="10" l="1"/>
  <c r="I39" i="10" s="1"/>
  <c r="J38" i="8"/>
  <c r="K38" i="8" s="1"/>
  <c r="H39" i="8" s="1"/>
  <c r="I39" i="8" s="1"/>
  <c r="J39" i="10" l="1"/>
  <c r="K39" i="10" s="1"/>
  <c r="D40" i="10" s="1"/>
  <c r="D39" i="8"/>
  <c r="J39" i="8" s="1"/>
  <c r="K39" i="8" s="1"/>
  <c r="H40" i="10" l="1"/>
  <c r="I40" i="10" s="1"/>
  <c r="D40" i="8"/>
  <c r="H40" i="8"/>
  <c r="I40" i="8" s="1"/>
  <c r="J40" i="10" l="1"/>
  <c r="K40" i="10" s="1"/>
  <c r="D41" i="10" s="1"/>
  <c r="J40" i="8"/>
  <c r="K40" i="8" s="1"/>
  <c r="H41" i="10" l="1"/>
  <c r="I41" i="10" s="1"/>
  <c r="J41" i="10"/>
  <c r="K41" i="10" s="1"/>
  <c r="D42" i="10" s="1"/>
  <c r="D41" i="8"/>
  <c r="H41" i="8"/>
  <c r="I41" i="8" s="1"/>
  <c r="H42" i="10" l="1"/>
  <c r="I42" i="10" s="1"/>
  <c r="J41" i="8"/>
  <c r="K41" i="8" s="1"/>
  <c r="J42" i="10" l="1"/>
  <c r="K42" i="10" s="1"/>
  <c r="D43" i="10" s="1"/>
  <c r="D42" i="8"/>
  <c r="H42" i="8"/>
  <c r="I42" i="8" s="1"/>
  <c r="H43" i="10" l="1"/>
  <c r="I43" i="10" s="1"/>
  <c r="J42" i="8"/>
  <c r="K42" i="8" s="1"/>
  <c r="J43" i="10" l="1"/>
  <c r="K43" i="10" s="1"/>
  <c r="H44" i="10" s="1"/>
  <c r="I44" i="10" s="1"/>
  <c r="D43" i="8"/>
  <c r="H43" i="8"/>
  <c r="I43" i="8" s="1"/>
  <c r="D44" i="10" l="1"/>
  <c r="J44" i="10" s="1"/>
  <c r="K44" i="10" s="1"/>
  <c r="J43" i="8"/>
  <c r="K43" i="8" s="1"/>
  <c r="D44" i="8" s="1"/>
  <c r="D45" i="10" l="1"/>
  <c r="H45" i="10"/>
  <c r="I45" i="10" s="1"/>
  <c r="H44" i="8"/>
  <c r="I44" i="8" s="1"/>
  <c r="J45" i="10" l="1"/>
  <c r="K45" i="10" s="1"/>
  <c r="D46" i="10" s="1"/>
  <c r="J44" i="8"/>
  <c r="K44" i="8" s="1"/>
  <c r="H45" i="8" s="1"/>
  <c r="I45" i="8" s="1"/>
  <c r="H46" i="10" l="1"/>
  <c r="I46" i="10" s="1"/>
  <c r="D45" i="8"/>
  <c r="J45" i="8" s="1"/>
  <c r="K45" i="8" s="1"/>
  <c r="D46" i="8" s="1"/>
  <c r="J46" i="10" l="1"/>
  <c r="K46" i="10" s="1"/>
  <c r="D47" i="10" s="1"/>
  <c r="H46" i="8"/>
  <c r="I46" i="8" s="1"/>
  <c r="H47" i="10" l="1"/>
  <c r="I47" i="10" s="1"/>
  <c r="J46" i="8"/>
  <c r="K46" i="8" s="1"/>
  <c r="H47" i="8" s="1"/>
  <c r="I47" i="8" s="1"/>
  <c r="D47" i="8" l="1"/>
  <c r="J47" i="8" s="1"/>
  <c r="K47" i="8" s="1"/>
  <c r="J47" i="10"/>
  <c r="K47" i="10" s="1"/>
  <c r="D48" i="10" s="1"/>
  <c r="H48" i="10" l="1"/>
  <c r="I48" i="10" s="1"/>
  <c r="D48" i="8"/>
  <c r="H48" i="8"/>
  <c r="I48" i="8" s="1"/>
  <c r="J48" i="10" l="1"/>
  <c r="K48" i="10" s="1"/>
  <c r="D49" i="10"/>
  <c r="H49" i="10"/>
  <c r="I49" i="10" s="1"/>
  <c r="J48" i="8"/>
  <c r="K48" i="8" s="1"/>
  <c r="J49" i="10" l="1"/>
  <c r="K49" i="10" s="1"/>
  <c r="D50" i="10" s="1"/>
  <c r="D49" i="8"/>
  <c r="H49" i="8"/>
  <c r="I49" i="8" s="1"/>
  <c r="H50" i="10" l="1"/>
  <c r="I50" i="10" s="1"/>
  <c r="J49" i="8"/>
  <c r="K49" i="8" s="1"/>
  <c r="J50" i="10" l="1"/>
  <c r="K50" i="10" s="1"/>
  <c r="D50" i="8"/>
  <c r="H50" i="8"/>
  <c r="I50" i="8" s="1"/>
  <c r="H51" i="10" l="1"/>
  <c r="I51" i="10" s="1"/>
  <c r="D51" i="10"/>
  <c r="J51" i="10" s="1"/>
  <c r="K51" i="10" s="1"/>
  <c r="J50" i="8"/>
  <c r="K50" i="8" s="1"/>
  <c r="H51" i="8" l="1"/>
  <c r="I51" i="8" s="1"/>
  <c r="D51" i="8"/>
  <c r="J51" i="8" l="1"/>
  <c r="K51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<sst xmlns="http://schemas.openxmlformats.org/spreadsheetml/2006/main" count="158" uniqueCount="107">
  <si>
    <t>Date</t>
  </si>
  <si>
    <t>Tesla closing prices</t>
  </si>
  <si>
    <t>Daily returns on Tesla</t>
  </si>
  <si>
    <t>Apple closing prices</t>
  </si>
  <si>
    <t>Daily returns on Apple</t>
  </si>
  <si>
    <t>Volatility</t>
  </si>
  <si>
    <t>Tesla</t>
  </si>
  <si>
    <t>Apple</t>
  </si>
  <si>
    <t>Strike Price</t>
  </si>
  <si>
    <t>Call</t>
  </si>
  <si>
    <t>Put</t>
  </si>
  <si>
    <t>time, t</t>
  </si>
  <si>
    <t>r</t>
  </si>
  <si>
    <t>σ</t>
  </si>
  <si>
    <t>Delta</t>
  </si>
  <si>
    <t>Gamma</t>
  </si>
  <si>
    <t>d1</t>
  </si>
  <si>
    <t>Price</t>
  </si>
  <si>
    <t>N(d1)</t>
  </si>
  <si>
    <t>N'(d1)</t>
  </si>
  <si>
    <t>Vega</t>
  </si>
  <si>
    <t>Call 165</t>
  </si>
  <si>
    <t>Put 165</t>
  </si>
  <si>
    <t>Call 170</t>
  </si>
  <si>
    <t>Put 170</t>
  </si>
  <si>
    <t>Call 175</t>
  </si>
  <si>
    <t>Put 175</t>
  </si>
  <si>
    <t>Portfolio</t>
  </si>
  <si>
    <t>For Delta Neutral</t>
  </si>
  <si>
    <t>Short</t>
  </si>
  <si>
    <t>Amount</t>
  </si>
  <si>
    <t>Market Value</t>
  </si>
  <si>
    <t>Change in value</t>
  </si>
  <si>
    <t>For Delta Gamma Neutral</t>
  </si>
  <si>
    <t>Long</t>
  </si>
  <si>
    <t>Buy</t>
  </si>
  <si>
    <t>Total Call options</t>
  </si>
  <si>
    <t>New Delta</t>
  </si>
  <si>
    <t>Increase in price to 175</t>
  </si>
  <si>
    <t>Decrease in price to 165</t>
  </si>
  <si>
    <t>Daily Volatility</t>
  </si>
  <si>
    <t>Note that these values were calculated in Question_1</t>
  </si>
  <si>
    <t>From the emperical data we have 251 trading days instead of 252</t>
  </si>
  <si>
    <t>Daily Volatility for $ 1 Million</t>
  </si>
  <si>
    <t>Assuming change is normally distrubted</t>
  </si>
  <si>
    <t>inverse of N(0.01)</t>
  </si>
  <si>
    <t>Correlation Coefficient</t>
  </si>
  <si>
    <t>Equally weighted protfolio</t>
  </si>
  <si>
    <t>volatality</t>
  </si>
  <si>
    <t>daily volatlility</t>
  </si>
  <si>
    <t>1-Day 99 VaR in Dollar value</t>
  </si>
  <si>
    <t>daily volatlility for $ 1 million</t>
  </si>
  <si>
    <t>Scenario</t>
  </si>
  <si>
    <t>Sorted</t>
  </si>
  <si>
    <t>CVaR</t>
  </si>
  <si>
    <t>BMO Close</t>
  </si>
  <si>
    <t>SUNCOR Close</t>
  </si>
  <si>
    <t>Shopify Close</t>
  </si>
  <si>
    <t>Change in portfolio value</t>
  </si>
  <si>
    <t>10- Day VaR</t>
  </si>
  <si>
    <t>Short Stock</t>
  </si>
  <si>
    <t>Expected return in a year</t>
  </si>
  <si>
    <t>Standard deviation</t>
  </si>
  <si>
    <t>Mean</t>
  </si>
  <si>
    <t>BMO</t>
  </si>
  <si>
    <t>Su</t>
  </si>
  <si>
    <t>Shop</t>
  </si>
  <si>
    <t>Correlation Matrix</t>
  </si>
  <si>
    <t>Weight vector</t>
  </si>
  <si>
    <t>Moodys</t>
  </si>
  <si>
    <t>Ba</t>
  </si>
  <si>
    <t>Term(Years)</t>
  </si>
  <si>
    <t xml:space="preserve">Unconditional </t>
  </si>
  <si>
    <t>hazard rate</t>
  </si>
  <si>
    <t>average hazard rate</t>
  </si>
  <si>
    <t>Q(t)</t>
  </si>
  <si>
    <t>Change in Portfolio value Tesla</t>
  </si>
  <si>
    <t>Change in Portfolio value Apple</t>
  </si>
  <si>
    <t>Change in Portfolio value Equal</t>
  </si>
  <si>
    <t>S</t>
  </si>
  <si>
    <r>
      <t>D</t>
    </r>
    <r>
      <rPr>
        <sz val="10"/>
        <rFont val="Arial"/>
        <family val="2"/>
      </rPr>
      <t>S</t>
    </r>
  </si>
  <si>
    <r>
      <t>Ss</t>
    </r>
    <r>
      <rPr>
        <b/>
        <sz val="10"/>
        <rFont val="Arial"/>
        <family val="2"/>
      </rPr>
      <t>S</t>
    </r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z</t>
    </r>
  </si>
  <si>
    <r>
      <t>s</t>
    </r>
    <r>
      <rPr>
        <b/>
        <sz val="10"/>
        <rFont val="Arial"/>
        <family val="2"/>
      </rPr>
      <t>S</t>
    </r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z</t>
    </r>
  </si>
  <si>
    <r>
      <t>sD</t>
    </r>
    <r>
      <rPr>
        <sz val="10"/>
        <rFont val="Arial"/>
        <family val="2"/>
      </rPr>
      <t>z</t>
    </r>
  </si>
  <si>
    <r>
      <t>D</t>
    </r>
    <r>
      <rPr>
        <sz val="10"/>
        <rFont val="Arial"/>
        <family val="2"/>
      </rPr>
      <t xml:space="preserve">z </t>
    </r>
  </si>
  <si>
    <t>N(0,1)</t>
  </si>
  <si>
    <r>
      <t>m</t>
    </r>
    <r>
      <rPr>
        <b/>
        <sz val="10"/>
        <rFont val="Arial"/>
        <family val="2"/>
      </rPr>
      <t>S</t>
    </r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t</t>
    </r>
  </si>
  <si>
    <r>
      <t>S</t>
    </r>
    <r>
      <rPr>
        <b/>
        <sz val="10"/>
        <rFont val="Symbol"/>
        <family val="1"/>
        <charset val="2"/>
      </rPr>
      <t>0+Sm</t>
    </r>
    <r>
      <rPr>
        <b/>
        <sz val="10"/>
        <rFont val="Arial"/>
        <family val="2"/>
      </rPr>
      <t>S0</t>
    </r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t</t>
    </r>
  </si>
  <si>
    <r>
      <t>m</t>
    </r>
    <r>
      <rPr>
        <b/>
        <sz val="10"/>
        <rFont val="Symbol"/>
        <family val="1"/>
        <charset val="2"/>
      </rPr>
      <t>D</t>
    </r>
    <r>
      <rPr>
        <b/>
        <sz val="10"/>
        <rFont val="Arial"/>
        <family val="2"/>
      </rPr>
      <t>t</t>
    </r>
  </si>
  <si>
    <t>Period</t>
  </si>
  <si>
    <t>Cumulated random shocks</t>
  </si>
  <si>
    <t>Non stoch. Evolution</t>
  </si>
  <si>
    <t>Drift component</t>
  </si>
  <si>
    <t>&lt;=== ===Random component========&gt;</t>
  </si>
  <si>
    <t>&lt;=========Drift==================&gt;</t>
  </si>
  <si>
    <r>
      <t xml:space="preserve">TimeStep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t</t>
    </r>
  </si>
  <si>
    <t># steps /year</t>
  </si>
  <si>
    <r>
      <t xml:space="preserve">Volatilty </t>
    </r>
    <r>
      <rPr>
        <sz val="10"/>
        <rFont val="Symbol"/>
        <family val="1"/>
        <charset val="2"/>
      </rPr>
      <t>s</t>
    </r>
  </si>
  <si>
    <r>
      <t xml:space="preserve">Drift </t>
    </r>
    <r>
      <rPr>
        <sz val="10"/>
        <rFont val="Symbol"/>
        <family val="1"/>
        <charset val="2"/>
      </rPr>
      <t>m</t>
    </r>
  </si>
  <si>
    <r>
      <t xml:space="preserve">Initial price </t>
    </r>
    <r>
      <rPr>
        <i/>
        <sz val="10"/>
        <rFont val="Arial"/>
        <family val="2"/>
      </rPr>
      <t>S</t>
    </r>
  </si>
  <si>
    <t>Geometric Brownian motion: illustration</t>
  </si>
  <si>
    <t>SD</t>
  </si>
  <si>
    <t>SD pop</t>
  </si>
  <si>
    <t>=MultivarXs(3, 500, correlation matrix, mean vector, SD vector)</t>
  </si>
  <si>
    <t>Average</t>
  </si>
  <si>
    <t>Example with 500 draws and 3 variables.</t>
  </si>
  <si>
    <t>Change in portolio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</si>
</sst>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F_B_-;\-* #,##0.00\ _F_B_-;_-* &quot;-&quot;??\ _F_B_-;_-@_-"/>
    <numFmt numFmtId="165" formatCode="0.0000"/>
    <numFmt numFmtId="166" formatCode="#,##0.00_ ;\-#,##0.00\ 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8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b/>
      <sz val="10"/>
      <name val="Symbol"/>
      <family val="1"/>
      <charset val="2"/>
    </font>
    <font>
      <i/>
      <sz val="10"/>
      <name val="Arial"/>
      <family val="2"/>
    </font>
    <font>
      <sz val="9"/>
      <name val="Geneva"/>
    </font>
    <font>
      <b/>
      <sz val="9"/>
      <color rgb="FFFF0000"/>
      <name val="Genev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3" tint="0.79998168889431442"/>
      </left>
      <right style="thin">
        <color indexed="64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indexed="64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79998168889431442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3" tint="0.79998168889431442"/>
      </left>
      <right style="thin">
        <color indexed="64"/>
      </right>
      <top style="thin">
        <color indexed="64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indexed="64"/>
      </top>
      <bottom style="thin">
        <color theme="3" tint="0.79998168889431442"/>
      </bottom>
      <diagonal/>
    </border>
    <border>
      <left style="thin">
        <color indexed="64"/>
      </left>
      <right style="thin">
        <color theme="3" tint="0.79998168889431442"/>
      </right>
      <top style="thin">
        <color indexed="64"/>
      </top>
      <bottom style="thin">
        <color theme="3" tint="0.79998168889431442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7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/>
  </cellStyleXfs>
  <cellXfs count="66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1" applyNumberFormat="1" applyFont="1"/>
    <xf numFmtId="49" fontId="0" fillId="0" borderId="0" xfId="1" applyNumberFormat="1" applyFont="1"/>
    <xf numFmtId="49" fontId="0" fillId="0" borderId="0" xfId="1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0" borderId="0" xfId="2"/>
    <xf numFmtId="2" fontId="9" fillId="0" borderId="0" xfId="3" applyNumberFormat="1" applyFont="1"/>
    <xf numFmtId="2" fontId="9" fillId="0" borderId="0" xfId="4" applyNumberFormat="1" applyFont="1"/>
    <xf numFmtId="2" fontId="8" fillId="0" borderId="0" xfId="4" applyNumberFormat="1" applyFont="1"/>
    <xf numFmtId="165" fontId="0" fillId="0" borderId="0" xfId="4" applyNumberFormat="1" applyFont="1"/>
    <xf numFmtId="166" fontId="9" fillId="0" borderId="0" xfId="4" applyNumberFormat="1" applyFont="1"/>
    <xf numFmtId="166" fontId="8" fillId="0" borderId="0" xfId="4" applyNumberFormat="1" applyFont="1"/>
    <xf numFmtId="10" fontId="8" fillId="0" borderId="0" xfId="3" applyNumberFormat="1" applyFont="1"/>
    <xf numFmtId="0" fontId="9" fillId="0" borderId="0" xfId="2" applyFont="1"/>
    <xf numFmtId="2" fontId="8" fillId="0" borderId="0" xfId="2" applyNumberFormat="1" applyFont="1"/>
    <xf numFmtId="0" fontId="7" fillId="0" borderId="9" xfId="2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1" fillId="0" borderId="9" xfId="2" applyFont="1" applyBorder="1" applyAlignment="1">
      <alignment horizontal="center"/>
    </xf>
    <xf numFmtId="0" fontId="7" fillId="0" borderId="9" xfId="2" applyBorder="1"/>
    <xf numFmtId="0" fontId="9" fillId="0" borderId="9" xfId="2" applyFont="1" applyBorder="1" applyAlignment="1">
      <alignment horizontal="center"/>
    </xf>
    <xf numFmtId="0" fontId="7" fillId="0" borderId="9" xfId="2" applyBorder="1" applyAlignment="1">
      <alignment horizontal="right"/>
    </xf>
    <xf numFmtId="0" fontId="7" fillId="0" borderId="0" xfId="2" applyAlignment="1">
      <alignment vertical="top" wrapText="1"/>
    </xf>
    <xf numFmtId="0" fontId="7" fillId="0" borderId="0" xfId="2" applyAlignment="1">
      <alignment vertical="top"/>
    </xf>
    <xf numFmtId="0" fontId="7" fillId="0" borderId="0" xfId="2" applyAlignment="1">
      <alignment horizontal="center" wrapText="1"/>
    </xf>
    <xf numFmtId="1" fontId="0" fillId="0" borderId="0" xfId="3" applyNumberFormat="1" applyFont="1"/>
    <xf numFmtId="10" fontId="0" fillId="0" borderId="0" xfId="3" applyNumberFormat="1" applyFont="1"/>
    <xf numFmtId="166" fontId="0" fillId="0" borderId="0" xfId="4" applyNumberFormat="1" applyFont="1"/>
    <xf numFmtId="0" fontId="13" fillId="0" borderId="0" xfId="5"/>
    <xf numFmtId="0" fontId="13" fillId="0" borderId="10" xfId="5" applyBorder="1"/>
    <xf numFmtId="0" fontId="13" fillId="0" borderId="11" xfId="5" applyBorder="1"/>
    <xf numFmtId="0" fontId="13" fillId="0" borderId="12" xfId="5" applyBorder="1"/>
    <xf numFmtId="0" fontId="13" fillId="0" borderId="13" xfId="5" applyBorder="1"/>
    <xf numFmtId="15" fontId="13" fillId="0" borderId="13" xfId="5" applyNumberFormat="1" applyBorder="1" applyAlignment="1">
      <alignment wrapText="1"/>
    </xf>
    <xf numFmtId="15" fontId="13" fillId="0" borderId="13" xfId="5" applyNumberFormat="1" applyBorder="1"/>
    <xf numFmtId="0" fontId="13" fillId="0" borderId="14" xfId="5" applyBorder="1" applyAlignment="1">
      <alignment horizontal="center"/>
    </xf>
    <xf numFmtId="0" fontId="13" fillId="0" borderId="15" xfId="5" applyBorder="1" applyAlignment="1">
      <alignment horizontal="center"/>
    </xf>
    <xf numFmtId="0" fontId="13" fillId="0" borderId="16" xfId="5" applyBorder="1" applyAlignment="1">
      <alignment horizontal="center"/>
    </xf>
    <xf numFmtId="0" fontId="13" fillId="0" borderId="17" xfId="5" applyBorder="1"/>
    <xf numFmtId="0" fontId="13" fillId="0" borderId="12" xfId="5" applyBorder="1" applyAlignment="1">
      <alignment horizontal="center"/>
    </xf>
    <xf numFmtId="0" fontId="13" fillId="0" borderId="18" xfId="5" applyBorder="1" applyAlignment="1">
      <alignment horizontal="center"/>
    </xf>
    <xf numFmtId="0" fontId="13" fillId="0" borderId="9" xfId="5" applyBorder="1" applyAlignment="1">
      <alignment horizontal="center"/>
    </xf>
    <xf numFmtId="0" fontId="13" fillId="0" borderId="12" xfId="5" quotePrefix="1" applyBorder="1"/>
    <xf numFmtId="0" fontId="13" fillId="0" borderId="12" xfId="5" applyBorder="1" applyAlignment="1">
      <alignment horizontal="center"/>
    </xf>
    <xf numFmtId="0" fontId="13" fillId="0" borderId="13" xfId="5" applyBorder="1" applyAlignment="1">
      <alignment horizontal="center"/>
    </xf>
    <xf numFmtId="0" fontId="13" fillId="0" borderId="19" xfId="5" applyBorder="1"/>
    <xf numFmtId="0" fontId="13" fillId="0" borderId="20" xfId="5" applyBorder="1"/>
    <xf numFmtId="0" fontId="13" fillId="0" borderId="21" xfId="5" applyBorder="1"/>
    <xf numFmtId="0" fontId="13" fillId="0" borderId="22" xfId="5" applyBorder="1"/>
    <xf numFmtId="0" fontId="13" fillId="0" borderId="23" xfId="5" applyBorder="1"/>
    <xf numFmtId="0" fontId="14" fillId="0" borderId="12" xfId="5" applyFont="1" applyBorder="1"/>
  </cellXfs>
  <cellStyles count="6">
    <cellStyle name="Comma 2" xfId="4" xr:uid="{9B9AD9AB-15E2-4639-B314-08260E443413}"/>
    <cellStyle name="Normal" xfId="0" builtinId="0"/>
    <cellStyle name="Normal 2" xfId="2" xr:uid="{F96E661B-302E-46A6-B07F-797EB31BBBE6}"/>
    <cellStyle name="Normal 3" xfId="5" xr:uid="{35D9B4CB-2459-44CB-B746-60821FAF4B47}"/>
    <cellStyle name="Percent" xfId="1" builtinId="5"/>
    <cellStyle name="Percent 2" xfId="3" xr:uid="{E88EE3FB-EC62-468B-B900-7D6B314A94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Scatterplot</a:t>
            </a:r>
            <a:r>
              <a:rPr lang="en-CA" baseline="0"/>
              <a:t> for daily returns of the stock</a:t>
            </a:r>
          </a:p>
          <a:p>
            <a:pPr>
              <a:defRPr/>
            </a:pP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Question_1!$C$1</c:f>
              <c:strCache>
                <c:ptCount val="1"/>
                <c:pt idx="0">
                  <c:v>Daily returns on Tesla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Question_1!$A$2:$A$252</c:f>
              <c:numCache>
                <c:formatCode>m/d/yyyy</c:formatCode>
                <c:ptCount val="251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</c:numCache>
            </c:numRef>
          </c:xVal>
          <c:yVal>
            <c:numRef>
              <c:f>Question_1!$C$2:$C$252</c:f>
              <c:numCache>
                <c:formatCode>General</c:formatCode>
                <c:ptCount val="251"/>
                <c:pt idx="1">
                  <c:v>7.3173258062862135E-3</c:v>
                </c:pt>
                <c:pt idx="2">
                  <c:v>2.8390302710960866E-2</c:v>
                </c:pt>
                <c:pt idx="3">
                  <c:v>7.9446545661169585E-2</c:v>
                </c:pt>
                <c:pt idx="4">
                  <c:v>7.8403073041600449E-2</c:v>
                </c:pt>
                <c:pt idx="5">
                  <c:v>-7.8214150173538083E-2</c:v>
                </c:pt>
                <c:pt idx="6">
                  <c:v>4.7152948021664594E-2</c:v>
                </c:pt>
                <c:pt idx="7">
                  <c:v>5.8508793891248675E-3</c:v>
                </c:pt>
                <c:pt idx="8">
                  <c:v>-1.1013416623590882E-2</c:v>
                </c:pt>
                <c:pt idx="9">
                  <c:v>-2.2295889940828359E-2</c:v>
                </c:pt>
                <c:pt idx="10">
                  <c:v>2.225962961291995E-2</c:v>
                </c:pt>
                <c:pt idx="11">
                  <c:v>6.9859973759185349E-3</c:v>
                </c:pt>
                <c:pt idx="12">
                  <c:v>-6.4201562972051327E-3</c:v>
                </c:pt>
                <c:pt idx="13">
                  <c:v>1.9527154398597244E-3</c:v>
                </c:pt>
                <c:pt idx="14">
                  <c:v>4.0347694881867874E-2</c:v>
                </c:pt>
                <c:pt idx="15">
                  <c:v>2.5999534868294968E-3</c:v>
                </c:pt>
                <c:pt idx="16">
                  <c:v>-2.1436154209903593E-2</c:v>
                </c:pt>
                <c:pt idx="17">
                  <c:v>-3.3246136013754098E-2</c:v>
                </c:pt>
                <c:pt idx="18">
                  <c:v>-5.0153770335128432E-2</c:v>
                </c:pt>
                <c:pt idx="19">
                  <c:v>5.8321635361829431E-2</c:v>
                </c:pt>
                <c:pt idx="20">
                  <c:v>3.9270763718628733E-2</c:v>
                </c:pt>
                <c:pt idx="21">
                  <c:v>-2.0738065807625449E-2</c:v>
                </c:pt>
                <c:pt idx="22">
                  <c:v>-5.499083865497253E-3</c:v>
                </c:pt>
                <c:pt idx="23">
                  <c:v>2.6353133876316831E-3</c:v>
                </c:pt>
                <c:pt idx="24">
                  <c:v>1.3130262091929749E-2</c:v>
                </c:pt>
                <c:pt idx="25">
                  <c:v>-1.6168216250329732E-2</c:v>
                </c:pt>
                <c:pt idx="26">
                  <c:v>-5.2551048717864146E-2</c:v>
                </c:pt>
                <c:pt idx="27">
                  <c:v>8.4987524421718356E-3</c:v>
                </c:pt>
                <c:pt idx="28">
                  <c:v>5.4949389502542099E-3</c:v>
                </c:pt>
                <c:pt idx="29">
                  <c:v>-2.438369862510234E-2</c:v>
                </c:pt>
                <c:pt idx="30">
                  <c:v>2.4240198315749651E-3</c:v>
                </c:pt>
                <c:pt idx="31">
                  <c:v>-1.3493727590240662E-2</c:v>
                </c:pt>
                <c:pt idx="32">
                  <c:v>-7.7218331191938232E-3</c:v>
                </c:pt>
                <c:pt idx="33">
                  <c:v>-8.5498514048358065E-2</c:v>
                </c:pt>
                <c:pt idx="34">
                  <c:v>-2.1917386983904878E-2</c:v>
                </c:pt>
                <c:pt idx="35">
                  <c:v>6.1788093600425788E-2</c:v>
                </c:pt>
                <c:pt idx="36">
                  <c:v>-8.0590883518210268E-2</c:v>
                </c:pt>
                <c:pt idx="37">
                  <c:v>-9.8501528622063558E-3</c:v>
                </c:pt>
                <c:pt idx="38">
                  <c:v>6.3552913397483299E-2</c:v>
                </c:pt>
                <c:pt idx="39">
                  <c:v>-4.4527638477921842E-2</c:v>
                </c:pt>
                <c:pt idx="40">
                  <c:v>-4.8423736820628983E-2</c:v>
                </c:pt>
                <c:pt idx="41">
                  <c:v>-4.862218220534871E-2</c:v>
                </c:pt>
                <c:pt idx="42">
                  <c:v>-3.7799288627062076E-2</c:v>
                </c:pt>
                <c:pt idx="43">
                  <c:v>-5.8449722048002924E-2</c:v>
                </c:pt>
                <c:pt idx="44">
                  <c:v>0.19641210834813499</c:v>
                </c:pt>
                <c:pt idx="45">
                  <c:v>-8.1950456674549001E-3</c:v>
                </c:pt>
                <c:pt idx="46">
                  <c:v>4.7211295533967926E-2</c:v>
                </c:pt>
                <c:pt idx="47">
                  <c:v>-8.3905034324929916E-3</c:v>
                </c:pt>
                <c:pt idx="48">
                  <c:v>2.048350570058987E-2</c:v>
                </c:pt>
                <c:pt idx="49">
                  <c:v>-4.3873770252072952E-2</c:v>
                </c:pt>
                <c:pt idx="50">
                  <c:v>3.6830742252461669E-2</c:v>
                </c:pt>
                <c:pt idx="51">
                  <c:v>-6.9320792149786273E-2</c:v>
                </c:pt>
                <c:pt idx="52">
                  <c:v>2.6180753118501044E-3</c:v>
                </c:pt>
                <c:pt idx="53">
                  <c:v>2.3103829944140262E-2</c:v>
                </c:pt>
                <c:pt idx="54">
                  <c:v>-1.1701532835820842E-2</c:v>
                </c:pt>
                <c:pt idx="55">
                  <c:v>-4.8160496406206045E-2</c:v>
                </c:pt>
                <c:pt idx="56">
                  <c:v>1.6056602216300727E-2</c:v>
                </c:pt>
                <c:pt idx="57">
                  <c:v>-3.385435826946797E-2</c:v>
                </c:pt>
                <c:pt idx="58">
                  <c:v>-1.1992765166490163E-2</c:v>
                </c:pt>
                <c:pt idx="59">
                  <c:v>3.9801105654639075E-2</c:v>
                </c:pt>
                <c:pt idx="60">
                  <c:v>5.0832255520847719E-2</c:v>
                </c:pt>
                <c:pt idx="61">
                  <c:v>-9.2524561926656413E-3</c:v>
                </c:pt>
                <c:pt idx="62">
                  <c:v>4.4276521344918753E-2</c:v>
                </c:pt>
                <c:pt idx="63">
                  <c:v>8.2484192156592924E-4</c:v>
                </c:pt>
                <c:pt idx="64">
                  <c:v>-2.9857471081355925E-2</c:v>
                </c:pt>
                <c:pt idx="65">
                  <c:v>1.9121596426854098E-2</c:v>
                </c:pt>
                <c:pt idx="66">
                  <c:v>-9.9151332538484037E-3</c:v>
                </c:pt>
                <c:pt idx="67">
                  <c:v>3.686738835285832E-2</c:v>
                </c:pt>
                <c:pt idx="68">
                  <c:v>8.5956905779563803E-2</c:v>
                </c:pt>
                <c:pt idx="69">
                  <c:v>-3.9471648026679795E-2</c:v>
                </c:pt>
                <c:pt idx="70">
                  <c:v>9.0408699190382986E-3</c:v>
                </c:pt>
                <c:pt idx="71">
                  <c:v>1.2587846385746428E-3</c:v>
                </c:pt>
                <c:pt idx="72">
                  <c:v>-3.3996624691256742E-2</c:v>
                </c:pt>
                <c:pt idx="73">
                  <c:v>6.1010382568530011E-3</c:v>
                </c:pt>
                <c:pt idx="74">
                  <c:v>3.4951814836810154E-2</c:v>
                </c:pt>
                <c:pt idx="75">
                  <c:v>-3.2830717040468679E-2</c:v>
                </c:pt>
                <c:pt idx="76">
                  <c:v>1.349195066350245E-2</c:v>
                </c:pt>
                <c:pt idx="77">
                  <c:v>1.2064693872288637E-2</c:v>
                </c:pt>
                <c:pt idx="78">
                  <c:v>-4.5326498856789479E-2</c:v>
                </c:pt>
                <c:pt idx="79">
                  <c:v>-1.4672029609104492E-2</c:v>
                </c:pt>
                <c:pt idx="80">
                  <c:v>-2.5057637382800594E-2</c:v>
                </c:pt>
                <c:pt idx="81">
                  <c:v>4.7917285081240844E-2</c:v>
                </c:pt>
                <c:pt idx="82">
                  <c:v>-3.4590631950297067E-2</c:v>
                </c:pt>
                <c:pt idx="83">
                  <c:v>-1.6498828447989746E-2</c:v>
                </c:pt>
                <c:pt idx="84">
                  <c:v>-3.9488926585114969E-3</c:v>
                </c:pt>
                <c:pt idx="85">
                  <c:v>-1.1029337910903141E-2</c:v>
                </c:pt>
                <c:pt idx="86">
                  <c:v>1.3307437822533125E-2</c:v>
                </c:pt>
                <c:pt idx="87">
                  <c:v>-6.444371004390223E-2</c:v>
                </c:pt>
                <c:pt idx="88">
                  <c:v>-1.8822279050760116E-2</c:v>
                </c:pt>
                <c:pt idx="89">
                  <c:v>-4.424821203665185E-2</c:v>
                </c:pt>
                <c:pt idx="90">
                  <c:v>-3.0853231173950113E-2</c:v>
                </c:pt>
                <c:pt idx="91">
                  <c:v>3.1573034226335804E-2</c:v>
                </c:pt>
                <c:pt idx="92">
                  <c:v>-2.1890957403109184E-2</c:v>
                </c:pt>
                <c:pt idx="93">
                  <c:v>1.8029193511960027E-3</c:v>
                </c:pt>
                <c:pt idx="94">
                  <c:v>-2.4936357874057877E-2</c:v>
                </c:pt>
                <c:pt idx="95">
                  <c:v>4.1387154526466179E-2</c:v>
                </c:pt>
                <c:pt idx="96">
                  <c:v>-1.0054916166889569E-2</c:v>
                </c:pt>
                <c:pt idx="97">
                  <c:v>4.4002198009897187E-2</c:v>
                </c:pt>
                <c:pt idx="98">
                  <c:v>-2.8856935463172167E-3</c:v>
                </c:pt>
                <c:pt idx="99">
                  <c:v>2.3880009512708848E-2</c:v>
                </c:pt>
                <c:pt idx="100">
                  <c:v>1.8929741581495452E-2</c:v>
                </c:pt>
                <c:pt idx="101">
                  <c:v>-8.9244752543193931E-3</c:v>
                </c:pt>
                <c:pt idx="102">
                  <c:v>-2.1111721653561135E-3</c:v>
                </c:pt>
                <c:pt idx="103">
                  <c:v>-3.0101023044679369E-2</c:v>
                </c:pt>
                <c:pt idx="104">
                  <c:v>-5.3344738674517028E-2</c:v>
                </c:pt>
                <c:pt idx="105">
                  <c:v>4.5754416180138931E-2</c:v>
                </c:pt>
                <c:pt idx="106">
                  <c:v>1.0149431803343928E-2</c:v>
                </c:pt>
                <c:pt idx="107">
                  <c:v>-2.5448713289304161E-3</c:v>
                </c:pt>
                <c:pt idx="108">
                  <c:v>-7.9689818996958855E-3</c:v>
                </c:pt>
                <c:pt idx="109">
                  <c:v>1.8938450600863316E-2</c:v>
                </c:pt>
                <c:pt idx="110">
                  <c:v>-3.7694224395984382E-4</c:v>
                </c:pt>
                <c:pt idx="111">
                  <c:v>1.2789169863684523E-2</c:v>
                </c:pt>
                <c:pt idx="112">
                  <c:v>-2.9675107158363877E-2</c:v>
                </c:pt>
                <c:pt idx="113">
                  <c:v>9.193156263176237E-3</c:v>
                </c:pt>
                <c:pt idx="114">
                  <c:v>1.9392565504923007E-2</c:v>
                </c:pt>
                <c:pt idx="115">
                  <c:v>1.088229364446161E-2</c:v>
                </c:pt>
                <c:pt idx="116">
                  <c:v>-3.9787280934966696E-3</c:v>
                </c:pt>
                <c:pt idx="117">
                  <c:v>4.6389590083238241E-3</c:v>
                </c:pt>
                <c:pt idx="118">
                  <c:v>5.2684715398079736E-2</c:v>
                </c:pt>
                <c:pt idx="119">
                  <c:v>3.5411303824604952E-2</c:v>
                </c:pt>
                <c:pt idx="120">
                  <c:v>-1.1694289544497055E-2</c:v>
                </c:pt>
                <c:pt idx="121">
                  <c:v>2.5079220869209926E-2</c:v>
                </c:pt>
                <c:pt idx="122">
                  <c:v>-1.155761606337973E-2</c:v>
                </c:pt>
                <c:pt idx="123">
                  <c:v>-1.5570802991203179E-3</c:v>
                </c:pt>
                <c:pt idx="124">
                  <c:v>-2.6188450324759051E-3</c:v>
                </c:pt>
                <c:pt idx="125">
                  <c:v>1.445658816049428E-3</c:v>
                </c:pt>
                <c:pt idx="126">
                  <c:v>-2.8457808686128478E-2</c:v>
                </c:pt>
                <c:pt idx="127">
                  <c:v>-2.263560540828205E-2</c:v>
                </c:pt>
                <c:pt idx="128">
                  <c:v>1.2657990686741866E-2</c:v>
                </c:pt>
                <c:pt idx="129">
                  <c:v>6.3418360819897631E-3</c:v>
                </c:pt>
                <c:pt idx="130">
                  <c:v>4.3762842643802251E-2</c:v>
                </c:pt>
                <c:pt idx="131">
                  <c:v>-2.5025570511438163E-2</c:v>
                </c:pt>
                <c:pt idx="132">
                  <c:v>-2.267624001387698E-2</c:v>
                </c:pt>
                <c:pt idx="133">
                  <c:v>-4.2548424786889721E-3</c:v>
                </c:pt>
                <c:pt idx="134">
                  <c:v>-9.8063406630067001E-3</c:v>
                </c:pt>
                <c:pt idx="135">
                  <c:v>3.1045296483054857E-3</c:v>
                </c:pt>
                <c:pt idx="136">
                  <c:v>2.2097783480603719E-2</c:v>
                </c:pt>
                <c:pt idx="137">
                  <c:v>-7.8879969719908866E-3</c:v>
                </c:pt>
                <c:pt idx="138">
                  <c:v>-9.2019841634142212E-3</c:v>
                </c:pt>
                <c:pt idx="139">
                  <c:v>-9.0564718439997294E-3</c:v>
                </c:pt>
                <c:pt idx="140">
                  <c:v>2.2133093800451625E-2</c:v>
                </c:pt>
                <c:pt idx="141">
                  <c:v>-1.9524902067492647E-2</c:v>
                </c:pt>
                <c:pt idx="142">
                  <c:v>3.4119403533820398E-3</c:v>
                </c:pt>
                <c:pt idx="143">
                  <c:v>4.6941168102295865E-2</c:v>
                </c:pt>
                <c:pt idx="144">
                  <c:v>1.4542018674257761E-2</c:v>
                </c:pt>
                <c:pt idx="145">
                  <c:v>3.2697861768954666E-2</c:v>
                </c:pt>
                <c:pt idx="146">
                  <c:v>9.8647260948096701E-5</c:v>
                </c:pt>
                <c:pt idx="147">
                  <c:v>1.6625708239998815E-3</c:v>
                </c:pt>
                <c:pt idx="148">
                  <c:v>5.2186210666693E-3</c:v>
                </c:pt>
                <c:pt idx="149">
                  <c:v>-2.1731565833147479E-2</c:v>
                </c:pt>
                <c:pt idx="150">
                  <c:v>2.0969867691713377E-2</c:v>
                </c:pt>
                <c:pt idx="151">
                  <c:v>-5.2819154157991164E-3</c:v>
                </c:pt>
                <c:pt idx="152">
                  <c:v>-3.0563571748384818E-3</c:v>
                </c:pt>
                <c:pt idx="153">
                  <c:v>2.0386528859447691E-2</c:v>
                </c:pt>
                <c:pt idx="154">
                  <c:v>-7.0335991692627182E-3</c:v>
                </c:pt>
                <c:pt idx="155">
                  <c:v>-4.3225456634874246E-2</c:v>
                </c:pt>
                <c:pt idx="156">
                  <c:v>-2.9817627565908871E-2</c:v>
                </c:pt>
                <c:pt idx="157">
                  <c:v>3.4970132986821785E-2</c:v>
                </c:pt>
                <c:pt idx="158">
                  <c:v>-2.252575396632402E-2</c:v>
                </c:pt>
                <c:pt idx="159">
                  <c:v>1.0082170389747012E-2</c:v>
                </c:pt>
                <c:pt idx="160">
                  <c:v>3.8279448471474929E-2</c:v>
                </c:pt>
                <c:pt idx="161">
                  <c:v>3.1006683239530927E-3</c:v>
                </c:pt>
                <c:pt idx="162">
                  <c:v>3.8250674508470907E-3</c:v>
                </c:pt>
                <c:pt idx="163">
                  <c:v>-1.4117039975527979E-2</c:v>
                </c:pt>
                <c:pt idx="164">
                  <c:v>1.5346012913375427E-2</c:v>
                </c:pt>
                <c:pt idx="165">
                  <c:v>2.6674332022507696E-2</c:v>
                </c:pt>
                <c:pt idx="166">
                  <c:v>6.5808350928055403E-3</c:v>
                </c:pt>
                <c:pt idx="167">
                  <c:v>-2.2154407440980327E-3</c:v>
                </c:pt>
                <c:pt idx="168">
                  <c:v>-2.3158086031320178E-3</c:v>
                </c:pt>
                <c:pt idx="169">
                  <c:v>1.6111524950269617E-3</c:v>
                </c:pt>
                <c:pt idx="170">
                  <c:v>2.6377817816098319E-2</c:v>
                </c:pt>
                <c:pt idx="171">
                  <c:v>1.2617702032753926E-3</c:v>
                </c:pt>
                <c:pt idx="172">
                  <c:v>1.3132105091940081E-3</c:v>
                </c:pt>
                <c:pt idx="173">
                  <c:v>-2.4627037290895749E-2</c:v>
                </c:pt>
                <c:pt idx="174">
                  <c:v>9.1406410925165132E-3</c:v>
                </c:pt>
                <c:pt idx="175">
                  <c:v>2.005370121130598E-3</c:v>
                </c:pt>
                <c:pt idx="176">
                  <c:v>1.5231940190357647E-2</c:v>
                </c:pt>
                <c:pt idx="177">
                  <c:v>1.5347008902929511E-3</c:v>
                </c:pt>
                <c:pt idx="178">
                  <c:v>3.3025535780202321E-3</c:v>
                </c:pt>
                <c:pt idx="179">
                  <c:v>-3.8604862981801817E-2</c:v>
                </c:pt>
                <c:pt idx="180">
                  <c:v>1.2613531389169666E-2</c:v>
                </c:pt>
                <c:pt idx="181">
                  <c:v>1.698720132416898E-2</c:v>
                </c:pt>
                <c:pt idx="182">
                  <c:v>2.2608359649416536E-3</c:v>
                </c:pt>
                <c:pt idx="183">
                  <c:v>2.7533039099575943E-2</c:v>
                </c:pt>
                <c:pt idx="184">
                  <c:v>2.1913983485440606E-2</c:v>
                </c:pt>
                <c:pt idx="185">
                  <c:v>-1.7438317910400916E-2</c:v>
                </c:pt>
                <c:pt idx="186">
                  <c:v>4.8227789619393465E-3</c:v>
                </c:pt>
                <c:pt idx="187">
                  <c:v>-7.4618499890231737E-3</c:v>
                </c:pt>
                <c:pt idx="188">
                  <c:v>-3.3528783038340747E-4</c:v>
                </c:pt>
                <c:pt idx="189">
                  <c:v>8.1397000026461226E-3</c:v>
                </c:pt>
                <c:pt idx="190">
                  <c:v>-1.2027714420683501E-3</c:v>
                </c:pt>
                <c:pt idx="191">
                  <c:v>2.7671029929774347E-3</c:v>
                </c:pt>
                <c:pt idx="192">
                  <c:v>1.387414244650278E-2</c:v>
                </c:pt>
                <c:pt idx="193">
                  <c:v>-1.0231719803777439E-2</c:v>
                </c:pt>
                <c:pt idx="194">
                  <c:v>8.2114502821353779E-3</c:v>
                </c:pt>
                <c:pt idx="195">
                  <c:v>1.7400268915826196E-2</c:v>
                </c:pt>
                <c:pt idx="196">
                  <c:v>6.6524924203473805E-3</c:v>
                </c:pt>
                <c:pt idx="197">
                  <c:v>8.9263572622330246E-3</c:v>
                </c:pt>
                <c:pt idx="198">
                  <c:v>3.0196037966355109E-2</c:v>
                </c:pt>
                <c:pt idx="199">
                  <c:v>3.2122172483134689E-2</c:v>
                </c:pt>
                <c:pt idx="200">
                  <c:v>-6.7117549513007902E-3</c:v>
                </c:pt>
                <c:pt idx="201">
                  <c:v>1.7702430543638894E-3</c:v>
                </c:pt>
                <c:pt idx="202">
                  <c:v>3.2571046882481608E-2</c:v>
                </c:pt>
                <c:pt idx="203">
                  <c:v>1.7539142058165511E-2</c:v>
                </c:pt>
                <c:pt idx="204">
                  <c:v>0.1266159450425553</c:v>
                </c:pt>
                <c:pt idx="205">
                  <c:v>-6.2740199579556068E-3</c:v>
                </c:pt>
                <c:pt idx="206">
                  <c:v>1.9078377633758557E-2</c:v>
                </c:pt>
                <c:pt idx="207">
                  <c:v>3.7750808939801185E-2</c:v>
                </c:pt>
                <c:pt idx="208">
                  <c:v>3.4316236780125887E-2</c:v>
                </c:pt>
                <c:pt idx="209">
                  <c:v>8.4910202872531426E-2</c:v>
                </c:pt>
                <c:pt idx="210">
                  <c:v>-3.0274921213436588E-2</c:v>
                </c:pt>
                <c:pt idx="211">
                  <c:v>3.5716710750853288E-2</c:v>
                </c:pt>
                <c:pt idx="212">
                  <c:v>1.3222323166044513E-2</c:v>
                </c:pt>
                <c:pt idx="213">
                  <c:v>-6.3582439233925234E-3</c:v>
                </c:pt>
                <c:pt idx="214">
                  <c:v>-4.8400712423491019E-2</c:v>
                </c:pt>
                <c:pt idx="215">
                  <c:v>-0.11990295980383743</c:v>
                </c:pt>
                <c:pt idx="216">
                  <c:v>4.3429361016121208E-2</c:v>
                </c:pt>
                <c:pt idx="217">
                  <c:v>-4.1574429549274729E-3</c:v>
                </c:pt>
                <c:pt idx="218">
                  <c:v>-2.829307267169023E-2</c:v>
                </c:pt>
                <c:pt idx="219">
                  <c:v>-1.9382272596988659E-2</c:v>
                </c:pt>
                <c:pt idx="220">
                  <c:v>4.0793736259578321E-2</c:v>
                </c:pt>
                <c:pt idx="221">
                  <c:v>3.2501237899770226E-2</c:v>
                </c:pt>
                <c:pt idx="222">
                  <c:v>6.7676099689845982E-3</c:v>
                </c:pt>
                <c:pt idx="223">
                  <c:v>3.7103972905817385E-2</c:v>
                </c:pt>
                <c:pt idx="224">
                  <c:v>1.7422066533074931E-2</c:v>
                </c:pt>
                <c:pt idx="225">
                  <c:v>-4.135293179593616E-2</c:v>
                </c:pt>
                <c:pt idx="226">
                  <c:v>6.2847450634720249E-3</c:v>
                </c:pt>
                <c:pt idx="227">
                  <c:v>-3.0537594982078888E-2</c:v>
                </c:pt>
                <c:pt idx="228">
                  <c:v>5.0900199423609231E-2</c:v>
                </c:pt>
                <c:pt idx="229">
                  <c:v>6.8338508415539626E-3</c:v>
                </c:pt>
                <c:pt idx="230">
                  <c:v>-4.346763475778645E-2</c:v>
                </c:pt>
                <c:pt idx="231">
                  <c:v>-9.4977388127854157E-3</c:v>
                </c:pt>
                <c:pt idx="232">
                  <c:v>-6.4198788992043995E-2</c:v>
                </c:pt>
                <c:pt idx="233">
                  <c:v>-5.8720564847134981E-3</c:v>
                </c:pt>
                <c:pt idx="234">
                  <c:v>4.2358340924685212E-2</c:v>
                </c:pt>
                <c:pt idx="235">
                  <c:v>1.6363167102448322E-2</c:v>
                </c:pt>
                <c:pt idx="236">
                  <c:v>-6.0956420611903567E-2</c:v>
                </c:pt>
                <c:pt idx="237">
                  <c:v>1.3179957320342215E-2</c:v>
                </c:pt>
                <c:pt idx="238">
                  <c:v>-4.9772430072465415E-2</c:v>
                </c:pt>
                <c:pt idx="239">
                  <c:v>-8.1745462285291118E-3</c:v>
                </c:pt>
                <c:pt idx="240">
                  <c:v>1.8236617059429635E-2</c:v>
                </c:pt>
                <c:pt idx="241">
                  <c:v>-5.0277162166386592E-2</c:v>
                </c:pt>
                <c:pt idx="242">
                  <c:v>6.095481922521062E-3</c:v>
                </c:pt>
                <c:pt idx="243">
                  <c:v>-3.4989335658529262E-2</c:v>
                </c:pt>
                <c:pt idx="244">
                  <c:v>4.288066639358027E-2</c:v>
                </c:pt>
                <c:pt idx="245">
                  <c:v>7.494695302924613E-2</c:v>
                </c:pt>
                <c:pt idx="246">
                  <c:v>5.761892541962256E-2</c:v>
                </c:pt>
                <c:pt idx="247">
                  <c:v>2.5248304592314984E-2</c:v>
                </c:pt>
                <c:pt idx="248">
                  <c:v>-5.0002470839485532E-3</c:v>
                </c:pt>
                <c:pt idx="249">
                  <c:v>-2.0947109803177997E-3</c:v>
                </c:pt>
                <c:pt idx="250">
                  <c:v>-1.4592268259645101E-2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A1-4EBF-9887-5CADF6054D96}"/>
            </c:ext>
          </c:extLst>
        </c:ser>
        <c:ser>
          <c:idx val="3"/>
          <c:order val="1"/>
          <c:tx>
            <c:strRef>
              <c:f>Question_1!$E$1</c:f>
              <c:strCache>
                <c:ptCount val="1"/>
                <c:pt idx="0">
                  <c:v>Daily returns on Apple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Question_1!$A$2:$A$252</c:f>
              <c:numCache>
                <c:formatCode>m/d/yyyy</c:formatCode>
                <c:ptCount val="251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</c:numCache>
            </c:numRef>
          </c:xVal>
          <c:yVal>
            <c:numRef>
              <c:f>Question_1!$E$2:$E$252</c:f>
              <c:numCache>
                <c:formatCode>General</c:formatCode>
                <c:ptCount val="251"/>
                <c:pt idx="1">
                  <c:v>1.2363735032416947E-2</c:v>
                </c:pt>
                <c:pt idx="2">
                  <c:v>-3.3661530938918091E-2</c:v>
                </c:pt>
                <c:pt idx="3">
                  <c:v>3.412322328788657E-2</c:v>
                </c:pt>
                <c:pt idx="4">
                  <c:v>8.6312634987972675E-3</c:v>
                </c:pt>
                <c:pt idx="5">
                  <c:v>-2.3248821887569392E-2</c:v>
                </c:pt>
                <c:pt idx="6">
                  <c:v>-1.3955109752057681E-3</c:v>
                </c:pt>
                <c:pt idx="7">
                  <c:v>1.6226676640682881E-2</c:v>
                </c:pt>
                <c:pt idx="8">
                  <c:v>-1.512716796643877E-2</c:v>
                </c:pt>
                <c:pt idx="9">
                  <c:v>-1.3730548018600509E-2</c:v>
                </c:pt>
                <c:pt idx="10">
                  <c:v>5.4271118878960363E-3</c:v>
                </c:pt>
                <c:pt idx="11">
                  <c:v>3.2856113074300121E-2</c:v>
                </c:pt>
                <c:pt idx="12">
                  <c:v>3.6658305208348785E-2</c:v>
                </c:pt>
                <c:pt idx="13">
                  <c:v>1.607373478752604E-2</c:v>
                </c:pt>
                <c:pt idx="14">
                  <c:v>2.7683834085087726E-2</c:v>
                </c:pt>
                <c:pt idx="15">
                  <c:v>1.6793031301329431E-3</c:v>
                </c:pt>
                <c:pt idx="16">
                  <c:v>-7.683752230126923E-3</c:v>
                </c:pt>
                <c:pt idx="17">
                  <c:v>-3.4985232084826533E-2</c:v>
                </c:pt>
                <c:pt idx="18">
                  <c:v>-3.7420593403475061E-2</c:v>
                </c:pt>
                <c:pt idx="19">
                  <c:v>1.6520096122759367E-2</c:v>
                </c:pt>
                <c:pt idx="20">
                  <c:v>6.3367079643411031E-3</c:v>
                </c:pt>
                <c:pt idx="21">
                  <c:v>-7.7783758879037294E-3</c:v>
                </c:pt>
                <c:pt idx="22">
                  <c:v>2.5757779218190519E-2</c:v>
                </c:pt>
                <c:pt idx="23">
                  <c:v>-4.5855157186512931E-3</c:v>
                </c:pt>
                <c:pt idx="24">
                  <c:v>1.0968777821319968E-3</c:v>
                </c:pt>
                <c:pt idx="25">
                  <c:v>-6.5737270740272788E-3</c:v>
                </c:pt>
                <c:pt idx="26">
                  <c:v>-4.5584591044210733E-3</c:v>
                </c:pt>
                <c:pt idx="27">
                  <c:v>-1.9203338645417795E-3</c:v>
                </c:pt>
                <c:pt idx="28">
                  <c:v>1.7759934220381141E-3</c:v>
                </c:pt>
                <c:pt idx="29">
                  <c:v>-1.6103960113169807E-2</c:v>
                </c:pt>
                <c:pt idx="30">
                  <c:v>-1.7644012048291576E-2</c:v>
                </c:pt>
                <c:pt idx="31">
                  <c:v>-8.6364187904746127E-3</c:v>
                </c:pt>
                <c:pt idx="32">
                  <c:v>1.233428350674582E-3</c:v>
                </c:pt>
                <c:pt idx="33">
                  <c:v>-2.9798992446253572E-2</c:v>
                </c:pt>
                <c:pt idx="34">
                  <c:v>-1.1111031746031991E-3</c:v>
                </c:pt>
                <c:pt idx="35">
                  <c:v>-4.0521452085480088E-3</c:v>
                </c:pt>
                <c:pt idx="36">
                  <c:v>-3.478260925062001E-2</c:v>
                </c:pt>
                <c:pt idx="37">
                  <c:v>2.2316224850255813E-3</c:v>
                </c:pt>
                <c:pt idx="38">
                  <c:v>5.3851219629701172E-2</c:v>
                </c:pt>
                <c:pt idx="39">
                  <c:v>-2.0893637836343758E-2</c:v>
                </c:pt>
                <c:pt idx="40">
                  <c:v>-2.4456561114372766E-2</c:v>
                </c:pt>
                <c:pt idx="41">
                  <c:v>-1.5811904240732415E-2</c:v>
                </c:pt>
                <c:pt idx="42">
                  <c:v>1.0738375361817445E-2</c:v>
                </c:pt>
                <c:pt idx="43">
                  <c:v>-4.1673505875037237E-2</c:v>
                </c:pt>
                <c:pt idx="44">
                  <c:v>4.0649664483932091E-2</c:v>
                </c:pt>
                <c:pt idx="45">
                  <c:v>-9.1666779805658176E-3</c:v>
                </c:pt>
                <c:pt idx="46">
                  <c:v>1.650271670688323E-2</c:v>
                </c:pt>
                <c:pt idx="47">
                  <c:v>-7.6254510300544738E-3</c:v>
                </c:pt>
                <c:pt idx="48">
                  <c:v>2.4456738200914933E-2</c:v>
                </c:pt>
                <c:pt idx="49">
                  <c:v>1.2742979478070427E-2</c:v>
                </c:pt>
                <c:pt idx="50">
                  <c:v>-6.4505694035198943E-3</c:v>
                </c:pt>
                <c:pt idx="51">
                  <c:v>-3.3905121290395593E-2</c:v>
                </c:pt>
                <c:pt idx="52">
                  <c:v>-4.4802207291149464E-3</c:v>
                </c:pt>
                <c:pt idx="53">
                  <c:v>2.8335703447549047E-2</c:v>
                </c:pt>
                <c:pt idx="54">
                  <c:v>-6.8887106482592589E-3</c:v>
                </c:pt>
                <c:pt idx="55">
                  <c:v>-1.9993512159347904E-2</c:v>
                </c:pt>
                <c:pt idx="56">
                  <c:v>4.1635441473409657E-3</c:v>
                </c:pt>
                <c:pt idx="57">
                  <c:v>5.1414132230338328E-3</c:v>
                </c:pt>
                <c:pt idx="58">
                  <c:v>1.4850260002065244E-3</c:v>
                </c:pt>
                <c:pt idx="59">
                  <c:v>-1.2274462577431955E-2</c:v>
                </c:pt>
                <c:pt idx="60">
                  <c:v>1.8765637718671596E-2</c:v>
                </c:pt>
                <c:pt idx="61">
                  <c:v>6.9586409012093132E-3</c:v>
                </c:pt>
                <c:pt idx="62">
                  <c:v>2.357725203252033E-2</c:v>
                </c:pt>
                <c:pt idx="63">
                  <c:v>2.4622477766123915E-3</c:v>
                </c:pt>
                <c:pt idx="64">
                  <c:v>1.3390404986850561E-2</c:v>
                </c:pt>
                <c:pt idx="65">
                  <c:v>1.9233768268432164E-2</c:v>
                </c:pt>
                <c:pt idx="66">
                  <c:v>2.0251603097180007E-2</c:v>
                </c:pt>
                <c:pt idx="67">
                  <c:v>-1.3233045112781982E-2</c:v>
                </c:pt>
                <c:pt idx="68">
                  <c:v>2.4306521475673516E-2</c:v>
                </c:pt>
                <c:pt idx="69">
                  <c:v>-1.7853114074029539E-2</c:v>
                </c:pt>
                <c:pt idx="70">
                  <c:v>1.8707877139346161E-2</c:v>
                </c:pt>
                <c:pt idx="71">
                  <c:v>-2.5278513011153421E-3</c:v>
                </c:pt>
                <c:pt idx="72">
                  <c:v>5.0685150546061928E-3</c:v>
                </c:pt>
                <c:pt idx="73">
                  <c:v>-1.282998406496543E-2</c:v>
                </c:pt>
                <c:pt idx="74">
                  <c:v>2.9299000606272164E-3</c:v>
                </c:pt>
                <c:pt idx="75">
                  <c:v>-1.1685378277153612E-2</c:v>
                </c:pt>
                <c:pt idx="76">
                  <c:v>1.8038539972130754E-2</c:v>
                </c:pt>
                <c:pt idx="77">
                  <c:v>2.977918248619451E-3</c:v>
                </c:pt>
                <c:pt idx="78">
                  <c:v>-2.4495397680408823E-3</c:v>
                </c:pt>
                <c:pt idx="79">
                  <c:v>-6.0272118909680287E-3</c:v>
                </c:pt>
                <c:pt idx="80">
                  <c:v>-7.4865996782967246E-4</c:v>
                </c:pt>
                <c:pt idx="81">
                  <c:v>-1.5133271355507155E-2</c:v>
                </c:pt>
                <c:pt idx="82">
                  <c:v>8.2153198120552325E-3</c:v>
                </c:pt>
                <c:pt idx="83">
                  <c:v>-3.538550813111941E-2</c:v>
                </c:pt>
                <c:pt idx="84">
                  <c:v>1.9554791076336836E-3</c:v>
                </c:pt>
                <c:pt idx="85">
                  <c:v>1.2802489642350125E-2</c:v>
                </c:pt>
                <c:pt idx="86">
                  <c:v>3.6226451509693853E-3</c:v>
                </c:pt>
                <c:pt idx="87">
                  <c:v>-2.5804537434668835E-2</c:v>
                </c:pt>
                <c:pt idx="88">
                  <c:v>-7.4102799749354246E-3</c:v>
                </c:pt>
                <c:pt idx="89">
                  <c:v>-2.4938502900849698E-2</c:v>
                </c:pt>
                <c:pt idx="90">
                  <c:v>1.7919720239139476E-2</c:v>
                </c:pt>
                <c:pt idx="91">
                  <c:v>1.9844730576580535E-2</c:v>
                </c:pt>
                <c:pt idx="92">
                  <c:v>-9.2585329758775332E-3</c:v>
                </c:pt>
                <c:pt idx="93">
                  <c:v>-1.1245735596239891E-2</c:v>
                </c:pt>
                <c:pt idx="94">
                  <c:v>-1.2815058274970295E-3</c:v>
                </c:pt>
                <c:pt idx="95">
                  <c:v>2.1012077616295057E-2</c:v>
                </c:pt>
                <c:pt idx="96">
                  <c:v>-1.4767088441867592E-2</c:v>
                </c:pt>
                <c:pt idx="97">
                  <c:v>1.3314183209758371E-2</c:v>
                </c:pt>
                <c:pt idx="98">
                  <c:v>-1.5735326762160826E-3</c:v>
                </c:pt>
                <c:pt idx="99">
                  <c:v>-3.9404254698121493E-4</c:v>
                </c:pt>
                <c:pt idx="100">
                  <c:v>-1.2376815331128312E-2</c:v>
                </c:pt>
                <c:pt idx="101">
                  <c:v>-5.3480045126756961E-3</c:v>
                </c:pt>
                <c:pt idx="102">
                  <c:v>-2.6482786080708983E-3</c:v>
                </c:pt>
                <c:pt idx="103">
                  <c:v>6.27614263176804E-3</c:v>
                </c:pt>
                <c:pt idx="104">
                  <c:v>-1.2154142206207211E-2</c:v>
                </c:pt>
                <c:pt idx="105">
                  <c:v>1.9022162708255113E-2</c:v>
                </c:pt>
                <c:pt idx="106">
                  <c:v>7.9458257839826825E-5</c:v>
                </c:pt>
                <c:pt idx="107">
                  <c:v>6.6719299972687789E-3</c:v>
                </c:pt>
                <c:pt idx="108">
                  <c:v>3.0771580097389861E-3</c:v>
                </c:pt>
                <c:pt idx="109">
                  <c:v>-8.0232519788386858E-3</c:v>
                </c:pt>
                <c:pt idx="110">
                  <c:v>9.8326618838104878E-3</c:v>
                </c:pt>
                <c:pt idx="111">
                  <c:v>2.4577919506524062E-2</c:v>
                </c:pt>
                <c:pt idx="112">
                  <c:v>-6.4377454456697788E-3</c:v>
                </c:pt>
                <c:pt idx="113">
                  <c:v>3.9339324586079609E-3</c:v>
                </c:pt>
                <c:pt idx="114">
                  <c:v>1.2600838076104848E-2</c:v>
                </c:pt>
                <c:pt idx="115">
                  <c:v>-1.0091707038788745E-2</c:v>
                </c:pt>
                <c:pt idx="116">
                  <c:v>1.4103908487449442E-2</c:v>
                </c:pt>
                <c:pt idx="117">
                  <c:v>1.2698359500415098E-2</c:v>
                </c:pt>
                <c:pt idx="118">
                  <c:v>-2.0898567574222323E-3</c:v>
                </c:pt>
                <c:pt idx="119">
                  <c:v>-2.1689828459757537E-3</c:v>
                </c:pt>
                <c:pt idx="120">
                  <c:v>-2.248729413125386E-3</c:v>
                </c:pt>
                <c:pt idx="121">
                  <c:v>1.2545999454992058E-2</c:v>
                </c:pt>
                <c:pt idx="122">
                  <c:v>1.1500244928774659E-2</c:v>
                </c:pt>
                <c:pt idx="123">
                  <c:v>4.6211764890899277E-3</c:v>
                </c:pt>
                <c:pt idx="124">
                  <c:v>2.263412559551124E-3</c:v>
                </c:pt>
                <c:pt idx="125">
                  <c:v>1.9596437106536326E-2</c:v>
                </c:pt>
                <c:pt idx="126">
                  <c:v>1.4718468826598516E-2</c:v>
                </c:pt>
                <c:pt idx="127">
                  <c:v>1.7955238193064715E-2</c:v>
                </c:pt>
                <c:pt idx="128">
                  <c:v>-9.1997090378504818E-3</c:v>
                </c:pt>
                <c:pt idx="129">
                  <c:v>1.3054984185458628E-2</c:v>
                </c:pt>
                <c:pt idx="130">
                  <c:v>-4.2037143945716816E-3</c:v>
                </c:pt>
                <c:pt idx="131">
                  <c:v>7.889266435986083E-3</c:v>
                </c:pt>
                <c:pt idx="132">
                  <c:v>2.4100487668913016E-2</c:v>
                </c:pt>
                <c:pt idx="133">
                  <c:v>-4.4921087961960803E-3</c:v>
                </c:pt>
                <c:pt idx="134">
                  <c:v>-1.4075950002046141E-2</c:v>
                </c:pt>
                <c:pt idx="135">
                  <c:v>-2.6914420567760184E-2</c:v>
                </c:pt>
                <c:pt idx="136">
                  <c:v>2.5974005461017989E-2</c:v>
                </c:pt>
                <c:pt idx="137">
                  <c:v>-5.1317142031494034E-3</c:v>
                </c:pt>
                <c:pt idx="138">
                  <c:v>9.628673024567054E-3</c:v>
                </c:pt>
                <c:pt idx="139">
                  <c:v>1.198906651248504E-2</c:v>
                </c:pt>
                <c:pt idx="140">
                  <c:v>2.8945005774703167E-3</c:v>
                </c:pt>
                <c:pt idx="141">
                  <c:v>-1.4900335092947989E-2</c:v>
                </c:pt>
                <c:pt idx="142">
                  <c:v>-1.2196007026067808E-2</c:v>
                </c:pt>
                <c:pt idx="143">
                  <c:v>4.5523728666676819E-3</c:v>
                </c:pt>
                <c:pt idx="144">
                  <c:v>1.5105877609901813E-3</c:v>
                </c:pt>
                <c:pt idx="145">
                  <c:v>-2.330981747353827E-3</c:v>
                </c:pt>
                <c:pt idx="146">
                  <c:v>1.2644289097188391E-2</c:v>
                </c:pt>
                <c:pt idx="147">
                  <c:v>-2.7823289713469457E-3</c:v>
                </c:pt>
                <c:pt idx="148">
                  <c:v>7.4856075022588207E-4</c:v>
                </c:pt>
                <c:pt idx="149">
                  <c:v>-6.2559432375350532E-3</c:v>
                </c:pt>
                <c:pt idx="150">
                  <c:v>-3.4215820680261107E-4</c:v>
                </c:pt>
                <c:pt idx="151">
                  <c:v>-3.3540284305299444E-3</c:v>
                </c:pt>
                <c:pt idx="152">
                  <c:v>1.7856798714692601E-3</c:v>
                </c:pt>
                <c:pt idx="153">
                  <c:v>2.0773330448557843E-2</c:v>
                </c:pt>
                <c:pt idx="154">
                  <c:v>1.4104842595909933E-3</c:v>
                </c:pt>
                <c:pt idx="155">
                  <c:v>1.35478800718491E-2</c:v>
                </c:pt>
                <c:pt idx="156">
                  <c:v>-6.1540036445871778E-3</c:v>
                </c:pt>
                <c:pt idx="157">
                  <c:v>-2.5501038344749351E-2</c:v>
                </c:pt>
                <c:pt idx="158">
                  <c:v>2.3230117359727613E-3</c:v>
                </c:pt>
                <c:pt idx="159">
                  <c:v>1.0156816840289346E-2</c:v>
                </c:pt>
                <c:pt idx="160">
                  <c:v>1.025713597061695E-2</c:v>
                </c:pt>
                <c:pt idx="161">
                  <c:v>-6.0124237386483816E-4</c:v>
                </c:pt>
                <c:pt idx="162">
                  <c:v>-8.4212942260824004E-3</c:v>
                </c:pt>
                <c:pt idx="163">
                  <c:v>-5.5271501379944134E-3</c:v>
                </c:pt>
                <c:pt idx="164">
                  <c:v>7.1845807936292755E-3</c:v>
                </c:pt>
                <c:pt idx="165">
                  <c:v>3.0417152203883364E-2</c:v>
                </c:pt>
                <c:pt idx="166">
                  <c:v>-8.4247194496053987E-3</c:v>
                </c:pt>
                <c:pt idx="167">
                  <c:v>4.4786471121827159E-3</c:v>
                </c:pt>
                <c:pt idx="168">
                  <c:v>7.4749133655141022E-3</c:v>
                </c:pt>
                <c:pt idx="169">
                  <c:v>4.2304524919149133E-3</c:v>
                </c:pt>
                <c:pt idx="170">
                  <c:v>1.5489299763655798E-2</c:v>
                </c:pt>
                <c:pt idx="171">
                  <c:v>-1.0083610822852512E-2</c:v>
                </c:pt>
                <c:pt idx="172">
                  <c:v>-6.7048803642262055E-3</c:v>
                </c:pt>
                <c:pt idx="173">
                  <c:v>-3.3101874266806566E-2</c:v>
                </c:pt>
                <c:pt idx="174">
                  <c:v>3.8934147553641185E-3</c:v>
                </c:pt>
                <c:pt idx="175">
                  <c:v>-9.5620726935058305E-3</c:v>
                </c:pt>
                <c:pt idx="176">
                  <c:v>6.1436945093065595E-3</c:v>
                </c:pt>
                <c:pt idx="177">
                  <c:v>-1.6104542817583589E-3</c:v>
                </c:pt>
                <c:pt idx="178">
                  <c:v>-1.8347974517345413E-2</c:v>
                </c:pt>
                <c:pt idx="179">
                  <c:v>-2.136105739231911E-2</c:v>
                </c:pt>
                <c:pt idx="180">
                  <c:v>3.4279487417385331E-3</c:v>
                </c:pt>
                <c:pt idx="181">
                  <c:v>1.6872433368939867E-2</c:v>
                </c:pt>
                <c:pt idx="182">
                  <c:v>6.7192043859086292E-3</c:v>
                </c:pt>
                <c:pt idx="183">
                  <c:v>6.1292650530635478E-4</c:v>
                </c:pt>
                <c:pt idx="184">
                  <c:v>-1.0549979724339527E-2</c:v>
                </c:pt>
                <c:pt idx="185">
                  <c:v>-2.3801273433351929E-2</c:v>
                </c:pt>
                <c:pt idx="186">
                  <c:v>6.4829678956250403E-3</c:v>
                </c:pt>
                <c:pt idx="187">
                  <c:v>-9.3117831084256891E-3</c:v>
                </c:pt>
                <c:pt idx="188">
                  <c:v>8.1271660777384614E-3</c:v>
                </c:pt>
                <c:pt idx="189">
                  <c:v>-2.4605644217552534E-2</c:v>
                </c:pt>
                <c:pt idx="190">
                  <c:v>1.4158416085657887E-2</c:v>
                </c:pt>
                <c:pt idx="191">
                  <c:v>6.307129145297E-3</c:v>
                </c:pt>
                <c:pt idx="192">
                  <c:v>9.0844577464789418E-3</c:v>
                </c:pt>
                <c:pt idx="193">
                  <c:v>-2.7217462422516642E-3</c:v>
                </c:pt>
                <c:pt idx="194">
                  <c:v>-6.2978309152332849E-4</c:v>
                </c:pt>
                <c:pt idx="195">
                  <c:v>-9.1030251257338702E-3</c:v>
                </c:pt>
                <c:pt idx="196">
                  <c:v>-4.2399195901322521E-3</c:v>
                </c:pt>
                <c:pt idx="197">
                  <c:v>2.0225611518682643E-2</c:v>
                </c:pt>
                <c:pt idx="198">
                  <c:v>7.5125280854385808E-3</c:v>
                </c:pt>
                <c:pt idx="199">
                  <c:v>1.1806179558303704E-2</c:v>
                </c:pt>
                <c:pt idx="200">
                  <c:v>1.5080122516271799E-2</c:v>
                </c:pt>
                <c:pt idx="201">
                  <c:v>3.3611186932346964E-3</c:v>
                </c:pt>
                <c:pt idx="202">
                  <c:v>1.4739448436936926E-3</c:v>
                </c:pt>
                <c:pt idx="203">
                  <c:v>-5.2849479605284926E-3</c:v>
                </c:pt>
                <c:pt idx="204">
                  <c:v>-3.3629026382018477E-4</c:v>
                </c:pt>
                <c:pt idx="205">
                  <c:v>4.5748654774951597E-3</c:v>
                </c:pt>
                <c:pt idx="206">
                  <c:v>-3.1476090139749076E-3</c:v>
                </c:pt>
                <c:pt idx="207">
                  <c:v>2.4991607994963711E-2</c:v>
                </c:pt>
                <c:pt idx="208">
                  <c:v>-1.81556260923551E-2</c:v>
                </c:pt>
                <c:pt idx="209">
                  <c:v>-5.6074498209456878E-3</c:v>
                </c:pt>
                <c:pt idx="210">
                  <c:v>7.1159838224229537E-3</c:v>
                </c:pt>
                <c:pt idx="211">
                  <c:v>9.7986999120463717E-3</c:v>
                </c:pt>
                <c:pt idx="212">
                  <c:v>-3.4985674467434744E-3</c:v>
                </c:pt>
                <c:pt idx="213">
                  <c:v>2.1197137331877137E-3</c:v>
                </c:pt>
                <c:pt idx="214">
                  <c:v>-5.5525978685391914E-3</c:v>
                </c:pt>
                <c:pt idx="215">
                  <c:v>2.4594256519620003E-3</c:v>
                </c:pt>
                <c:pt idx="216">
                  <c:v>-1.9163185719291733E-2</c:v>
                </c:pt>
                <c:pt idx="217">
                  <c:v>-3.3804083745325497E-4</c:v>
                </c:pt>
                <c:pt idx="218">
                  <c:v>1.4336985674477151E-2</c:v>
                </c:pt>
                <c:pt idx="219">
                  <c:v>6.6637773630339768E-5</c:v>
                </c:pt>
                <c:pt idx="220">
                  <c:v>6.6666666666666671E-3</c:v>
                </c:pt>
                <c:pt idx="221">
                  <c:v>1.649009933774832E-2</c:v>
                </c:pt>
                <c:pt idx="222">
                  <c:v>2.8535994900775411E-2</c:v>
                </c:pt>
                <c:pt idx="223">
                  <c:v>1.6976044117819951E-2</c:v>
                </c:pt>
                <c:pt idx="224">
                  <c:v>2.9274431094217812E-3</c:v>
                </c:pt>
                <c:pt idx="225">
                  <c:v>2.4220593113386483E-3</c:v>
                </c:pt>
                <c:pt idx="226">
                  <c:v>3.2835511236342344E-3</c:v>
                </c:pt>
                <c:pt idx="227">
                  <c:v>-3.1678423716457564E-2</c:v>
                </c:pt>
                <c:pt idx="228">
                  <c:v>2.1873649918674121E-2</c:v>
                </c:pt>
                <c:pt idx="229">
                  <c:v>3.1577620083074805E-2</c:v>
                </c:pt>
                <c:pt idx="230">
                  <c:v>-3.2062854832495295E-3</c:v>
                </c:pt>
                <c:pt idx="231">
                  <c:v>-6.1298111032393769E-3</c:v>
                </c:pt>
                <c:pt idx="232">
                  <c:v>-1.1724469092710891E-2</c:v>
                </c:pt>
                <c:pt idx="233">
                  <c:v>2.1502787234374314E-2</c:v>
                </c:pt>
                <c:pt idx="234">
                  <c:v>3.5446320783182592E-2</c:v>
                </c:pt>
                <c:pt idx="235">
                  <c:v>2.2783088909227912E-2</c:v>
                </c:pt>
                <c:pt idx="236">
                  <c:v>-2.970093637536057E-3</c:v>
                </c:pt>
                <c:pt idx="237">
                  <c:v>2.8013285151389546E-2</c:v>
                </c:pt>
                <c:pt idx="238">
                  <c:v>-2.0674238294916214E-2</c:v>
                </c:pt>
                <c:pt idx="239">
                  <c:v>-8.0232329571174703E-3</c:v>
                </c:pt>
                <c:pt idx="240">
                  <c:v>2.8509154723694641E-2</c:v>
                </c:pt>
                <c:pt idx="241">
                  <c:v>-3.9263847641988051E-2</c:v>
                </c:pt>
                <c:pt idx="242">
                  <c:v>-6.5017765732549486E-3</c:v>
                </c:pt>
                <c:pt idx="243">
                  <c:v>-8.1219995800046081E-3</c:v>
                </c:pt>
                <c:pt idx="244">
                  <c:v>1.9086921944035325E-2</c:v>
                </c:pt>
                <c:pt idx="245">
                  <c:v>1.5318769428326176E-2</c:v>
                </c:pt>
                <c:pt idx="246">
                  <c:v>3.6438169189468897E-3</c:v>
                </c:pt>
                <c:pt idx="247">
                  <c:v>2.2974829946532979E-2</c:v>
                </c:pt>
                <c:pt idx="248">
                  <c:v>-5.7672544139382737E-3</c:v>
                </c:pt>
                <c:pt idx="249">
                  <c:v>5.0204698262217864E-4</c:v>
                </c:pt>
                <c:pt idx="250">
                  <c:v>-6.5782582623967198E-3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A1-4EBF-9887-5CADF6054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314320"/>
        <c:axId val="862314000"/>
      </c:scatterChart>
      <c:valAx>
        <c:axId val="86231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14000"/>
        <c:crosses val="autoZero"/>
        <c:crossBetween val="midCat"/>
      </c:valAx>
      <c:valAx>
        <c:axId val="86231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14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Geometric Brownian motion</a:t>
            </a:r>
          </a:p>
        </c:rich>
      </c:tx>
      <c:layout>
        <c:manualLayout>
          <c:xMode val="edge"/>
          <c:yMode val="edge"/>
          <c:x val="0.37983118613949357"/>
          <c:y val="2.02482037883736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7081297201243895E-2"/>
          <c:y val="0.11495754408883084"/>
          <c:w val="0.92403376277210136"/>
          <c:h val="0.81384715871979096"/>
        </c:manualLayout>
      </c:layout>
      <c:lineChart>
        <c:grouping val="standard"/>
        <c:varyColors val="0"/>
        <c:ser>
          <c:idx val="0"/>
          <c:order val="0"/>
          <c:tx>
            <c:v>Drift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GBM_Apple!$A$11:$A$51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GBM_Apple!$C$11:$C$51</c:f>
              <c:numCache>
                <c:formatCode>#,##0.00_ ;\-#,##0.00\ </c:formatCode>
                <c:ptCount val="41"/>
                <c:pt idx="0" formatCode="0.00">
                  <c:v>129.41000399999999</c:v>
                </c:pt>
                <c:pt idx="1">
                  <c:v>129.09443451604781</c:v>
                </c:pt>
                <c:pt idx="2">
                  <c:v>128.77963455605919</c:v>
                </c:pt>
                <c:pt idx="3">
                  <c:v>128.46560224353098</c:v>
                </c:pt>
                <c:pt idx="4">
                  <c:v>128.15233570653592</c:v>
                </c:pt>
                <c:pt idx="5">
                  <c:v>127.83983307771152</c:v>
                </c:pt>
                <c:pt idx="6">
                  <c:v>127.52809249424887</c:v>
                </c:pt>
                <c:pt idx="7">
                  <c:v>127.21711209788157</c:v>
                </c:pt>
                <c:pt idx="8">
                  <c:v>126.90689003487465</c:v>
                </c:pt>
                <c:pt idx="9">
                  <c:v>126.59742445601353</c:v>
                </c:pt>
                <c:pt idx="10">
                  <c:v>126.28871351659298</c:v>
                </c:pt>
                <c:pt idx="11">
                  <c:v>125.98075537640612</c:v>
                </c:pt>
                <c:pt idx="12">
                  <c:v>125.67354819973347</c:v>
                </c:pt>
                <c:pt idx="13">
                  <c:v>125.36709015533199</c:v>
                </c:pt>
                <c:pt idx="14">
                  <c:v>125.06137941642419</c:v>
                </c:pt>
                <c:pt idx="15">
                  <c:v>124.75641416068719</c:v>
                </c:pt>
                <c:pt idx="16">
                  <c:v>124.45219257024191</c:v>
                </c:pt>
                <c:pt idx="17">
                  <c:v>124.1487128316422</c:v>
                </c:pt>
                <c:pt idx="18">
                  <c:v>123.84597313586407</c:v>
                </c:pt>
                <c:pt idx="19">
                  <c:v>123.54397167829485</c:v>
                </c:pt>
                <c:pt idx="20">
                  <c:v>123.24270665872248</c:v>
                </c:pt>
                <c:pt idx="21">
                  <c:v>122.94217628132476</c:v>
                </c:pt>
                <c:pt idx="22">
                  <c:v>122.64237875465864</c:v>
                </c:pt>
                <c:pt idx="23">
                  <c:v>122.34331229164954</c:v>
                </c:pt>
                <c:pt idx="24">
                  <c:v>122.04497510958072</c:v>
                </c:pt>
                <c:pt idx="25">
                  <c:v>121.74736543008264</c:v>
                </c:pt>
                <c:pt idx="26">
                  <c:v>121.45048147912235</c:v>
                </c:pt>
                <c:pt idx="27">
                  <c:v>121.15432148699293</c:v>
                </c:pt>
                <c:pt idx="28">
                  <c:v>120.85888368830292</c:v>
                </c:pt>
                <c:pt idx="29">
                  <c:v>120.56416632196583</c:v>
                </c:pt>
                <c:pt idx="30">
                  <c:v>120.27016763118961</c:v>
                </c:pt>
                <c:pt idx="31">
                  <c:v>119.97688586346619</c:v>
                </c:pt>
                <c:pt idx="32">
                  <c:v>119.68431927056105</c:v>
                </c:pt>
                <c:pt idx="33">
                  <c:v>119.39246610850275</c:v>
                </c:pt>
                <c:pt idx="34">
                  <c:v>119.1013246375726</c:v>
                </c:pt>
                <c:pt idx="35">
                  <c:v>118.81089312229425</c:v>
                </c:pt>
                <c:pt idx="36">
                  <c:v>118.52116983142334</c:v>
                </c:pt>
                <c:pt idx="37">
                  <c:v>118.23215303793719</c:v>
                </c:pt>
                <c:pt idx="38">
                  <c:v>117.94384101902453</c:v>
                </c:pt>
                <c:pt idx="39">
                  <c:v>117.6562320560752</c:v>
                </c:pt>
                <c:pt idx="40">
                  <c:v>117.36932443466989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F-4DEB-A270-6F67BF9EB137}"/>
            </c:ext>
          </c:extLst>
        </c:ser>
        <c:ser>
          <c:idx val="1"/>
          <c:order val="1"/>
          <c:tx>
            <c:v>Random shocks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GBM_Apple!$A$11:$A$51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GBM_Apple!$I$11:$I$51</c:f>
              <c:numCache>
                <c:formatCode>0.00</c:formatCode>
                <c:ptCount val="41"/>
                <c:pt idx="0" formatCode="General">
                  <c:v>0</c:v>
                </c:pt>
                <c:pt idx="1">
                  <c:v>1.09118466934255</c:v>
                </c:pt>
                <c:pt idx="2">
                  <c:v>-0.79494235191456308</c:v>
                </c:pt>
                <c:pt idx="3">
                  <c:v>0.10965031683442372</c:v>
                </c:pt>
                <c:pt idx="4">
                  <c:v>0.17977274277626004</c:v>
                </c:pt>
                <c:pt idx="5">
                  <c:v>0.44507309533719402</c:v>
                </c:pt>
                <c:pt idx="6">
                  <c:v>1.8935804526709981</c:v>
                </c:pt>
                <c:pt idx="7">
                  <c:v>2.0562172355101951</c:v>
                </c:pt>
                <c:pt idx="8">
                  <c:v>-1.6408513390208834</c:v>
                </c:pt>
                <c:pt idx="9">
                  <c:v>-2.3415965323042687</c:v>
                </c:pt>
                <c:pt idx="10">
                  <c:v>-1.7615136883303228</c:v>
                </c:pt>
                <c:pt idx="11">
                  <c:v>0.48778377000832496</c:v>
                </c:pt>
                <c:pt idx="12">
                  <c:v>1.4939560728475716</c:v>
                </c:pt>
                <c:pt idx="13">
                  <c:v>4.4708986170097758</c:v>
                </c:pt>
                <c:pt idx="14">
                  <c:v>6.0413462711161774</c:v>
                </c:pt>
                <c:pt idx="15">
                  <c:v>6.4055680758114253</c:v>
                </c:pt>
                <c:pt idx="16">
                  <c:v>5.1066660985983656</c:v>
                </c:pt>
                <c:pt idx="17">
                  <c:v>7.3317383061154313</c:v>
                </c:pt>
                <c:pt idx="18">
                  <c:v>8.3788154994615205</c:v>
                </c:pt>
                <c:pt idx="19">
                  <c:v>10.796630248396127</c:v>
                </c:pt>
                <c:pt idx="20">
                  <c:v>11.171719744142147</c:v>
                </c:pt>
                <c:pt idx="21">
                  <c:v>12.371808525447408</c:v>
                </c:pt>
                <c:pt idx="22">
                  <c:v>11.877131796528971</c:v>
                </c:pt>
                <c:pt idx="23">
                  <c:v>11.006064304540539</c:v>
                </c:pt>
                <c:pt idx="24">
                  <c:v>14.911617249537873</c:v>
                </c:pt>
                <c:pt idx="25">
                  <c:v>12.266145863133872</c:v>
                </c:pt>
                <c:pt idx="26">
                  <c:v>11.643535432659514</c:v>
                </c:pt>
                <c:pt idx="27">
                  <c:v>10.20159193382645</c:v>
                </c:pt>
                <c:pt idx="28">
                  <c:v>9.6618367222976662</c:v>
                </c:pt>
                <c:pt idx="29">
                  <c:v>11.109523914067477</c:v>
                </c:pt>
                <c:pt idx="30">
                  <c:v>14.056638468287499</c:v>
                </c:pt>
                <c:pt idx="31">
                  <c:v>14.662748960978746</c:v>
                </c:pt>
                <c:pt idx="32">
                  <c:v>16.704813632835069</c:v>
                </c:pt>
                <c:pt idx="33">
                  <c:v>18.670562898677559</c:v>
                </c:pt>
                <c:pt idx="34">
                  <c:v>17.079028695474069</c:v>
                </c:pt>
                <c:pt idx="35">
                  <c:v>15.629322729984123</c:v>
                </c:pt>
                <c:pt idx="36">
                  <c:v>14.50649683570003</c:v>
                </c:pt>
                <c:pt idx="37">
                  <c:v>16.551714144761814</c:v>
                </c:pt>
                <c:pt idx="38">
                  <c:v>18.556483673531464</c:v>
                </c:pt>
                <c:pt idx="39">
                  <c:v>21.359367116528674</c:v>
                </c:pt>
                <c:pt idx="40">
                  <c:v>21.398565840741874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1F-4DEB-A270-6F67BF9EB137}"/>
            </c:ext>
          </c:extLst>
        </c:ser>
        <c:ser>
          <c:idx val="2"/>
          <c:order val="2"/>
          <c:tx>
            <c:v>Stock price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GBM_Apple!$A$11:$A$51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GBM_Apple!$K$11:$K$51</c:f>
              <c:numCache>
                <c:formatCode>0.00</c:formatCode>
                <c:ptCount val="41"/>
                <c:pt idx="0">
                  <c:v>129.41000399999999</c:v>
                </c:pt>
                <c:pt idx="1">
                  <c:v>130.18561918539038</c:v>
                </c:pt>
                <c:pt idx="2">
                  <c:v>127.98203132343716</c:v>
                </c:pt>
                <c:pt idx="3">
                  <c:v>128.57453665479693</c:v>
                </c:pt>
                <c:pt idx="4">
                  <c:v>128.33112690449727</c:v>
                </c:pt>
                <c:pt idx="5">
                  <c:v>128.28348864149143</c:v>
                </c:pt>
                <c:pt idx="6">
                  <c:v>129.41917355033681</c:v>
                </c:pt>
                <c:pt idx="7">
                  <c:v>129.26621848904938</c:v>
                </c:pt>
                <c:pt idx="8">
                  <c:v>125.25393105507806</c:v>
                </c:pt>
                <c:pt idx="9">
                  <c:v>124.24775106414154</c:v>
                </c:pt>
                <c:pt idx="10">
                  <c:v>124.52485270516669</c:v>
                </c:pt>
                <c:pt idx="11">
                  <c:v>126.47049324137598</c:v>
                </c:pt>
                <c:pt idx="12">
                  <c:v>127.16826412968967</c:v>
                </c:pt>
                <c:pt idx="13">
                  <c:v>129.83510372781922</c:v>
                </c:pt>
                <c:pt idx="14">
                  <c:v>131.08894528181096</c:v>
                </c:pt>
                <c:pt idx="15">
                  <c:v>131.13350346286228</c:v>
                </c:pt>
                <c:pt idx="16">
                  <c:v>129.51482920578272</c:v>
                </c:pt>
                <c:pt idx="17">
                  <c:v>131.4240763105</c:v>
                </c:pt>
                <c:pt idx="18">
                  <c:v>132.15067265492968</c:v>
                </c:pt>
                <c:pt idx="19">
                  <c:v>134.24623473185565</c:v>
                </c:pt>
                <c:pt idx="20">
                  <c:v>134.29396147582514</c:v>
                </c:pt>
                <c:pt idx="21">
                  <c:v>135.16657112251252</c:v>
                </c:pt>
                <c:pt idx="22">
                  <c:v>134.34228737884803</c:v>
                </c:pt>
                <c:pt idx="23">
                  <c:v>133.14362290833623</c:v>
                </c:pt>
                <c:pt idx="24">
                  <c:v>136.7245018476616</c:v>
                </c:pt>
                <c:pt idx="25">
                  <c:v>133.7456243940444</c:v>
                </c:pt>
                <c:pt idx="26">
                  <c:v>132.79687196243935</c:v>
                </c:pt>
                <c:pt idx="27">
                  <c:v>131.03110001866128</c:v>
                </c:pt>
                <c:pt idx="28">
                  <c:v>130.17182224058831</c:v>
                </c:pt>
                <c:pt idx="29">
                  <c:v>131.30208223585194</c:v>
                </c:pt>
                <c:pt idx="30">
                  <c:v>133.92901342671303</c:v>
                </c:pt>
                <c:pt idx="31">
                  <c:v>134.20853471959796</c:v>
                </c:pt>
                <c:pt idx="32">
                  <c:v>135.92332857208672</c:v>
                </c:pt>
                <c:pt idx="33">
                  <c:v>137.55762545149273</c:v>
                </c:pt>
                <c:pt idx="34">
                  <c:v>135.63065358863651</c:v>
                </c:pt>
                <c:pt idx="35">
                  <c:v>133.85020893186996</c:v>
                </c:pt>
                <c:pt idx="36">
                  <c:v>132.40098600448232</c:v>
                </c:pt>
                <c:pt idx="37">
                  <c:v>134.12334024626384</c:v>
                </c:pt>
                <c:pt idx="38">
                  <c:v>135.8010467044887</c:v>
                </c:pt>
                <c:pt idx="39">
                  <c:v>138.27277594839711</c:v>
                </c:pt>
                <c:pt idx="40">
                  <c:v>137.9747931008466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1F-4DEB-A270-6F67BF9EB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61375"/>
        <c:axId val="1"/>
      </c:lineChart>
      <c:catAx>
        <c:axId val="362861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286137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6517103509551313"/>
          <c:y val="0.96407576747224044"/>
          <c:w val="0.32785428698356289"/>
          <c:h val="3.39647289353363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Geometric Brownian motion</a:t>
            </a:r>
          </a:p>
        </c:rich>
      </c:tx>
      <c:layout>
        <c:manualLayout>
          <c:xMode val="edge"/>
          <c:yMode val="edge"/>
          <c:x val="0.37983118613949357"/>
          <c:y val="2.02482037883736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7081297201243895E-2"/>
          <c:y val="0.11495754408883084"/>
          <c:w val="0.92403376277210136"/>
          <c:h val="0.81384715871979096"/>
        </c:manualLayout>
      </c:layout>
      <c:lineChart>
        <c:grouping val="standard"/>
        <c:varyColors val="0"/>
        <c:ser>
          <c:idx val="0"/>
          <c:order val="0"/>
          <c:tx>
            <c:v>Drift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GBM_Tesla!$A$11:$A$51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GBM_Tesla!$C$11:$C$51</c:f>
              <c:numCache>
                <c:formatCode>#,##0.00_ ;\-#,##0.00\ </c:formatCode>
                <c:ptCount val="41"/>
                <c:pt idx="0" formatCode="0.00">
                  <c:v>729.77002000000005</c:v>
                </c:pt>
                <c:pt idx="1">
                  <c:v>737.23782068180685</c:v>
                </c:pt>
                <c:pt idx="2">
                  <c:v>744.7820400235953</c:v>
                </c:pt>
                <c:pt idx="3">
                  <c:v>752.40346002422189</c:v>
                </c:pt>
                <c:pt idx="4">
                  <c:v>760.10287068480602</c:v>
                </c:pt>
                <c:pt idx="5">
                  <c:v>767.88107009061787</c:v>
                </c:pt>
                <c:pt idx="6">
                  <c:v>775.73886449380427</c:v>
                </c:pt>
                <c:pt idx="7">
                  <c:v>783.67706839696109</c:v>
                </c:pt>
                <c:pt idx="8">
                  <c:v>791.69650463756079</c:v>
                </c:pt>
                <c:pt idx="9">
                  <c:v>799.79800447324385</c:v>
                </c:pt>
                <c:pt idx="10">
                  <c:v>807.98240766798324</c:v>
                </c:pt>
                <c:pt idx="11">
                  <c:v>816.25056257913025</c:v>
                </c:pt>
                <c:pt idx="12">
                  <c:v>824.60332624535158</c:v>
                </c:pt>
                <c:pt idx="13">
                  <c:v>833.04156447546575</c:v>
                </c:pt>
                <c:pt idx="14">
                  <c:v>841.56615193818902</c:v>
                </c:pt>
                <c:pt idx="15">
                  <c:v>850.17797225279924</c:v>
                </c:pt>
                <c:pt idx="16">
                  <c:v>858.87791808072814</c:v>
                </c:pt>
                <c:pt idx="17">
                  <c:v>867.66689121809009</c:v>
                </c:pt>
                <c:pt idx="18">
                  <c:v>876.54580268915822</c:v>
                </c:pt>
                <c:pt idx="19">
                  <c:v>885.51557284079718</c:v>
                </c:pt>
                <c:pt idx="20">
                  <c:v>894.57713143786179</c:v>
                </c:pt>
                <c:pt idx="21">
                  <c:v>903.73141775957231</c:v>
                </c:pt>
                <c:pt idx="22">
                  <c:v>912.97938069687564</c:v>
                </c:pt>
                <c:pt idx="23">
                  <c:v>922.32197885080313</c:v>
                </c:pt>
                <c:pt idx="24">
                  <c:v>931.76018063183471</c:v>
                </c:pt>
                <c:pt idx="25">
                  <c:v>941.29496436027955</c:v>
                </c:pt>
                <c:pt idx="26">
                  <c:v>950.92731836768451</c:v>
                </c:pt>
                <c:pt idx="27">
                  <c:v>960.65824109927996</c:v>
                </c:pt>
                <c:pt idx="28">
                  <c:v>970.48874121747406</c:v>
                </c:pt>
                <c:pt idx="29">
                  <c:v>980.41983770640581</c:v>
                </c:pt>
                <c:pt idx="30">
                  <c:v>990.4525599775684</c:v>
                </c:pt>
                <c:pt idx="31">
                  <c:v>1000.5879479765133</c:v>
                </c:pt>
                <c:pt idx="32">
                  <c:v>1010.827052290646</c:v>
                </c:pt>
                <c:pt idx="33">
                  <c:v>1021.170934258125</c:v>
                </c:pt>
                <c:pt idx="34">
                  <c:v>1031.6206660778757</c:v>
                </c:pt>
                <c:pt idx="35">
                  <c:v>1042.177330920729</c:v>
                </c:pt>
                <c:pt idx="36">
                  <c:v>1052.842023041698</c:v>
                </c:pt>
                <c:pt idx="37">
                  <c:v>1063.6158478934035</c:v>
                </c:pt>
                <c:pt idx="38">
                  <c:v>1074.49992224066</c:v>
                </c:pt>
                <c:pt idx="39">
                  <c:v>1085.4953742762343</c:v>
                </c:pt>
                <c:pt idx="40">
                  <c:v>1096.6033437377891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2-4A7B-9C76-4CCFC157C86E}"/>
            </c:ext>
          </c:extLst>
        </c:ser>
        <c:ser>
          <c:idx val="1"/>
          <c:order val="1"/>
          <c:tx>
            <c:v>Random shocks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GBM_Tesla!$A$11:$A$51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GBM_Tesla!$I$11:$I$51</c:f>
              <c:numCache>
                <c:formatCode>0.00</c:formatCode>
                <c:ptCount val="41"/>
                <c:pt idx="0" formatCode="General">
                  <c:v>0</c:v>
                </c:pt>
                <c:pt idx="1">
                  <c:v>90.183265989849772</c:v>
                </c:pt>
                <c:pt idx="2">
                  <c:v>77.637692078527849</c:v>
                </c:pt>
                <c:pt idx="3">
                  <c:v>72.072781385893492</c:v>
                </c:pt>
                <c:pt idx="4">
                  <c:v>67.248447996953956</c:v>
                </c:pt>
                <c:pt idx="5">
                  <c:v>99.660431875237236</c:v>
                </c:pt>
                <c:pt idx="6">
                  <c:v>89.543412354961802</c:v>
                </c:pt>
                <c:pt idx="7">
                  <c:v>78.811098988206652</c:v>
                </c:pt>
                <c:pt idx="8">
                  <c:v>78.920081374194666</c:v>
                </c:pt>
                <c:pt idx="9">
                  <c:v>94.524070327146205</c:v>
                </c:pt>
                <c:pt idx="10">
                  <c:v>80.622033046646749</c:v>
                </c:pt>
                <c:pt idx="11">
                  <c:v>77.100908929845204</c:v>
                </c:pt>
                <c:pt idx="12">
                  <c:v>65.822291428870841</c:v>
                </c:pt>
                <c:pt idx="13">
                  <c:v>28.324738869901601</c:v>
                </c:pt>
                <c:pt idx="14">
                  <c:v>15.876350410605422</c:v>
                </c:pt>
                <c:pt idx="15">
                  <c:v>47.289853076035058</c:v>
                </c:pt>
                <c:pt idx="16">
                  <c:v>26.530792232900957</c:v>
                </c:pt>
                <c:pt idx="17">
                  <c:v>40.596286395160547</c:v>
                </c:pt>
                <c:pt idx="18">
                  <c:v>42.066249392031906</c:v>
                </c:pt>
                <c:pt idx="19">
                  <c:v>19.272462764139831</c:v>
                </c:pt>
                <c:pt idx="20">
                  <c:v>1.7372184527567285</c:v>
                </c:pt>
                <c:pt idx="21">
                  <c:v>32.849165737273559</c:v>
                </c:pt>
                <c:pt idx="22">
                  <c:v>40.966835545512005</c:v>
                </c:pt>
                <c:pt idx="23">
                  <c:v>73.964537937439871</c:v>
                </c:pt>
                <c:pt idx="24">
                  <c:v>19.693235212284591</c:v>
                </c:pt>
                <c:pt idx="25">
                  <c:v>14.361233236496329</c:v>
                </c:pt>
                <c:pt idx="26">
                  <c:v>24.864571697998354</c:v>
                </c:pt>
                <c:pt idx="27">
                  <c:v>-17.73367497761981</c:v>
                </c:pt>
                <c:pt idx="28">
                  <c:v>15.936311667093793</c:v>
                </c:pt>
                <c:pt idx="29">
                  <c:v>43.524838493381367</c:v>
                </c:pt>
                <c:pt idx="30">
                  <c:v>33.156573963955701</c:v>
                </c:pt>
                <c:pt idx="31">
                  <c:v>31.112564471646699</c:v>
                </c:pt>
                <c:pt idx="32">
                  <c:v>63.113773734373503</c:v>
                </c:pt>
                <c:pt idx="33">
                  <c:v>68.786641676923509</c:v>
                </c:pt>
                <c:pt idx="34">
                  <c:v>111.47215607797935</c:v>
                </c:pt>
                <c:pt idx="35">
                  <c:v>97.50736699140252</c:v>
                </c:pt>
                <c:pt idx="36">
                  <c:v>105.19087012835334</c:v>
                </c:pt>
                <c:pt idx="37">
                  <c:v>123.86959594658012</c:v>
                </c:pt>
                <c:pt idx="38">
                  <c:v>133.64939988634157</c:v>
                </c:pt>
                <c:pt idx="39">
                  <c:v>155.04927699286353</c:v>
                </c:pt>
                <c:pt idx="40">
                  <c:v>70.418396874804671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B2-4A7B-9C76-4CCFC157C86E}"/>
            </c:ext>
          </c:extLst>
        </c:ser>
        <c:ser>
          <c:idx val="2"/>
          <c:order val="2"/>
          <c:tx>
            <c:v>Stock price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GBM_Tesla!$A$11:$A$51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GBM_Tesla!$K$11:$K$51</c:f>
              <c:numCache>
                <c:formatCode>0.00</c:formatCode>
                <c:ptCount val="41"/>
                <c:pt idx="0">
                  <c:v>729.77002000000005</c:v>
                </c:pt>
                <c:pt idx="1">
                  <c:v>827.42108667165655</c:v>
                </c:pt>
                <c:pt idx="2">
                  <c:v>823.34258538026472</c:v>
                </c:pt>
                <c:pt idx="3">
                  <c:v>826.20301164579053</c:v>
                </c:pt>
                <c:pt idx="4">
                  <c:v>829.83328620810551</c:v>
                </c:pt>
                <c:pt idx="5">
                  <c:v>870.73702695594443</c:v>
                </c:pt>
                <c:pt idx="6">
                  <c:v>869.53033587527239</c:v>
                </c:pt>
                <c:pt idx="7">
                  <c:v>867.69600277235565</c:v>
                </c:pt>
                <c:pt idx="8">
                  <c:v>876.68419453050228</c:v>
                </c:pt>
                <c:pt idx="9">
                  <c:v>901.25936981095469</c:v>
                </c:pt>
                <c:pt idx="10">
                  <c:v>896.57999878407713</c:v>
                </c:pt>
                <c:pt idx="11">
                  <c:v>902.23365650637334</c:v>
                </c:pt>
                <c:pt idx="12">
                  <c:v>900.18767522030851</c:v>
                </c:pt>
                <c:pt idx="13">
                  <c:v>871.90182217013</c:v>
                </c:pt>
                <c:pt idx="14">
                  <c:v>868.37568160212243</c:v>
                </c:pt>
                <c:pt idx="15">
                  <c:v>908.67534885284522</c:v>
                </c:pt>
                <c:pt idx="16">
                  <c:v>897.21484262792387</c:v>
                </c:pt>
                <c:pt idx="17">
                  <c:v>920.46161504206873</c:v>
                </c:pt>
                <c:pt idx="18">
                  <c:v>931.35074255379379</c:v>
                </c:pt>
                <c:pt idx="19">
                  <c:v>918.08754983854885</c:v>
                </c:pt>
                <c:pt idx="20">
                  <c:v>909.94717602437061</c:v>
                </c:pt>
                <c:pt idx="21">
                  <c:v>950.37069264620129</c:v>
                </c:pt>
                <c:pt idx="22">
                  <c:v>968.21358918616056</c:v>
                </c:pt>
                <c:pt idx="23">
                  <c:v>1011.119106236546</c:v>
                </c:pt>
                <c:pt idx="24">
                  <c:v>967.19467409253775</c:v>
                </c:pt>
                <c:pt idx="25">
                  <c:v>971.76006012760263</c:v>
                </c:pt>
                <c:pt idx="26">
                  <c:v>992.20750459605392</c:v>
                </c:pt>
                <c:pt idx="27">
                  <c:v>959.76260442172963</c:v>
                </c:pt>
                <c:pt idx="28">
                  <c:v>1003.2539260558872</c:v>
                </c:pt>
                <c:pt idx="29">
                  <c:v>1041.108838384042</c:v>
                </c:pt>
                <c:pt idx="30">
                  <c:v>1041.3943319976534</c:v>
                </c:pt>
                <c:pt idx="31">
                  <c:v>1050.0070021295933</c:v>
                </c:pt>
                <c:pt idx="32">
                  <c:v>1092.7530252261429</c:v>
                </c:pt>
                <c:pt idx="33">
                  <c:v>1109.6081308095734</c:v>
                </c:pt>
                <c:pt idx="34">
                  <c:v>1163.6483626266695</c:v>
                </c:pt>
                <c:pt idx="35">
                  <c:v>1161.5912893925563</c:v>
                </c:pt>
                <c:pt idx="36">
                  <c:v>1181.1614581709739</c:v>
                </c:pt>
                <c:pt idx="37">
                  <c:v>1211.9271128858591</c:v>
                </c:pt>
                <c:pt idx="38">
                  <c:v>1234.1086733679201</c:v>
                </c:pt>
                <c:pt idx="39">
                  <c:v>1268.1372928724932</c:v>
                </c:pt>
                <c:pt idx="40">
                  <c:v>1196.4833730032778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B2-4A7B-9C76-4CCFC157C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61375"/>
        <c:axId val="1"/>
      </c:lineChart>
      <c:catAx>
        <c:axId val="362861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286137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6517103509551313"/>
          <c:y val="0.96407576747224044"/>
          <c:w val="0.32785428698356289"/>
          <c:h val="3.39647289353363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Daily returns on Tesla stock 2021-01-04 to 2021-12-30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returns on Tesla stock 2021-01-04 to 2021-12-30</a:t>
          </a:r>
        </a:p>
      </cx:txPr>
    </cx:title>
    <cx:plotArea>
      <cx:plotAreaRegion>
        <cx:series layoutId="clusteredColumn" uniqueId="{51A3FA23-3F0B-4CBF-83C8-E54F57D5D7A6}">
          <cx:tx>
            <cx:txData>
              <cx:f>_xlchart.v1.0</cx:f>
              <cx:v>Daily returns on Tesla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  <a:latin typeface="+mj-lt"/>
              </a:rPr>
              <a:t>Daily returns on Apple stock 2021-01-04 to 2021-12-30</a:t>
            </a:r>
            <a:endParaRPr lang="en-CA" sz="1400">
              <a:effectLst/>
              <a:latin typeface="+mj-lt"/>
            </a:endParaRPr>
          </a:p>
        </cx:rich>
      </cx:tx>
    </cx:title>
    <cx:plotArea>
      <cx:plotAreaRegion>
        <cx:series layoutId="clusteredColumn" uniqueId="{4ECF35A5-DFD4-4C5F-B520-CCDC35D11901}">
          <cx:tx>
            <cx:txData>
              <cx:f>_xlchart.v1.2</cx:f>
              <cx:v>Daily returns on Apple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E4662D-9B4B-4F08-ABAD-28D1973E4E77}">
  <sheetPr/>
  <sheetViews>
    <sheetView zoomScale="50" workbookViewId="0"/>
  </sheetViews>
  <sheetProtection content="1" objects="1"/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5D408E-8155-427A-9C57-94E75C848997}">
  <sheetPr/>
  <sheetViews>
    <sheetView zoomScale="50" workbookViewId="0"/>
  </sheetViews>
  <sheetProtection content="1" objects="1"/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247649</xdr:colOff>
      <xdr:row>0</xdr:row>
      <xdr:rowOff>104775</xdr:rowOff>
    </xdr:from>
    <xdr:to>
      <xdr:col>10</xdr:col>
      <xdr:colOff>180975</xdr:colOff>
      <xdr:row>17</xdr:row>
      <xdr:rowOff>95251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6BADF9B-FA82-4724-AFA6-BFA82A8E82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7899" y="104775"/>
              <a:ext cx="4876801" cy="3228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276224</xdr:colOff>
      <xdr:row>18</xdr:row>
      <xdr:rowOff>57149</xdr:rowOff>
    </xdr:from>
    <xdr:to>
      <xdr:col>10</xdr:col>
      <xdr:colOff>219074</xdr:colOff>
      <xdr:row>33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23017C0-69A5-4E65-8507-C6A6FA2A8A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6474" y="3486149"/>
              <a:ext cx="4886325" cy="2867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590549</xdr:colOff>
      <xdr:row>33</xdr:row>
      <xdr:rowOff>190499</xdr:rowOff>
    </xdr:from>
    <xdr:to>
      <xdr:col>22</xdr:col>
      <xdr:colOff>28575</xdr:colOff>
      <xdr:row>71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43A4B6-7BA6-4F85-B5F8-AAC6927C0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10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E1158-1574-4964-B50C-B12939FE4B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10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46B0E-FC03-45ED-8232-72BFF6C247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BM-2%20(Mult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haan/Downloads/GBM-2%20(Mult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2"/>
  <sheetViews>
    <sheetView workbookViewId="0">
      <selection activeCell="M3" sqref="M3"/>
    </sheetView>
  </sheetViews>
  <sheetFormatPr defaultRowHeight="15"/>
  <cols>
    <col min="1" max="1" width="10.85546875" customWidth="1"/>
    <col min="2" max="2" width="17.7109375" customWidth="1"/>
    <col min="3" max="3" width="19.85546875" customWidth="1"/>
    <col min="4" max="4" width="18.42578125" customWidth="1"/>
    <col min="5" max="5" width="20.28515625" customWidth="1"/>
    <col min="7" max="7" width="20.42578125" customWidth="1"/>
    <col min="8" max="8" width="13.140625" customWidth="1"/>
    <col min="10" max="10" width="22.28515625" customWidth="1"/>
    <col min="11" max="11" width="13.5703125" customWidth="1"/>
    <col min="12" max="12" width="23.285156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M1" s="2" t="s">
        <v>6</v>
      </c>
      <c r="N1" s="2" t="s">
        <v>7</v>
      </c>
    </row>
    <row r="2" spans="1:14">
      <c r="A2" s="1">
        <v>44200</v>
      </c>
      <c r="B2">
        <v>729.77002000000005</v>
      </c>
      <c r="D2">
        <v>129.41000399999999</v>
      </c>
      <c r="L2" s="2" t="s">
        <v>61</v>
      </c>
      <c r="M2">
        <f>AVERAGE(C3:C252)*251</f>
        <v>0.53212056512536543</v>
      </c>
      <c r="N2">
        <f>AVERAGE(E2:E52)*251</f>
        <v>-0.12680328149524217</v>
      </c>
    </row>
    <row r="3" spans="1:14">
      <c r="A3" s="1">
        <v>44201</v>
      </c>
      <c r="B3">
        <v>735.10998500000005</v>
      </c>
      <c r="C3">
        <f>(B3-B2)/B2</f>
        <v>7.3173258062862135E-3</v>
      </c>
      <c r="D3">
        <v>131.009995</v>
      </c>
      <c r="E3">
        <f>(D3-D2)/D2</f>
        <v>1.2363735032416947E-2</v>
      </c>
      <c r="G3" s="2"/>
      <c r="H3" s="4"/>
      <c r="J3" s="2"/>
      <c r="K3" s="5"/>
      <c r="L3" s="2" t="s">
        <v>5</v>
      </c>
      <c r="M3">
        <f>_xlfn.STDEV.S(B2:B252)/AVERAGE(B2:B252)</f>
        <v>0.20617098424876923</v>
      </c>
      <c r="N3">
        <f>_xlfn.STDEV.S(D2:D252)/AVERAGE(D2:D252)</f>
        <v>0.10298508091209546</v>
      </c>
    </row>
    <row r="4" spans="1:14">
      <c r="A4" s="1">
        <v>44202</v>
      </c>
      <c r="B4">
        <v>755.97997999999995</v>
      </c>
      <c r="C4">
        <f t="shared" ref="C4:C67" si="0">(B4-B3)/B3</f>
        <v>2.8390302710960866E-2</v>
      </c>
      <c r="D4">
        <v>126.599998</v>
      </c>
      <c r="E4">
        <f t="shared" ref="E4:E67" si="1">(D4-D3)/D3</f>
        <v>-3.3661530938918091E-2</v>
      </c>
      <c r="G4" s="2"/>
      <c r="H4" s="3"/>
      <c r="J4" s="2"/>
      <c r="K4" s="4"/>
    </row>
    <row r="5" spans="1:14">
      <c r="A5" s="1">
        <v>44203</v>
      </c>
      <c r="B5">
        <v>816.03997800000002</v>
      </c>
      <c r="C5">
        <f t="shared" si="0"/>
        <v>7.9446545661169585E-2</v>
      </c>
      <c r="D5">
        <v>130.91999799999999</v>
      </c>
      <c r="E5">
        <f t="shared" si="1"/>
        <v>3.412322328788657E-2</v>
      </c>
    </row>
    <row r="6" spans="1:14">
      <c r="A6" s="1">
        <v>44204</v>
      </c>
      <c r="B6">
        <v>880.02002000000005</v>
      </c>
      <c r="C6">
        <f t="shared" si="0"/>
        <v>7.8403073041600449E-2</v>
      </c>
      <c r="D6">
        <v>132.050003</v>
      </c>
      <c r="E6">
        <f t="shared" si="1"/>
        <v>8.6312634987972675E-3</v>
      </c>
    </row>
    <row r="7" spans="1:14">
      <c r="A7" s="1">
        <v>44207</v>
      </c>
      <c r="B7">
        <v>811.19000200000005</v>
      </c>
      <c r="C7">
        <f t="shared" si="0"/>
        <v>-7.8214150173538083E-2</v>
      </c>
      <c r="D7">
        <v>128.979996</v>
      </c>
      <c r="E7">
        <f t="shared" si="1"/>
        <v>-2.3248821887569392E-2</v>
      </c>
    </row>
    <row r="8" spans="1:14">
      <c r="A8" s="1">
        <v>44208</v>
      </c>
      <c r="B8">
        <v>849.44000200000005</v>
      </c>
      <c r="C8">
        <f t="shared" si="0"/>
        <v>4.7152948021664594E-2</v>
      </c>
      <c r="D8">
        <v>128.800003</v>
      </c>
      <c r="E8">
        <f t="shared" si="1"/>
        <v>-1.3955109752057681E-3</v>
      </c>
    </row>
    <row r="9" spans="1:14">
      <c r="A9" s="1">
        <v>44209</v>
      </c>
      <c r="B9">
        <v>854.40997300000004</v>
      </c>
      <c r="C9">
        <f t="shared" si="0"/>
        <v>5.8508793891248675E-3</v>
      </c>
      <c r="D9">
        <v>130.88999899999999</v>
      </c>
      <c r="E9">
        <f t="shared" si="1"/>
        <v>1.6226676640682881E-2</v>
      </c>
    </row>
    <row r="10" spans="1:14">
      <c r="A10" s="1">
        <v>44210</v>
      </c>
      <c r="B10">
        <v>845</v>
      </c>
      <c r="C10">
        <f t="shared" si="0"/>
        <v>-1.1013416623590882E-2</v>
      </c>
      <c r="D10">
        <v>128.91000399999999</v>
      </c>
      <c r="E10">
        <f t="shared" si="1"/>
        <v>-1.512716796643877E-2</v>
      </c>
    </row>
    <row r="11" spans="1:14">
      <c r="A11" s="1">
        <v>44211</v>
      </c>
      <c r="B11">
        <v>826.15997300000004</v>
      </c>
      <c r="C11">
        <f t="shared" si="0"/>
        <v>-2.2295889940828359E-2</v>
      </c>
      <c r="D11">
        <v>127.139999</v>
      </c>
      <c r="E11">
        <f t="shared" si="1"/>
        <v>-1.3730548018600509E-2</v>
      </c>
    </row>
    <row r="12" spans="1:14">
      <c r="A12" s="1">
        <v>44215</v>
      </c>
      <c r="B12">
        <v>844.54998799999998</v>
      </c>
      <c r="C12">
        <f t="shared" si="0"/>
        <v>2.225962961291995E-2</v>
      </c>
      <c r="D12">
        <v>127.83000199999999</v>
      </c>
      <c r="E12">
        <f t="shared" si="1"/>
        <v>5.4271118878960363E-3</v>
      </c>
    </row>
    <row r="13" spans="1:14">
      <c r="A13" s="1">
        <v>44216</v>
      </c>
      <c r="B13">
        <v>850.45001200000002</v>
      </c>
      <c r="C13">
        <f t="shared" si="0"/>
        <v>6.9859973759185349E-3</v>
      </c>
      <c r="D13">
        <v>132.029999</v>
      </c>
      <c r="E13">
        <f t="shared" si="1"/>
        <v>3.2856113074300121E-2</v>
      </c>
    </row>
    <row r="14" spans="1:14">
      <c r="A14" s="1">
        <v>44217</v>
      </c>
      <c r="B14">
        <v>844.98999000000003</v>
      </c>
      <c r="C14">
        <f t="shared" si="0"/>
        <v>-6.4201562972051327E-3</v>
      </c>
      <c r="D14">
        <v>136.86999499999999</v>
      </c>
      <c r="E14">
        <f t="shared" si="1"/>
        <v>3.6658305208348785E-2</v>
      </c>
    </row>
    <row r="15" spans="1:14">
      <c r="A15" s="1">
        <v>44218</v>
      </c>
      <c r="B15">
        <v>846.64001499999995</v>
      </c>
      <c r="C15">
        <f t="shared" si="0"/>
        <v>1.9527154398597244E-3</v>
      </c>
      <c r="D15">
        <v>139.070007</v>
      </c>
      <c r="E15">
        <f t="shared" si="1"/>
        <v>1.607373478752604E-2</v>
      </c>
    </row>
    <row r="16" spans="1:14">
      <c r="A16" s="1">
        <v>44221</v>
      </c>
      <c r="B16">
        <v>880.79998799999998</v>
      </c>
      <c r="C16">
        <f t="shared" si="0"/>
        <v>4.0347694881867874E-2</v>
      </c>
      <c r="D16">
        <v>142.91999799999999</v>
      </c>
      <c r="E16">
        <f t="shared" si="1"/>
        <v>2.7683834085087726E-2</v>
      </c>
    </row>
    <row r="17" spans="1:5">
      <c r="A17" s="1">
        <v>44222</v>
      </c>
      <c r="B17">
        <v>883.09002699999996</v>
      </c>
      <c r="C17">
        <f t="shared" si="0"/>
        <v>2.5999534868294968E-3</v>
      </c>
      <c r="D17">
        <v>143.16000399999999</v>
      </c>
      <c r="E17">
        <f t="shared" si="1"/>
        <v>1.6793031301329431E-3</v>
      </c>
    </row>
    <row r="18" spans="1:5">
      <c r="A18" s="1">
        <v>44223</v>
      </c>
      <c r="B18">
        <v>864.15997300000004</v>
      </c>
      <c r="C18">
        <f t="shared" si="0"/>
        <v>-2.1436154209903593E-2</v>
      </c>
      <c r="D18">
        <v>142.05999800000001</v>
      </c>
      <c r="E18">
        <f t="shared" si="1"/>
        <v>-7.683752230126923E-3</v>
      </c>
    </row>
    <row r="19" spans="1:5">
      <c r="A19" s="1">
        <v>44224</v>
      </c>
      <c r="B19">
        <v>835.42999299999997</v>
      </c>
      <c r="C19">
        <f t="shared" si="0"/>
        <v>-3.3246136013754098E-2</v>
      </c>
      <c r="D19">
        <v>137.08999600000001</v>
      </c>
      <c r="E19">
        <f t="shared" si="1"/>
        <v>-3.4985232084826533E-2</v>
      </c>
    </row>
    <row r="20" spans="1:5">
      <c r="A20" s="1">
        <v>44225</v>
      </c>
      <c r="B20">
        <v>793.53002900000001</v>
      </c>
      <c r="C20">
        <f t="shared" si="0"/>
        <v>-5.0153770335128432E-2</v>
      </c>
      <c r="D20">
        <v>131.96000699999999</v>
      </c>
      <c r="E20">
        <f t="shared" si="1"/>
        <v>-3.7420593403475061E-2</v>
      </c>
    </row>
    <row r="21" spans="1:5">
      <c r="A21" s="1">
        <v>44228</v>
      </c>
      <c r="B21">
        <v>839.80999799999995</v>
      </c>
      <c r="C21">
        <f t="shared" si="0"/>
        <v>5.8321635361829431E-2</v>
      </c>
      <c r="D21">
        <v>134.13999899999999</v>
      </c>
      <c r="E21">
        <f t="shared" si="1"/>
        <v>1.6520096122759367E-2</v>
      </c>
    </row>
    <row r="22" spans="1:5">
      <c r="A22" s="1">
        <v>44229</v>
      </c>
      <c r="B22">
        <v>872.78997800000002</v>
      </c>
      <c r="C22">
        <f t="shared" si="0"/>
        <v>3.9270763718628733E-2</v>
      </c>
      <c r="D22">
        <v>134.990005</v>
      </c>
      <c r="E22">
        <f t="shared" si="1"/>
        <v>6.3367079643411031E-3</v>
      </c>
    </row>
    <row r="23" spans="1:5">
      <c r="A23" s="1">
        <v>44230</v>
      </c>
      <c r="B23">
        <v>854.69000200000005</v>
      </c>
      <c r="C23">
        <f t="shared" si="0"/>
        <v>-2.0738065807625449E-2</v>
      </c>
      <c r="D23">
        <v>133.94000199999999</v>
      </c>
      <c r="E23">
        <f t="shared" si="1"/>
        <v>-7.7783758879037294E-3</v>
      </c>
    </row>
    <row r="24" spans="1:5">
      <c r="A24" s="1">
        <v>44231</v>
      </c>
      <c r="B24">
        <v>849.98999000000003</v>
      </c>
      <c r="C24">
        <f t="shared" si="0"/>
        <v>-5.499083865497253E-3</v>
      </c>
      <c r="D24">
        <v>137.38999899999999</v>
      </c>
      <c r="E24">
        <f t="shared" si="1"/>
        <v>2.5757779218190519E-2</v>
      </c>
    </row>
    <row r="25" spans="1:5">
      <c r="A25" s="1">
        <v>44232</v>
      </c>
      <c r="B25">
        <v>852.22997999999995</v>
      </c>
      <c r="C25">
        <f t="shared" si="0"/>
        <v>2.6353133876316831E-3</v>
      </c>
      <c r="D25">
        <v>136.759995</v>
      </c>
      <c r="E25">
        <f t="shared" si="1"/>
        <v>-4.5855157186512931E-3</v>
      </c>
    </row>
    <row r="26" spans="1:5">
      <c r="A26" s="1">
        <v>44235</v>
      </c>
      <c r="B26">
        <v>863.419983</v>
      </c>
      <c r="C26">
        <f t="shared" si="0"/>
        <v>1.3130262091929749E-2</v>
      </c>
      <c r="D26">
        <v>136.91000399999999</v>
      </c>
      <c r="E26">
        <f t="shared" si="1"/>
        <v>1.0968777821319968E-3</v>
      </c>
    </row>
    <row r="27" spans="1:5">
      <c r="A27" s="1">
        <v>44236</v>
      </c>
      <c r="B27">
        <v>849.46002199999998</v>
      </c>
      <c r="C27">
        <f t="shared" si="0"/>
        <v>-1.6168216250329732E-2</v>
      </c>
      <c r="D27">
        <v>136.009995</v>
      </c>
      <c r="E27">
        <f t="shared" si="1"/>
        <v>-6.5737270740272788E-3</v>
      </c>
    </row>
    <row r="28" spans="1:5">
      <c r="A28" s="1">
        <v>44237</v>
      </c>
      <c r="B28">
        <v>804.82000700000003</v>
      </c>
      <c r="C28">
        <f t="shared" si="0"/>
        <v>-5.2551048717864146E-2</v>
      </c>
      <c r="D28">
        <v>135.38999899999999</v>
      </c>
      <c r="E28">
        <f t="shared" si="1"/>
        <v>-4.5584591044210733E-3</v>
      </c>
    </row>
    <row r="29" spans="1:5">
      <c r="A29" s="1">
        <v>44238</v>
      </c>
      <c r="B29">
        <v>811.65997300000004</v>
      </c>
      <c r="C29">
        <f t="shared" si="0"/>
        <v>8.4987524421718356E-3</v>
      </c>
      <c r="D29">
        <v>135.13000500000001</v>
      </c>
      <c r="E29">
        <f t="shared" si="1"/>
        <v>-1.9203338645417795E-3</v>
      </c>
    </row>
    <row r="30" spans="1:5">
      <c r="A30" s="1">
        <v>44239</v>
      </c>
      <c r="B30">
        <v>816.11999500000002</v>
      </c>
      <c r="C30">
        <f t="shared" si="0"/>
        <v>5.4949389502542099E-3</v>
      </c>
      <c r="D30">
        <v>135.36999499999999</v>
      </c>
      <c r="E30">
        <f t="shared" si="1"/>
        <v>1.7759934220381141E-3</v>
      </c>
    </row>
    <row r="31" spans="1:5">
      <c r="A31" s="1">
        <v>44243</v>
      </c>
      <c r="B31">
        <v>796.21997099999999</v>
      </c>
      <c r="C31">
        <f t="shared" si="0"/>
        <v>-2.438369862510234E-2</v>
      </c>
      <c r="D31">
        <v>133.19000199999999</v>
      </c>
      <c r="E31">
        <f t="shared" si="1"/>
        <v>-1.6103960113169807E-2</v>
      </c>
    </row>
    <row r="32" spans="1:5">
      <c r="A32" s="1">
        <v>44244</v>
      </c>
      <c r="B32">
        <v>798.15002400000003</v>
      </c>
      <c r="C32">
        <f t="shared" si="0"/>
        <v>2.4240198315749651E-3</v>
      </c>
      <c r="D32">
        <v>130.83999600000001</v>
      </c>
      <c r="E32">
        <f t="shared" si="1"/>
        <v>-1.7644012048291576E-2</v>
      </c>
    </row>
    <row r="33" spans="1:5">
      <c r="A33" s="1">
        <v>44245</v>
      </c>
      <c r="B33">
        <v>787.38000499999998</v>
      </c>
      <c r="C33">
        <f t="shared" si="0"/>
        <v>-1.3493727590240662E-2</v>
      </c>
      <c r="D33">
        <v>129.71000699999999</v>
      </c>
      <c r="E33">
        <f t="shared" si="1"/>
        <v>-8.6364187904746127E-3</v>
      </c>
    </row>
    <row r="34" spans="1:5">
      <c r="A34" s="1">
        <v>44246</v>
      </c>
      <c r="B34">
        <v>781.29998799999998</v>
      </c>
      <c r="C34">
        <f t="shared" si="0"/>
        <v>-7.7218331191938232E-3</v>
      </c>
      <c r="D34">
        <v>129.86999499999999</v>
      </c>
      <c r="E34">
        <f t="shared" si="1"/>
        <v>1.233428350674582E-3</v>
      </c>
    </row>
    <row r="35" spans="1:5">
      <c r="A35" s="1">
        <v>44249</v>
      </c>
      <c r="B35">
        <v>714.5</v>
      </c>
      <c r="C35">
        <f t="shared" si="0"/>
        <v>-8.5498514048358065E-2</v>
      </c>
      <c r="D35">
        <v>126</v>
      </c>
      <c r="E35">
        <f t="shared" si="1"/>
        <v>-2.9798992446253572E-2</v>
      </c>
    </row>
    <row r="36" spans="1:5">
      <c r="A36" s="1">
        <v>44250</v>
      </c>
      <c r="B36">
        <v>698.84002699999996</v>
      </c>
      <c r="C36">
        <f t="shared" si="0"/>
        <v>-2.1917386983904878E-2</v>
      </c>
      <c r="D36">
        <v>125.860001</v>
      </c>
      <c r="E36">
        <f t="shared" si="1"/>
        <v>-1.1111031746031991E-3</v>
      </c>
    </row>
    <row r="37" spans="1:5">
      <c r="A37" s="1">
        <v>44251</v>
      </c>
      <c r="B37">
        <v>742.02002000000005</v>
      </c>
      <c r="C37">
        <f t="shared" si="0"/>
        <v>6.1788093600425788E-2</v>
      </c>
      <c r="D37">
        <v>125.349998</v>
      </c>
      <c r="E37">
        <f t="shared" si="1"/>
        <v>-4.0521452085480088E-3</v>
      </c>
    </row>
    <row r="38" spans="1:5">
      <c r="A38" s="1">
        <v>44252</v>
      </c>
      <c r="B38">
        <v>682.21997099999999</v>
      </c>
      <c r="C38">
        <f t="shared" si="0"/>
        <v>-8.0590883518210268E-2</v>
      </c>
      <c r="D38">
        <v>120.989998</v>
      </c>
      <c r="E38">
        <f t="shared" si="1"/>
        <v>-3.478260925062001E-2</v>
      </c>
    </row>
    <row r="39" spans="1:5">
      <c r="A39" s="1">
        <v>44253</v>
      </c>
      <c r="B39">
        <v>675.5</v>
      </c>
      <c r="C39">
        <f t="shared" si="0"/>
        <v>-9.8501528622063558E-3</v>
      </c>
      <c r="D39">
        <v>121.260002</v>
      </c>
      <c r="E39">
        <f t="shared" si="1"/>
        <v>2.2316224850255813E-3</v>
      </c>
    </row>
    <row r="40" spans="1:5">
      <c r="A40" s="1">
        <v>44256</v>
      </c>
      <c r="B40">
        <v>718.42999299999997</v>
      </c>
      <c r="C40">
        <f t="shared" si="0"/>
        <v>6.3552913397483299E-2</v>
      </c>
      <c r="D40">
        <v>127.790001</v>
      </c>
      <c r="E40">
        <f t="shared" si="1"/>
        <v>5.3851219629701172E-2</v>
      </c>
    </row>
    <row r="41" spans="1:5">
      <c r="A41" s="1">
        <v>44257</v>
      </c>
      <c r="B41">
        <v>686.44000200000005</v>
      </c>
      <c r="C41">
        <f t="shared" si="0"/>
        <v>-4.4527638477921842E-2</v>
      </c>
      <c r="D41">
        <v>125.120003</v>
      </c>
      <c r="E41">
        <f t="shared" si="1"/>
        <v>-2.0893637836343758E-2</v>
      </c>
    </row>
    <row r="42" spans="1:5">
      <c r="A42" s="1">
        <v>44258</v>
      </c>
      <c r="B42">
        <v>653.20001200000002</v>
      </c>
      <c r="C42">
        <f t="shared" si="0"/>
        <v>-4.8423736820628983E-2</v>
      </c>
      <c r="D42">
        <v>122.05999799999999</v>
      </c>
      <c r="E42">
        <f t="shared" si="1"/>
        <v>-2.4456561114372766E-2</v>
      </c>
    </row>
    <row r="43" spans="1:5">
      <c r="A43" s="1">
        <v>44259</v>
      </c>
      <c r="B43">
        <v>621.44000200000005</v>
      </c>
      <c r="C43">
        <f t="shared" si="0"/>
        <v>-4.862218220534871E-2</v>
      </c>
      <c r="D43">
        <v>120.129997</v>
      </c>
      <c r="E43">
        <f t="shared" si="1"/>
        <v>-1.5811904240732415E-2</v>
      </c>
    </row>
    <row r="44" spans="1:5">
      <c r="A44" s="1">
        <v>44260</v>
      </c>
      <c r="B44">
        <v>597.95001200000002</v>
      </c>
      <c r="C44">
        <f t="shared" si="0"/>
        <v>-3.7799288627062076E-2</v>
      </c>
      <c r="D44">
        <v>121.41999800000001</v>
      </c>
      <c r="E44">
        <f t="shared" si="1"/>
        <v>1.0738375361817445E-2</v>
      </c>
    </row>
    <row r="45" spans="1:5">
      <c r="A45" s="1">
        <v>44263</v>
      </c>
      <c r="B45">
        <v>563</v>
      </c>
      <c r="C45">
        <f t="shared" si="0"/>
        <v>-5.8449722048002924E-2</v>
      </c>
      <c r="D45">
        <v>116.360001</v>
      </c>
      <c r="E45">
        <f t="shared" si="1"/>
        <v>-4.1673505875037237E-2</v>
      </c>
    </row>
    <row r="46" spans="1:5">
      <c r="A46" s="1">
        <v>44264</v>
      </c>
      <c r="B46">
        <v>673.580017</v>
      </c>
      <c r="C46">
        <f t="shared" si="0"/>
        <v>0.19641210834813499</v>
      </c>
      <c r="D46">
        <v>121.089996</v>
      </c>
      <c r="E46">
        <f t="shared" si="1"/>
        <v>4.0649664483932091E-2</v>
      </c>
    </row>
    <row r="47" spans="1:5">
      <c r="A47" s="1">
        <v>44265</v>
      </c>
      <c r="B47">
        <v>668.05999799999995</v>
      </c>
      <c r="C47">
        <f t="shared" si="0"/>
        <v>-8.1950456674549001E-3</v>
      </c>
      <c r="D47">
        <v>119.980003</v>
      </c>
      <c r="E47">
        <f t="shared" si="1"/>
        <v>-9.1666779805658176E-3</v>
      </c>
    </row>
    <row r="48" spans="1:5">
      <c r="A48" s="1">
        <v>44266</v>
      </c>
      <c r="B48">
        <v>699.59997599999997</v>
      </c>
      <c r="C48">
        <f t="shared" si="0"/>
        <v>4.7211295533967926E-2</v>
      </c>
      <c r="D48">
        <v>121.959999</v>
      </c>
      <c r="E48">
        <f t="shared" si="1"/>
        <v>1.650271670688323E-2</v>
      </c>
    </row>
    <row r="49" spans="1:5">
      <c r="A49" s="1">
        <v>44267</v>
      </c>
      <c r="B49">
        <v>693.72997999999995</v>
      </c>
      <c r="C49">
        <f t="shared" si="0"/>
        <v>-8.3905034324929916E-3</v>
      </c>
      <c r="D49">
        <v>121.029999</v>
      </c>
      <c r="E49">
        <f t="shared" si="1"/>
        <v>-7.6254510300544738E-3</v>
      </c>
    </row>
    <row r="50" spans="1:5">
      <c r="A50" s="1">
        <v>44270</v>
      </c>
      <c r="B50">
        <v>707.94000200000005</v>
      </c>
      <c r="C50">
        <f t="shared" si="0"/>
        <v>2.048350570058987E-2</v>
      </c>
      <c r="D50">
        <v>123.989998</v>
      </c>
      <c r="E50">
        <f t="shared" si="1"/>
        <v>2.4456738200914933E-2</v>
      </c>
    </row>
    <row r="51" spans="1:5">
      <c r="A51" s="1">
        <v>44271</v>
      </c>
      <c r="B51">
        <v>676.88000499999998</v>
      </c>
      <c r="C51">
        <f t="shared" si="0"/>
        <v>-4.3873770252072952E-2</v>
      </c>
      <c r="D51">
        <v>125.57</v>
      </c>
      <c r="E51">
        <f t="shared" si="1"/>
        <v>1.2742979478070427E-2</v>
      </c>
    </row>
    <row r="52" spans="1:5">
      <c r="A52" s="1">
        <v>44272</v>
      </c>
      <c r="B52">
        <v>701.80999799999995</v>
      </c>
      <c r="C52">
        <f t="shared" si="0"/>
        <v>3.6830742252461669E-2</v>
      </c>
      <c r="D52">
        <v>124.760002</v>
      </c>
      <c r="E52">
        <f t="shared" si="1"/>
        <v>-6.4505694035198943E-3</v>
      </c>
    </row>
    <row r="53" spans="1:5">
      <c r="A53" s="1">
        <v>44273</v>
      </c>
      <c r="B53">
        <v>653.15997300000004</v>
      </c>
      <c r="C53">
        <f t="shared" si="0"/>
        <v>-6.9320792149786273E-2</v>
      </c>
      <c r="D53">
        <v>120.529999</v>
      </c>
      <c r="E53">
        <f t="shared" si="1"/>
        <v>-3.3905121290395593E-2</v>
      </c>
    </row>
    <row r="54" spans="1:5">
      <c r="A54" s="1">
        <v>44274</v>
      </c>
      <c r="B54">
        <v>654.86999500000002</v>
      </c>
      <c r="C54">
        <f t="shared" si="0"/>
        <v>2.6180753118501044E-3</v>
      </c>
      <c r="D54">
        <v>119.989998</v>
      </c>
      <c r="E54">
        <f t="shared" si="1"/>
        <v>-4.4802207291149464E-3</v>
      </c>
    </row>
    <row r="55" spans="1:5">
      <c r="A55" s="1">
        <v>44277</v>
      </c>
      <c r="B55">
        <v>670</v>
      </c>
      <c r="C55">
        <f t="shared" si="0"/>
        <v>2.3103829944140262E-2</v>
      </c>
      <c r="D55">
        <v>123.389999</v>
      </c>
      <c r="E55">
        <f t="shared" si="1"/>
        <v>2.8335703447549047E-2</v>
      </c>
    </row>
    <row r="56" spans="1:5">
      <c r="A56" s="1">
        <v>44278</v>
      </c>
      <c r="B56">
        <v>662.15997300000004</v>
      </c>
      <c r="C56">
        <f t="shared" si="0"/>
        <v>-1.1701532835820842E-2</v>
      </c>
      <c r="D56">
        <v>122.540001</v>
      </c>
      <c r="E56">
        <f t="shared" si="1"/>
        <v>-6.8887106482592589E-3</v>
      </c>
    </row>
    <row r="57" spans="1:5">
      <c r="A57" s="1">
        <v>44279</v>
      </c>
      <c r="B57">
        <v>630.27002000000005</v>
      </c>
      <c r="C57">
        <f t="shared" si="0"/>
        <v>-4.8160496406206045E-2</v>
      </c>
      <c r="D57">
        <v>120.089996</v>
      </c>
      <c r="E57">
        <f t="shared" si="1"/>
        <v>-1.9993512159347904E-2</v>
      </c>
    </row>
    <row r="58" spans="1:5">
      <c r="A58" s="1">
        <v>44280</v>
      </c>
      <c r="B58">
        <v>640.39001499999995</v>
      </c>
      <c r="C58">
        <f t="shared" si="0"/>
        <v>1.6056602216300727E-2</v>
      </c>
      <c r="D58">
        <v>120.589996</v>
      </c>
      <c r="E58">
        <f t="shared" si="1"/>
        <v>4.1635441473409657E-3</v>
      </c>
    </row>
    <row r="59" spans="1:5">
      <c r="A59" s="1">
        <v>44281</v>
      </c>
      <c r="B59">
        <v>618.71002199999998</v>
      </c>
      <c r="C59">
        <f t="shared" si="0"/>
        <v>-3.385435826946797E-2</v>
      </c>
      <c r="D59">
        <v>121.209999</v>
      </c>
      <c r="E59">
        <f t="shared" si="1"/>
        <v>5.1414132230338328E-3</v>
      </c>
    </row>
    <row r="60" spans="1:5">
      <c r="A60" s="1">
        <v>44284</v>
      </c>
      <c r="B60">
        <v>611.28997800000002</v>
      </c>
      <c r="C60">
        <f t="shared" si="0"/>
        <v>-1.1992765166490163E-2</v>
      </c>
      <c r="D60">
        <v>121.389999</v>
      </c>
      <c r="E60">
        <f t="shared" si="1"/>
        <v>1.4850260002065244E-3</v>
      </c>
    </row>
    <row r="61" spans="1:5">
      <c r="A61" s="1">
        <v>44285</v>
      </c>
      <c r="B61">
        <v>635.61999500000002</v>
      </c>
      <c r="C61">
        <f t="shared" si="0"/>
        <v>3.9801105654639075E-2</v>
      </c>
      <c r="D61">
        <v>119.900002</v>
      </c>
      <c r="E61">
        <f t="shared" si="1"/>
        <v>-1.2274462577431955E-2</v>
      </c>
    </row>
    <row r="62" spans="1:5">
      <c r="A62" s="1">
        <v>44286</v>
      </c>
      <c r="B62">
        <v>667.92999299999997</v>
      </c>
      <c r="C62">
        <f t="shared" si="0"/>
        <v>5.0832255520847719E-2</v>
      </c>
      <c r="D62">
        <v>122.150002</v>
      </c>
      <c r="E62">
        <f t="shared" si="1"/>
        <v>1.8765637718671596E-2</v>
      </c>
    </row>
    <row r="63" spans="1:5">
      <c r="A63" s="1">
        <v>44287</v>
      </c>
      <c r="B63">
        <v>661.75</v>
      </c>
      <c r="C63">
        <f t="shared" si="0"/>
        <v>-9.2524561926656413E-3</v>
      </c>
      <c r="D63">
        <v>123</v>
      </c>
      <c r="E63">
        <f t="shared" si="1"/>
        <v>6.9586409012093132E-3</v>
      </c>
    </row>
    <row r="64" spans="1:5">
      <c r="A64" s="1">
        <v>44291</v>
      </c>
      <c r="B64">
        <v>691.04998799999998</v>
      </c>
      <c r="C64">
        <f t="shared" si="0"/>
        <v>4.4276521344918753E-2</v>
      </c>
      <c r="D64">
        <v>125.900002</v>
      </c>
      <c r="E64">
        <f t="shared" si="1"/>
        <v>2.357725203252033E-2</v>
      </c>
    </row>
    <row r="65" spans="1:5">
      <c r="A65" s="1">
        <v>44292</v>
      </c>
      <c r="B65">
        <v>691.61999500000002</v>
      </c>
      <c r="C65">
        <f t="shared" si="0"/>
        <v>8.2484192156592924E-4</v>
      </c>
      <c r="D65">
        <v>126.209999</v>
      </c>
      <c r="E65">
        <f t="shared" si="1"/>
        <v>2.4622477766123915E-3</v>
      </c>
    </row>
    <row r="66" spans="1:5">
      <c r="A66" s="1">
        <v>44293</v>
      </c>
      <c r="B66">
        <v>670.96997099999999</v>
      </c>
      <c r="C66">
        <f t="shared" si="0"/>
        <v>-2.9857471081355925E-2</v>
      </c>
      <c r="D66">
        <v>127.900002</v>
      </c>
      <c r="E66">
        <f t="shared" si="1"/>
        <v>1.3390404986850561E-2</v>
      </c>
    </row>
    <row r="67" spans="1:5">
      <c r="A67" s="1">
        <v>44294</v>
      </c>
      <c r="B67">
        <v>683.79998799999998</v>
      </c>
      <c r="C67">
        <f t="shared" si="0"/>
        <v>1.9121596426854098E-2</v>
      </c>
      <c r="D67">
        <v>130.36000100000001</v>
      </c>
      <c r="E67">
        <f t="shared" si="1"/>
        <v>1.9233768268432164E-2</v>
      </c>
    </row>
    <row r="68" spans="1:5">
      <c r="A68" s="1">
        <v>44295</v>
      </c>
      <c r="B68">
        <v>677.02002000000005</v>
      </c>
      <c r="C68">
        <f t="shared" ref="C68:C131" si="2">(B68-B67)/B67</f>
        <v>-9.9151332538484037E-3</v>
      </c>
      <c r="D68">
        <v>133</v>
      </c>
      <c r="E68">
        <f t="shared" ref="E68:E131" si="3">(D68-D67)/D67</f>
        <v>2.0251603097180007E-2</v>
      </c>
    </row>
    <row r="69" spans="1:5">
      <c r="A69" s="1">
        <v>44298</v>
      </c>
      <c r="B69">
        <v>701.97997999999995</v>
      </c>
      <c r="C69">
        <f t="shared" si="2"/>
        <v>3.686738835285832E-2</v>
      </c>
      <c r="D69">
        <v>131.240005</v>
      </c>
      <c r="E69">
        <f t="shared" si="3"/>
        <v>-1.3233045112781982E-2</v>
      </c>
    </row>
    <row r="70" spans="1:5">
      <c r="A70" s="1">
        <v>44299</v>
      </c>
      <c r="B70">
        <v>762.32000700000003</v>
      </c>
      <c r="C70">
        <f t="shared" si="2"/>
        <v>8.5956905779563803E-2</v>
      </c>
      <c r="D70">
        <v>134.429993</v>
      </c>
      <c r="E70">
        <f t="shared" si="3"/>
        <v>2.4306521475673516E-2</v>
      </c>
    </row>
    <row r="71" spans="1:5">
      <c r="A71" s="1">
        <v>44300</v>
      </c>
      <c r="B71">
        <v>732.22997999999995</v>
      </c>
      <c r="C71">
        <f t="shared" si="2"/>
        <v>-3.9471648026679795E-2</v>
      </c>
      <c r="D71">
        <v>132.029999</v>
      </c>
      <c r="E71">
        <f t="shared" si="3"/>
        <v>-1.7853114074029539E-2</v>
      </c>
    </row>
    <row r="72" spans="1:5">
      <c r="A72" s="1">
        <v>44301</v>
      </c>
      <c r="B72">
        <v>738.84997599999997</v>
      </c>
      <c r="C72">
        <f t="shared" si="2"/>
        <v>9.0408699190382986E-3</v>
      </c>
      <c r="D72">
        <v>134.5</v>
      </c>
      <c r="E72">
        <f t="shared" si="3"/>
        <v>1.8707877139346161E-2</v>
      </c>
    </row>
    <row r="73" spans="1:5">
      <c r="A73" s="1">
        <v>44302</v>
      </c>
      <c r="B73">
        <v>739.78002900000001</v>
      </c>
      <c r="C73">
        <f t="shared" si="2"/>
        <v>1.2587846385746428E-3</v>
      </c>
      <c r="D73">
        <v>134.16000399999999</v>
      </c>
      <c r="E73">
        <f t="shared" si="3"/>
        <v>-2.5278513011153421E-3</v>
      </c>
    </row>
    <row r="74" spans="1:5">
      <c r="A74" s="1">
        <v>44305</v>
      </c>
      <c r="B74">
        <v>714.63000499999998</v>
      </c>
      <c r="C74">
        <f t="shared" si="2"/>
        <v>-3.3996624691256742E-2</v>
      </c>
      <c r="D74">
        <v>134.83999600000001</v>
      </c>
      <c r="E74">
        <f t="shared" si="3"/>
        <v>5.0685150546061928E-3</v>
      </c>
    </row>
    <row r="75" spans="1:5">
      <c r="A75" s="1">
        <v>44306</v>
      </c>
      <c r="B75">
        <v>718.98999000000003</v>
      </c>
      <c r="C75">
        <f t="shared" si="2"/>
        <v>6.1010382568530011E-3</v>
      </c>
      <c r="D75">
        <v>133.11000100000001</v>
      </c>
      <c r="E75">
        <f t="shared" si="3"/>
        <v>-1.282998406496543E-2</v>
      </c>
    </row>
    <row r="76" spans="1:5">
      <c r="A76" s="1">
        <v>44307</v>
      </c>
      <c r="B76">
        <v>744.11999500000002</v>
      </c>
      <c r="C76">
        <f t="shared" si="2"/>
        <v>3.4951814836810154E-2</v>
      </c>
      <c r="D76">
        <v>133.5</v>
      </c>
      <c r="E76">
        <f t="shared" si="3"/>
        <v>2.9299000606272164E-3</v>
      </c>
    </row>
    <row r="77" spans="1:5">
      <c r="A77" s="1">
        <v>44308</v>
      </c>
      <c r="B77">
        <v>719.69000200000005</v>
      </c>
      <c r="C77">
        <f t="shared" si="2"/>
        <v>-3.2830717040468679E-2</v>
      </c>
      <c r="D77">
        <v>131.94000199999999</v>
      </c>
      <c r="E77">
        <f t="shared" si="3"/>
        <v>-1.1685378277153612E-2</v>
      </c>
    </row>
    <row r="78" spans="1:5">
      <c r="A78" s="1">
        <v>44309</v>
      </c>
      <c r="B78">
        <v>729.40002400000003</v>
      </c>
      <c r="C78">
        <f t="shared" si="2"/>
        <v>1.349195066350245E-2</v>
      </c>
      <c r="D78">
        <v>134.320007</v>
      </c>
      <c r="E78">
        <f t="shared" si="3"/>
        <v>1.8038539972130754E-2</v>
      </c>
    </row>
    <row r="79" spans="1:5">
      <c r="A79" s="1">
        <v>44312</v>
      </c>
      <c r="B79">
        <v>738.20001200000002</v>
      </c>
      <c r="C79">
        <f t="shared" si="2"/>
        <v>1.2064693872288637E-2</v>
      </c>
      <c r="D79">
        <v>134.720001</v>
      </c>
      <c r="E79">
        <f t="shared" si="3"/>
        <v>2.977918248619451E-3</v>
      </c>
    </row>
    <row r="80" spans="1:5">
      <c r="A80" s="1">
        <v>44313</v>
      </c>
      <c r="B80">
        <v>704.73999000000003</v>
      </c>
      <c r="C80">
        <f t="shared" si="2"/>
        <v>-4.5326498856789479E-2</v>
      </c>
      <c r="D80">
        <v>134.38999899999999</v>
      </c>
      <c r="E80">
        <f t="shared" si="3"/>
        <v>-2.4495397680408823E-3</v>
      </c>
    </row>
    <row r="81" spans="1:5">
      <c r="A81" s="1">
        <v>44314</v>
      </c>
      <c r="B81">
        <v>694.40002400000003</v>
      </c>
      <c r="C81">
        <f t="shared" si="2"/>
        <v>-1.4672029609104492E-2</v>
      </c>
      <c r="D81">
        <v>133.58000200000001</v>
      </c>
      <c r="E81">
        <f t="shared" si="3"/>
        <v>-6.0272118909680287E-3</v>
      </c>
    </row>
    <row r="82" spans="1:5">
      <c r="A82" s="1">
        <v>44315</v>
      </c>
      <c r="B82">
        <v>677</v>
      </c>
      <c r="C82">
        <f t="shared" si="2"/>
        <v>-2.5057637382800594E-2</v>
      </c>
      <c r="D82">
        <v>133.479996</v>
      </c>
      <c r="E82">
        <f t="shared" si="3"/>
        <v>-7.4865996782967246E-4</v>
      </c>
    </row>
    <row r="83" spans="1:5">
      <c r="A83" s="1">
        <v>44316</v>
      </c>
      <c r="B83">
        <v>709.44000200000005</v>
      </c>
      <c r="C83">
        <f t="shared" si="2"/>
        <v>4.7917285081240844E-2</v>
      </c>
      <c r="D83">
        <v>131.46000699999999</v>
      </c>
      <c r="E83">
        <f t="shared" si="3"/>
        <v>-1.5133271355507155E-2</v>
      </c>
    </row>
    <row r="84" spans="1:5">
      <c r="A84" s="1">
        <v>44319</v>
      </c>
      <c r="B84">
        <v>684.90002400000003</v>
      </c>
      <c r="C84">
        <f t="shared" si="2"/>
        <v>-3.4590631950297067E-2</v>
      </c>
      <c r="D84">
        <v>132.53999300000001</v>
      </c>
      <c r="E84">
        <f t="shared" si="3"/>
        <v>8.2153198120552325E-3</v>
      </c>
    </row>
    <row r="85" spans="1:5">
      <c r="A85" s="1">
        <v>44320</v>
      </c>
      <c r="B85">
        <v>673.59997599999997</v>
      </c>
      <c r="C85">
        <f t="shared" si="2"/>
        <v>-1.6498828447989746E-2</v>
      </c>
      <c r="D85">
        <v>127.849998</v>
      </c>
      <c r="E85">
        <f t="shared" si="3"/>
        <v>-3.538550813111941E-2</v>
      </c>
    </row>
    <row r="86" spans="1:5">
      <c r="A86" s="1">
        <v>44321</v>
      </c>
      <c r="B86">
        <v>670.94000200000005</v>
      </c>
      <c r="C86">
        <f t="shared" si="2"/>
        <v>-3.9488926585114969E-3</v>
      </c>
      <c r="D86">
        <v>128.10000600000001</v>
      </c>
      <c r="E86">
        <f t="shared" si="3"/>
        <v>1.9554791076336836E-3</v>
      </c>
    </row>
    <row r="87" spans="1:5">
      <c r="A87" s="1">
        <v>44322</v>
      </c>
      <c r="B87">
        <v>663.53997800000002</v>
      </c>
      <c r="C87">
        <f t="shared" si="2"/>
        <v>-1.1029337910903141E-2</v>
      </c>
      <c r="D87">
        <v>129.740005</v>
      </c>
      <c r="E87">
        <f t="shared" si="3"/>
        <v>1.2802489642350125E-2</v>
      </c>
    </row>
    <row r="88" spans="1:5">
      <c r="A88" s="1">
        <v>44323</v>
      </c>
      <c r="B88">
        <v>672.36999500000002</v>
      </c>
      <c r="C88">
        <f t="shared" si="2"/>
        <v>1.3307437822533125E-2</v>
      </c>
      <c r="D88">
        <v>130.21000699999999</v>
      </c>
      <c r="E88">
        <f t="shared" si="3"/>
        <v>3.6226451509693853E-3</v>
      </c>
    </row>
    <row r="89" spans="1:5">
      <c r="A89" s="1">
        <v>44326</v>
      </c>
      <c r="B89">
        <v>629.03997800000002</v>
      </c>
      <c r="C89">
        <f t="shared" si="2"/>
        <v>-6.444371004390223E-2</v>
      </c>
      <c r="D89">
        <v>126.849998</v>
      </c>
      <c r="E89">
        <f t="shared" si="3"/>
        <v>-2.5804537434668835E-2</v>
      </c>
    </row>
    <row r="90" spans="1:5">
      <c r="A90" s="1">
        <v>44327</v>
      </c>
      <c r="B90">
        <v>617.20001200000002</v>
      </c>
      <c r="C90">
        <f t="shared" si="2"/>
        <v>-1.8822279050760116E-2</v>
      </c>
      <c r="D90">
        <v>125.910004</v>
      </c>
      <c r="E90">
        <f t="shared" si="3"/>
        <v>-7.4102799749354246E-3</v>
      </c>
    </row>
    <row r="91" spans="1:5">
      <c r="A91" s="1">
        <v>44328</v>
      </c>
      <c r="B91">
        <v>589.89001499999995</v>
      </c>
      <c r="C91">
        <f t="shared" si="2"/>
        <v>-4.424821203665185E-2</v>
      </c>
      <c r="D91">
        <v>122.769997</v>
      </c>
      <c r="E91">
        <f t="shared" si="3"/>
        <v>-2.4938502900849698E-2</v>
      </c>
    </row>
    <row r="92" spans="1:5">
      <c r="A92" s="1">
        <v>44329</v>
      </c>
      <c r="B92">
        <v>571.69000200000005</v>
      </c>
      <c r="C92">
        <f t="shared" si="2"/>
        <v>-3.0853231173950113E-2</v>
      </c>
      <c r="D92">
        <v>124.970001</v>
      </c>
      <c r="E92">
        <f t="shared" si="3"/>
        <v>1.7919720239139476E-2</v>
      </c>
    </row>
    <row r="93" spans="1:5">
      <c r="A93" s="1">
        <v>44330</v>
      </c>
      <c r="B93">
        <v>589.73999000000003</v>
      </c>
      <c r="C93">
        <f t="shared" si="2"/>
        <v>3.1573034226335804E-2</v>
      </c>
      <c r="D93">
        <v>127.449997</v>
      </c>
      <c r="E93">
        <f t="shared" si="3"/>
        <v>1.9844730576580535E-2</v>
      </c>
    </row>
    <row r="94" spans="1:5">
      <c r="A94" s="1">
        <v>44333</v>
      </c>
      <c r="B94">
        <v>576.830017</v>
      </c>
      <c r="C94">
        <f t="shared" si="2"/>
        <v>-2.1890957403109184E-2</v>
      </c>
      <c r="D94">
        <v>126.269997</v>
      </c>
      <c r="E94">
        <f t="shared" si="3"/>
        <v>-9.2585329758775332E-3</v>
      </c>
    </row>
    <row r="95" spans="1:5">
      <c r="A95" s="1">
        <v>44334</v>
      </c>
      <c r="B95">
        <v>577.86999500000002</v>
      </c>
      <c r="C95">
        <f t="shared" si="2"/>
        <v>1.8029193511960027E-3</v>
      </c>
      <c r="D95">
        <v>124.849998</v>
      </c>
      <c r="E95">
        <f t="shared" si="3"/>
        <v>-1.1245735596239891E-2</v>
      </c>
    </row>
    <row r="96" spans="1:5">
      <c r="A96" s="1">
        <v>44335</v>
      </c>
      <c r="B96">
        <v>563.46002199999998</v>
      </c>
      <c r="C96">
        <f t="shared" si="2"/>
        <v>-2.4936357874057877E-2</v>
      </c>
      <c r="D96">
        <v>124.69000200000001</v>
      </c>
      <c r="E96">
        <f t="shared" si="3"/>
        <v>-1.2815058274970295E-3</v>
      </c>
    </row>
    <row r="97" spans="1:5">
      <c r="A97" s="1">
        <v>44336</v>
      </c>
      <c r="B97">
        <v>586.78002900000001</v>
      </c>
      <c r="C97">
        <f t="shared" si="2"/>
        <v>4.1387154526466179E-2</v>
      </c>
      <c r="D97">
        <v>127.30999799999999</v>
      </c>
      <c r="E97">
        <f t="shared" si="3"/>
        <v>2.1012077616295057E-2</v>
      </c>
    </row>
    <row r="98" spans="1:5">
      <c r="A98" s="1">
        <v>44337</v>
      </c>
      <c r="B98">
        <v>580.88000499999998</v>
      </c>
      <c r="C98">
        <f t="shared" si="2"/>
        <v>-1.0054916166889569E-2</v>
      </c>
      <c r="D98">
        <v>125.43</v>
      </c>
      <c r="E98">
        <f t="shared" si="3"/>
        <v>-1.4767088441867592E-2</v>
      </c>
    </row>
    <row r="99" spans="1:5">
      <c r="A99" s="1">
        <v>44340</v>
      </c>
      <c r="B99">
        <v>606.44000200000005</v>
      </c>
      <c r="C99">
        <f t="shared" si="2"/>
        <v>4.4002198009897187E-2</v>
      </c>
      <c r="D99">
        <v>127.099998</v>
      </c>
      <c r="E99">
        <f t="shared" si="3"/>
        <v>1.3314183209758371E-2</v>
      </c>
    </row>
    <row r="100" spans="1:5">
      <c r="A100" s="1">
        <v>44341</v>
      </c>
      <c r="B100">
        <v>604.69000200000005</v>
      </c>
      <c r="C100">
        <f t="shared" si="2"/>
        <v>-2.8856935463172167E-3</v>
      </c>
      <c r="D100">
        <v>126.900002</v>
      </c>
      <c r="E100">
        <f t="shared" si="3"/>
        <v>-1.5735326762160826E-3</v>
      </c>
    </row>
    <row r="101" spans="1:5">
      <c r="A101" s="1">
        <v>44342</v>
      </c>
      <c r="B101">
        <v>619.13000499999998</v>
      </c>
      <c r="C101">
        <f t="shared" si="2"/>
        <v>2.3880009512708848E-2</v>
      </c>
      <c r="D101">
        <v>126.849998</v>
      </c>
      <c r="E101">
        <f t="shared" si="3"/>
        <v>-3.9404254698121493E-4</v>
      </c>
    </row>
    <row r="102" spans="1:5">
      <c r="A102" s="1">
        <v>44343</v>
      </c>
      <c r="B102">
        <v>630.84997599999997</v>
      </c>
      <c r="C102">
        <f t="shared" si="2"/>
        <v>1.8929741581495452E-2</v>
      </c>
      <c r="D102">
        <v>125.279999</v>
      </c>
      <c r="E102">
        <f t="shared" si="3"/>
        <v>-1.2376815331128312E-2</v>
      </c>
    </row>
    <row r="103" spans="1:5">
      <c r="A103" s="1">
        <v>44344</v>
      </c>
      <c r="B103">
        <v>625.21997099999999</v>
      </c>
      <c r="C103">
        <f t="shared" si="2"/>
        <v>-8.9244752543193931E-3</v>
      </c>
      <c r="D103">
        <v>124.610001</v>
      </c>
      <c r="E103">
        <f t="shared" si="3"/>
        <v>-5.3480045126756961E-3</v>
      </c>
    </row>
    <row r="104" spans="1:5">
      <c r="A104" s="1">
        <v>44348</v>
      </c>
      <c r="B104">
        <v>623.90002400000003</v>
      </c>
      <c r="C104">
        <f t="shared" si="2"/>
        <v>-2.1111721653561135E-3</v>
      </c>
      <c r="D104">
        <v>124.279999</v>
      </c>
      <c r="E104">
        <f t="shared" si="3"/>
        <v>-2.6482786080708983E-3</v>
      </c>
    </row>
    <row r="105" spans="1:5">
      <c r="A105" s="1">
        <v>44349</v>
      </c>
      <c r="B105">
        <v>605.11999500000002</v>
      </c>
      <c r="C105">
        <f t="shared" si="2"/>
        <v>-3.0101023044679369E-2</v>
      </c>
      <c r="D105">
        <v>125.05999799999999</v>
      </c>
      <c r="E105">
        <f t="shared" si="3"/>
        <v>6.27614263176804E-3</v>
      </c>
    </row>
    <row r="106" spans="1:5">
      <c r="A106" s="1">
        <v>44350</v>
      </c>
      <c r="B106">
        <v>572.84002699999996</v>
      </c>
      <c r="C106">
        <f t="shared" si="2"/>
        <v>-5.3344738674517028E-2</v>
      </c>
      <c r="D106">
        <v>123.540001</v>
      </c>
      <c r="E106">
        <f t="shared" si="3"/>
        <v>-1.2154142206207211E-2</v>
      </c>
    </row>
    <row r="107" spans="1:5">
      <c r="A107" s="1">
        <v>44351</v>
      </c>
      <c r="B107">
        <v>599.04998799999998</v>
      </c>
      <c r="C107">
        <f t="shared" si="2"/>
        <v>4.5754416180138931E-2</v>
      </c>
      <c r="D107">
        <v>125.889999</v>
      </c>
      <c r="E107">
        <f t="shared" si="3"/>
        <v>1.9022162708255113E-2</v>
      </c>
    </row>
    <row r="108" spans="1:5">
      <c r="A108" s="1">
        <v>44354</v>
      </c>
      <c r="B108">
        <v>605.13000499999998</v>
      </c>
      <c r="C108">
        <f t="shared" si="2"/>
        <v>1.0149431803343928E-2</v>
      </c>
      <c r="D108">
        <v>125.900002</v>
      </c>
      <c r="E108">
        <f t="shared" si="3"/>
        <v>7.9458257839826825E-5</v>
      </c>
    </row>
    <row r="109" spans="1:5">
      <c r="A109" s="1">
        <v>44355</v>
      </c>
      <c r="B109">
        <v>603.59002699999996</v>
      </c>
      <c r="C109">
        <f t="shared" si="2"/>
        <v>-2.5448713289304161E-3</v>
      </c>
      <c r="D109">
        <v>126.739998</v>
      </c>
      <c r="E109">
        <f t="shared" si="3"/>
        <v>6.6719299972687789E-3</v>
      </c>
    </row>
    <row r="110" spans="1:5">
      <c r="A110" s="1">
        <v>44356</v>
      </c>
      <c r="B110">
        <v>598.78002900000001</v>
      </c>
      <c r="C110">
        <f t="shared" si="2"/>
        <v>-7.9689818996958855E-3</v>
      </c>
      <c r="D110">
        <v>127.129997</v>
      </c>
      <c r="E110">
        <f t="shared" si="3"/>
        <v>3.0771580097389861E-3</v>
      </c>
    </row>
    <row r="111" spans="1:5">
      <c r="A111" s="1">
        <v>44357</v>
      </c>
      <c r="B111">
        <v>610.11999500000002</v>
      </c>
      <c r="C111">
        <f t="shared" si="2"/>
        <v>1.8938450600863316E-2</v>
      </c>
      <c r="D111">
        <v>126.110001</v>
      </c>
      <c r="E111">
        <f t="shared" si="3"/>
        <v>-8.0232519788386858E-3</v>
      </c>
    </row>
    <row r="112" spans="1:5">
      <c r="A112" s="1">
        <v>44358</v>
      </c>
      <c r="B112">
        <v>609.89001499999995</v>
      </c>
      <c r="C112">
        <f t="shared" si="2"/>
        <v>-3.7694224395984382E-4</v>
      </c>
      <c r="D112">
        <v>127.349998</v>
      </c>
      <c r="E112">
        <f t="shared" si="3"/>
        <v>9.8326618838104878E-3</v>
      </c>
    </row>
    <row r="113" spans="1:5">
      <c r="A113" s="1">
        <v>44361</v>
      </c>
      <c r="B113">
        <v>617.69000200000005</v>
      </c>
      <c r="C113">
        <f t="shared" si="2"/>
        <v>1.2789169863684523E-2</v>
      </c>
      <c r="D113">
        <v>130.479996</v>
      </c>
      <c r="E113">
        <f t="shared" si="3"/>
        <v>2.4577919506524062E-2</v>
      </c>
    </row>
    <row r="114" spans="1:5">
      <c r="A114" s="1">
        <v>44362</v>
      </c>
      <c r="B114">
        <v>599.35998500000005</v>
      </c>
      <c r="C114">
        <f t="shared" si="2"/>
        <v>-2.9675107158363877E-2</v>
      </c>
      <c r="D114">
        <v>129.63999899999999</v>
      </c>
      <c r="E114">
        <f t="shared" si="3"/>
        <v>-6.4377454456697788E-3</v>
      </c>
    </row>
    <row r="115" spans="1:5">
      <c r="A115" s="1">
        <v>44363</v>
      </c>
      <c r="B115">
        <v>604.86999500000002</v>
      </c>
      <c r="C115">
        <f t="shared" si="2"/>
        <v>9.193156263176237E-3</v>
      </c>
      <c r="D115">
        <v>130.14999399999999</v>
      </c>
      <c r="E115">
        <f t="shared" si="3"/>
        <v>3.9339324586079609E-3</v>
      </c>
    </row>
    <row r="116" spans="1:5">
      <c r="A116" s="1">
        <v>44364</v>
      </c>
      <c r="B116">
        <v>616.59997599999997</v>
      </c>
      <c r="C116">
        <f t="shared" si="2"/>
        <v>1.9392565504923007E-2</v>
      </c>
      <c r="D116">
        <v>131.78999300000001</v>
      </c>
      <c r="E116">
        <f t="shared" si="3"/>
        <v>1.2600838076104848E-2</v>
      </c>
    </row>
    <row r="117" spans="1:5">
      <c r="A117" s="1">
        <v>44365</v>
      </c>
      <c r="B117">
        <v>623.30999799999995</v>
      </c>
      <c r="C117">
        <f t="shared" si="2"/>
        <v>1.088229364446161E-2</v>
      </c>
      <c r="D117">
        <v>130.46000699999999</v>
      </c>
      <c r="E117">
        <f t="shared" si="3"/>
        <v>-1.0091707038788745E-2</v>
      </c>
    </row>
    <row r="118" spans="1:5">
      <c r="A118" s="1">
        <v>44368</v>
      </c>
      <c r="B118">
        <v>620.830017</v>
      </c>
      <c r="C118">
        <f t="shared" si="2"/>
        <v>-3.9787280934966696E-3</v>
      </c>
      <c r="D118">
        <v>132.300003</v>
      </c>
      <c r="E118">
        <f t="shared" si="3"/>
        <v>1.4103908487449442E-2</v>
      </c>
    </row>
    <row r="119" spans="1:5">
      <c r="A119" s="1">
        <v>44369</v>
      </c>
      <c r="B119">
        <v>623.71002199999998</v>
      </c>
      <c r="C119">
        <f t="shared" si="2"/>
        <v>4.6389590083238241E-3</v>
      </c>
      <c r="D119">
        <v>133.979996</v>
      </c>
      <c r="E119">
        <f t="shared" si="3"/>
        <v>1.2698359500415098E-2</v>
      </c>
    </row>
    <row r="120" spans="1:5">
      <c r="A120" s="1">
        <v>44370</v>
      </c>
      <c r="B120">
        <v>656.57000700000003</v>
      </c>
      <c r="C120">
        <f t="shared" si="2"/>
        <v>5.2684715398079736E-2</v>
      </c>
      <c r="D120">
        <v>133.699997</v>
      </c>
      <c r="E120">
        <f t="shared" si="3"/>
        <v>-2.0898567574222323E-3</v>
      </c>
    </row>
    <row r="121" spans="1:5">
      <c r="A121" s="1">
        <v>44371</v>
      </c>
      <c r="B121">
        <v>679.82000700000003</v>
      </c>
      <c r="C121">
        <f t="shared" si="2"/>
        <v>3.5411303824604952E-2</v>
      </c>
      <c r="D121">
        <v>133.41000399999999</v>
      </c>
      <c r="E121">
        <f t="shared" si="3"/>
        <v>-2.1689828459757537E-3</v>
      </c>
    </row>
    <row r="122" spans="1:5">
      <c r="A122" s="1">
        <v>44372</v>
      </c>
      <c r="B122">
        <v>671.86999500000002</v>
      </c>
      <c r="C122">
        <f t="shared" si="2"/>
        <v>-1.1694289544497055E-2</v>
      </c>
      <c r="D122">
        <v>133.11000100000001</v>
      </c>
      <c r="E122">
        <f t="shared" si="3"/>
        <v>-2.248729413125386E-3</v>
      </c>
    </row>
    <row r="123" spans="1:5">
      <c r="A123" s="1">
        <v>44375</v>
      </c>
      <c r="B123">
        <v>688.71997099999999</v>
      </c>
      <c r="C123">
        <f t="shared" si="2"/>
        <v>2.5079220869209926E-2</v>
      </c>
      <c r="D123">
        <v>134.779999</v>
      </c>
      <c r="E123">
        <f t="shared" si="3"/>
        <v>1.2545999454992058E-2</v>
      </c>
    </row>
    <row r="124" spans="1:5">
      <c r="A124" s="1">
        <v>44376</v>
      </c>
      <c r="B124">
        <v>680.76000999999997</v>
      </c>
      <c r="C124">
        <f t="shared" si="2"/>
        <v>-1.155761606337973E-2</v>
      </c>
      <c r="D124">
        <v>136.33000200000001</v>
      </c>
      <c r="E124">
        <f t="shared" si="3"/>
        <v>1.1500244928774659E-2</v>
      </c>
    </row>
    <row r="125" spans="1:5">
      <c r="A125" s="1">
        <v>44377</v>
      </c>
      <c r="B125">
        <v>679.70001200000002</v>
      </c>
      <c r="C125">
        <f t="shared" si="2"/>
        <v>-1.5570802991203179E-3</v>
      </c>
      <c r="D125">
        <v>136.96000699999999</v>
      </c>
      <c r="E125">
        <f t="shared" si="3"/>
        <v>4.6211764890899277E-3</v>
      </c>
    </row>
    <row r="126" spans="1:5">
      <c r="A126" s="1">
        <v>44378</v>
      </c>
      <c r="B126">
        <v>677.919983</v>
      </c>
      <c r="C126">
        <f t="shared" si="2"/>
        <v>-2.6188450324759051E-3</v>
      </c>
      <c r="D126">
        <v>137.270004</v>
      </c>
      <c r="E126">
        <f t="shared" si="3"/>
        <v>2.263412559551124E-3</v>
      </c>
    </row>
    <row r="127" spans="1:5">
      <c r="A127" s="1">
        <v>44379</v>
      </c>
      <c r="B127">
        <v>678.90002400000003</v>
      </c>
      <c r="C127">
        <f t="shared" si="2"/>
        <v>1.445658816049428E-3</v>
      </c>
      <c r="D127">
        <v>139.96000699999999</v>
      </c>
      <c r="E127">
        <f t="shared" si="3"/>
        <v>1.9596437106536326E-2</v>
      </c>
    </row>
    <row r="128" spans="1:5">
      <c r="A128" s="1">
        <v>44383</v>
      </c>
      <c r="B128">
        <v>659.580017</v>
      </c>
      <c r="C128">
        <f t="shared" si="2"/>
        <v>-2.8457808686128478E-2</v>
      </c>
      <c r="D128">
        <v>142.020004</v>
      </c>
      <c r="E128">
        <f t="shared" si="3"/>
        <v>1.4718468826598516E-2</v>
      </c>
    </row>
    <row r="129" spans="1:5">
      <c r="A129" s="1">
        <v>44384</v>
      </c>
      <c r="B129">
        <v>644.65002400000003</v>
      </c>
      <c r="C129">
        <f t="shared" si="2"/>
        <v>-2.263560540828205E-2</v>
      </c>
      <c r="D129">
        <v>144.570007</v>
      </c>
      <c r="E129">
        <f t="shared" si="3"/>
        <v>1.7955238193064715E-2</v>
      </c>
    </row>
    <row r="130" spans="1:5">
      <c r="A130" s="1">
        <v>44385</v>
      </c>
      <c r="B130">
        <v>652.80999799999995</v>
      </c>
      <c r="C130">
        <f t="shared" si="2"/>
        <v>1.2657990686741866E-2</v>
      </c>
      <c r="D130">
        <v>143.240005</v>
      </c>
      <c r="E130">
        <f t="shared" si="3"/>
        <v>-9.1997090378504818E-3</v>
      </c>
    </row>
    <row r="131" spans="1:5">
      <c r="A131" s="1">
        <v>44386</v>
      </c>
      <c r="B131">
        <v>656.95001200000002</v>
      </c>
      <c r="C131">
        <f t="shared" si="2"/>
        <v>6.3418360819897631E-3</v>
      </c>
      <c r="D131">
        <v>145.11000100000001</v>
      </c>
      <c r="E131">
        <f t="shared" si="3"/>
        <v>1.3054984185458628E-2</v>
      </c>
    </row>
    <row r="132" spans="1:5">
      <c r="A132" s="1">
        <v>44389</v>
      </c>
      <c r="B132">
        <v>685.70001200000002</v>
      </c>
      <c r="C132">
        <f t="shared" ref="C132:C195" si="4">(B132-B131)/B131</f>
        <v>4.3762842643802251E-2</v>
      </c>
      <c r="D132">
        <v>144.5</v>
      </c>
      <c r="E132">
        <f t="shared" ref="E132:E195" si="5">(D132-D131)/D131</f>
        <v>-4.2037143945716816E-3</v>
      </c>
    </row>
    <row r="133" spans="1:5">
      <c r="A133" s="1">
        <v>44390</v>
      </c>
      <c r="B133">
        <v>668.53997800000002</v>
      </c>
      <c r="C133">
        <f t="shared" si="4"/>
        <v>-2.5025570511438163E-2</v>
      </c>
      <c r="D133">
        <v>145.63999899999999</v>
      </c>
      <c r="E133">
        <f t="shared" si="5"/>
        <v>7.889266435986083E-3</v>
      </c>
    </row>
    <row r="134" spans="1:5">
      <c r="A134" s="1">
        <v>44391</v>
      </c>
      <c r="B134">
        <v>653.38000499999998</v>
      </c>
      <c r="C134">
        <f t="shared" si="4"/>
        <v>-2.267624001387698E-2</v>
      </c>
      <c r="D134">
        <v>149.14999399999999</v>
      </c>
      <c r="E134">
        <f t="shared" si="5"/>
        <v>2.4100487668913016E-2</v>
      </c>
    </row>
    <row r="135" spans="1:5">
      <c r="A135" s="1">
        <v>44392</v>
      </c>
      <c r="B135">
        <v>650.59997599999997</v>
      </c>
      <c r="C135">
        <f t="shared" si="4"/>
        <v>-4.2548424786889721E-3</v>
      </c>
      <c r="D135">
        <v>148.479996</v>
      </c>
      <c r="E135">
        <f t="shared" si="5"/>
        <v>-4.4921087961960803E-3</v>
      </c>
    </row>
    <row r="136" spans="1:5">
      <c r="A136" s="1">
        <v>44393</v>
      </c>
      <c r="B136">
        <v>644.21997099999999</v>
      </c>
      <c r="C136">
        <f t="shared" si="4"/>
        <v>-9.8063406630067001E-3</v>
      </c>
      <c r="D136">
        <v>146.38999899999999</v>
      </c>
      <c r="E136">
        <f t="shared" si="5"/>
        <v>-1.4075950002046141E-2</v>
      </c>
    </row>
    <row r="137" spans="1:5">
      <c r="A137" s="1">
        <v>44396</v>
      </c>
      <c r="B137">
        <v>646.21997099999999</v>
      </c>
      <c r="C137">
        <f t="shared" si="4"/>
        <v>3.1045296483054857E-3</v>
      </c>
      <c r="D137">
        <v>142.449997</v>
      </c>
      <c r="E137">
        <f t="shared" si="5"/>
        <v>-2.6914420567760184E-2</v>
      </c>
    </row>
    <row r="138" spans="1:5">
      <c r="A138" s="1">
        <v>44397</v>
      </c>
      <c r="B138">
        <v>660.5</v>
      </c>
      <c r="C138">
        <f t="shared" si="4"/>
        <v>2.2097783480603719E-2</v>
      </c>
      <c r="D138">
        <v>146.14999399999999</v>
      </c>
      <c r="E138">
        <f t="shared" si="5"/>
        <v>2.5974005461017989E-2</v>
      </c>
    </row>
    <row r="139" spans="1:5">
      <c r="A139" s="1">
        <v>44398</v>
      </c>
      <c r="B139">
        <v>655.28997800000002</v>
      </c>
      <c r="C139">
        <f t="shared" si="4"/>
        <v>-7.8879969719908866E-3</v>
      </c>
      <c r="D139">
        <v>145.39999399999999</v>
      </c>
      <c r="E139">
        <f t="shared" si="5"/>
        <v>-5.1317142031494034E-3</v>
      </c>
    </row>
    <row r="140" spans="1:5">
      <c r="A140" s="1">
        <v>44399</v>
      </c>
      <c r="B140">
        <v>649.26000999999997</v>
      </c>
      <c r="C140">
        <f t="shared" si="4"/>
        <v>-9.2019841634142212E-3</v>
      </c>
      <c r="D140">
        <v>146.800003</v>
      </c>
      <c r="E140">
        <f t="shared" si="5"/>
        <v>9.628673024567054E-3</v>
      </c>
    </row>
    <row r="141" spans="1:5">
      <c r="A141" s="1">
        <v>44400</v>
      </c>
      <c r="B141">
        <v>643.38000499999998</v>
      </c>
      <c r="C141">
        <f t="shared" si="4"/>
        <v>-9.0564718439997294E-3</v>
      </c>
      <c r="D141">
        <v>148.55999800000001</v>
      </c>
      <c r="E141">
        <f t="shared" si="5"/>
        <v>1.198906651248504E-2</v>
      </c>
    </row>
    <row r="142" spans="1:5">
      <c r="A142" s="1">
        <v>44403</v>
      </c>
      <c r="B142">
        <v>657.61999500000002</v>
      </c>
      <c r="C142">
        <f t="shared" si="4"/>
        <v>2.2133093800451625E-2</v>
      </c>
      <c r="D142">
        <v>148.990005</v>
      </c>
      <c r="E142">
        <f t="shared" si="5"/>
        <v>2.8945005774703167E-3</v>
      </c>
    </row>
    <row r="143" spans="1:5">
      <c r="A143" s="1">
        <v>44404</v>
      </c>
      <c r="B143">
        <v>644.78002900000001</v>
      </c>
      <c r="C143">
        <f t="shared" si="4"/>
        <v>-1.9524902067492647E-2</v>
      </c>
      <c r="D143">
        <v>146.770004</v>
      </c>
      <c r="E143">
        <f t="shared" si="5"/>
        <v>-1.4900335092947989E-2</v>
      </c>
    </row>
    <row r="144" spans="1:5">
      <c r="A144" s="1">
        <v>44405</v>
      </c>
      <c r="B144">
        <v>646.97997999999995</v>
      </c>
      <c r="C144">
        <f t="shared" si="4"/>
        <v>3.4119403533820398E-3</v>
      </c>
      <c r="D144">
        <v>144.979996</v>
      </c>
      <c r="E144">
        <f t="shared" si="5"/>
        <v>-1.2196007026067808E-2</v>
      </c>
    </row>
    <row r="145" spans="1:5">
      <c r="A145" s="1">
        <v>44406</v>
      </c>
      <c r="B145">
        <v>677.34997599999997</v>
      </c>
      <c r="C145">
        <f t="shared" si="4"/>
        <v>4.6941168102295865E-2</v>
      </c>
      <c r="D145">
        <v>145.63999899999999</v>
      </c>
      <c r="E145">
        <f t="shared" si="5"/>
        <v>4.5523728666676819E-3</v>
      </c>
    </row>
    <row r="146" spans="1:5">
      <c r="A146" s="1">
        <v>44407</v>
      </c>
      <c r="B146">
        <v>687.20001200000002</v>
      </c>
      <c r="C146">
        <f t="shared" si="4"/>
        <v>1.4542018674257761E-2</v>
      </c>
      <c r="D146">
        <v>145.86000100000001</v>
      </c>
      <c r="E146">
        <f t="shared" si="5"/>
        <v>1.5105877609901813E-3</v>
      </c>
    </row>
    <row r="147" spans="1:5">
      <c r="A147" s="1">
        <v>44410</v>
      </c>
      <c r="B147">
        <v>709.669983</v>
      </c>
      <c r="C147">
        <f t="shared" si="4"/>
        <v>3.2697861768954666E-2</v>
      </c>
      <c r="D147">
        <v>145.520004</v>
      </c>
      <c r="E147">
        <f t="shared" si="5"/>
        <v>-2.330981747353827E-3</v>
      </c>
    </row>
    <row r="148" spans="1:5">
      <c r="A148" s="1">
        <v>44411</v>
      </c>
      <c r="B148">
        <v>709.73999000000003</v>
      </c>
      <c r="C148">
        <f t="shared" si="4"/>
        <v>9.8647260948096701E-5</v>
      </c>
      <c r="D148">
        <v>147.36000100000001</v>
      </c>
      <c r="E148">
        <f t="shared" si="5"/>
        <v>1.2644289097188391E-2</v>
      </c>
    </row>
    <row r="149" spans="1:5">
      <c r="A149" s="1">
        <v>44412</v>
      </c>
      <c r="B149">
        <v>710.919983</v>
      </c>
      <c r="C149">
        <f t="shared" si="4"/>
        <v>1.6625708239998815E-3</v>
      </c>
      <c r="D149">
        <v>146.949997</v>
      </c>
      <c r="E149">
        <f t="shared" si="5"/>
        <v>-2.7823289713469457E-3</v>
      </c>
    </row>
    <row r="150" spans="1:5">
      <c r="A150" s="1">
        <v>44413</v>
      </c>
      <c r="B150">
        <v>714.63000499999998</v>
      </c>
      <c r="C150">
        <f t="shared" si="4"/>
        <v>5.2186210666693E-3</v>
      </c>
      <c r="D150">
        <v>147.05999800000001</v>
      </c>
      <c r="E150">
        <f t="shared" si="5"/>
        <v>7.4856075022588207E-4</v>
      </c>
    </row>
    <row r="151" spans="1:5">
      <c r="A151" s="1">
        <v>44414</v>
      </c>
      <c r="B151">
        <v>699.09997599999997</v>
      </c>
      <c r="C151">
        <f t="shared" si="4"/>
        <v>-2.1731565833147479E-2</v>
      </c>
      <c r="D151">
        <v>146.13999899999999</v>
      </c>
      <c r="E151">
        <f t="shared" si="5"/>
        <v>-6.2559432375350532E-3</v>
      </c>
    </row>
    <row r="152" spans="1:5">
      <c r="A152" s="1">
        <v>44417</v>
      </c>
      <c r="B152">
        <v>713.76000999999997</v>
      </c>
      <c r="C152">
        <f t="shared" si="4"/>
        <v>2.0969867691713377E-2</v>
      </c>
      <c r="D152">
        <v>146.08999600000001</v>
      </c>
      <c r="E152">
        <f t="shared" si="5"/>
        <v>-3.4215820680261107E-4</v>
      </c>
    </row>
    <row r="153" spans="1:5">
      <c r="A153" s="1">
        <v>44418</v>
      </c>
      <c r="B153">
        <v>709.98999000000003</v>
      </c>
      <c r="C153">
        <f t="shared" si="4"/>
        <v>-5.2819154157991164E-3</v>
      </c>
      <c r="D153">
        <v>145.60000600000001</v>
      </c>
      <c r="E153">
        <f t="shared" si="5"/>
        <v>-3.3540284305299444E-3</v>
      </c>
    </row>
    <row r="154" spans="1:5">
      <c r="A154" s="1">
        <v>44419</v>
      </c>
      <c r="B154">
        <v>707.82000700000003</v>
      </c>
      <c r="C154">
        <f t="shared" si="4"/>
        <v>-3.0563571748384818E-3</v>
      </c>
      <c r="D154">
        <v>145.86000100000001</v>
      </c>
      <c r="E154">
        <f t="shared" si="5"/>
        <v>1.7856798714692601E-3</v>
      </c>
    </row>
    <row r="155" spans="1:5">
      <c r="A155" s="1">
        <v>44420</v>
      </c>
      <c r="B155">
        <v>722.25</v>
      </c>
      <c r="C155">
        <f t="shared" si="4"/>
        <v>2.0386528859447691E-2</v>
      </c>
      <c r="D155">
        <v>148.88999899999999</v>
      </c>
      <c r="E155">
        <f t="shared" si="5"/>
        <v>2.0773330448557843E-2</v>
      </c>
    </row>
    <row r="156" spans="1:5">
      <c r="A156" s="1">
        <v>44421</v>
      </c>
      <c r="B156">
        <v>717.169983</v>
      </c>
      <c r="C156">
        <f t="shared" si="4"/>
        <v>-7.0335991692627182E-3</v>
      </c>
      <c r="D156">
        <v>149.10000600000001</v>
      </c>
      <c r="E156">
        <f t="shared" si="5"/>
        <v>1.4104842595909933E-3</v>
      </c>
    </row>
    <row r="157" spans="1:5">
      <c r="A157" s="1">
        <v>44424</v>
      </c>
      <c r="B157">
        <v>686.169983</v>
      </c>
      <c r="C157">
        <f t="shared" si="4"/>
        <v>-4.3225456634874246E-2</v>
      </c>
      <c r="D157">
        <v>151.11999499999999</v>
      </c>
      <c r="E157">
        <f t="shared" si="5"/>
        <v>1.35478800718491E-2</v>
      </c>
    </row>
    <row r="158" spans="1:5">
      <c r="A158" s="1">
        <v>44425</v>
      </c>
      <c r="B158">
        <v>665.71002199999998</v>
      </c>
      <c r="C158">
        <f t="shared" si="4"/>
        <v>-2.9817627565908871E-2</v>
      </c>
      <c r="D158">
        <v>150.19000199999999</v>
      </c>
      <c r="E158">
        <f t="shared" si="5"/>
        <v>-6.1540036445871778E-3</v>
      </c>
    </row>
    <row r="159" spans="1:5">
      <c r="A159" s="1">
        <v>44426</v>
      </c>
      <c r="B159">
        <v>688.98999000000003</v>
      </c>
      <c r="C159">
        <f t="shared" si="4"/>
        <v>3.4970132986821785E-2</v>
      </c>
      <c r="D159">
        <v>146.36000100000001</v>
      </c>
      <c r="E159">
        <f t="shared" si="5"/>
        <v>-2.5501038344749351E-2</v>
      </c>
    </row>
    <row r="160" spans="1:5">
      <c r="A160" s="1">
        <v>44427</v>
      </c>
      <c r="B160">
        <v>673.46997099999999</v>
      </c>
      <c r="C160">
        <f t="shared" si="4"/>
        <v>-2.252575396632402E-2</v>
      </c>
      <c r="D160">
        <v>146.699997</v>
      </c>
      <c r="E160">
        <f t="shared" si="5"/>
        <v>2.3230117359727613E-3</v>
      </c>
    </row>
    <row r="161" spans="1:5">
      <c r="A161" s="1">
        <v>44428</v>
      </c>
      <c r="B161">
        <v>680.26000999999997</v>
      </c>
      <c r="C161">
        <f t="shared" si="4"/>
        <v>1.0082170389747012E-2</v>
      </c>
      <c r="D161">
        <v>148.19000199999999</v>
      </c>
      <c r="E161">
        <f t="shared" si="5"/>
        <v>1.0156816840289346E-2</v>
      </c>
    </row>
    <row r="162" spans="1:5">
      <c r="A162" s="1">
        <v>44431</v>
      </c>
      <c r="B162">
        <v>706.29998799999998</v>
      </c>
      <c r="C162">
        <f t="shared" si="4"/>
        <v>3.8279448471474929E-2</v>
      </c>
      <c r="D162">
        <v>149.71000699999999</v>
      </c>
      <c r="E162">
        <f t="shared" si="5"/>
        <v>1.025713597061695E-2</v>
      </c>
    </row>
    <row r="163" spans="1:5">
      <c r="A163" s="1">
        <v>44432</v>
      </c>
      <c r="B163">
        <v>708.48999000000003</v>
      </c>
      <c r="C163">
        <f t="shared" si="4"/>
        <v>3.1006683239530927E-3</v>
      </c>
      <c r="D163">
        <v>149.61999499999999</v>
      </c>
      <c r="E163">
        <f t="shared" si="5"/>
        <v>-6.0124237386483816E-4</v>
      </c>
    </row>
    <row r="164" spans="1:5">
      <c r="A164" s="1">
        <v>44433</v>
      </c>
      <c r="B164">
        <v>711.20001200000002</v>
      </c>
      <c r="C164">
        <f t="shared" si="4"/>
        <v>3.8250674508470907E-3</v>
      </c>
      <c r="D164">
        <v>148.36000100000001</v>
      </c>
      <c r="E164">
        <f t="shared" si="5"/>
        <v>-8.4212942260824004E-3</v>
      </c>
    </row>
    <row r="165" spans="1:5">
      <c r="A165" s="1">
        <v>44434</v>
      </c>
      <c r="B165">
        <v>701.15997300000004</v>
      </c>
      <c r="C165">
        <f t="shared" si="4"/>
        <v>-1.4117039975527979E-2</v>
      </c>
      <c r="D165">
        <v>147.53999300000001</v>
      </c>
      <c r="E165">
        <f t="shared" si="5"/>
        <v>-5.5271501379944134E-3</v>
      </c>
    </row>
    <row r="166" spans="1:5">
      <c r="A166" s="1">
        <v>44435</v>
      </c>
      <c r="B166">
        <v>711.919983</v>
      </c>
      <c r="C166">
        <f t="shared" si="4"/>
        <v>1.5346012913375427E-2</v>
      </c>
      <c r="D166">
        <v>148.60000600000001</v>
      </c>
      <c r="E166">
        <f t="shared" si="5"/>
        <v>7.1845807936292755E-3</v>
      </c>
    </row>
    <row r="167" spans="1:5">
      <c r="A167" s="1">
        <v>44438</v>
      </c>
      <c r="B167">
        <v>730.90997300000004</v>
      </c>
      <c r="C167">
        <f t="shared" si="4"/>
        <v>2.6674332022507696E-2</v>
      </c>
      <c r="D167">
        <v>153.11999499999999</v>
      </c>
      <c r="E167">
        <f t="shared" si="5"/>
        <v>3.0417152203883364E-2</v>
      </c>
    </row>
    <row r="168" spans="1:5">
      <c r="A168" s="1">
        <v>44439</v>
      </c>
      <c r="B168">
        <v>735.71997099999999</v>
      </c>
      <c r="C168">
        <f t="shared" si="4"/>
        <v>6.5808350928055403E-3</v>
      </c>
      <c r="D168">
        <v>151.83000200000001</v>
      </c>
      <c r="E168">
        <f t="shared" si="5"/>
        <v>-8.4247194496053987E-3</v>
      </c>
    </row>
    <row r="169" spans="1:5">
      <c r="A169" s="1">
        <v>44440</v>
      </c>
      <c r="B169">
        <v>734.09002699999996</v>
      </c>
      <c r="C169">
        <f t="shared" si="4"/>
        <v>-2.2154407440980327E-3</v>
      </c>
      <c r="D169">
        <v>152.509995</v>
      </c>
      <c r="E169">
        <f t="shared" si="5"/>
        <v>4.4786471121827159E-3</v>
      </c>
    </row>
    <row r="170" spans="1:5">
      <c r="A170" s="1">
        <v>44441</v>
      </c>
      <c r="B170">
        <v>732.39001499999995</v>
      </c>
      <c r="C170">
        <f t="shared" si="4"/>
        <v>-2.3158086031320178E-3</v>
      </c>
      <c r="D170">
        <v>153.64999399999999</v>
      </c>
      <c r="E170">
        <f t="shared" si="5"/>
        <v>7.4749133655141022E-3</v>
      </c>
    </row>
    <row r="171" spans="1:5">
      <c r="A171" s="1">
        <v>44442</v>
      </c>
      <c r="B171">
        <v>733.57000700000003</v>
      </c>
      <c r="C171">
        <f t="shared" si="4"/>
        <v>1.6111524950269617E-3</v>
      </c>
      <c r="D171">
        <v>154.300003</v>
      </c>
      <c r="E171">
        <f t="shared" si="5"/>
        <v>4.2304524919149133E-3</v>
      </c>
    </row>
    <row r="172" spans="1:5">
      <c r="A172" s="1">
        <v>44446</v>
      </c>
      <c r="B172">
        <v>752.919983</v>
      </c>
      <c r="C172">
        <f t="shared" si="4"/>
        <v>2.6377817816098319E-2</v>
      </c>
      <c r="D172">
        <v>156.69000199999999</v>
      </c>
      <c r="E172">
        <f t="shared" si="5"/>
        <v>1.5489299763655798E-2</v>
      </c>
    </row>
    <row r="173" spans="1:5">
      <c r="A173" s="1">
        <v>44447</v>
      </c>
      <c r="B173">
        <v>753.86999500000002</v>
      </c>
      <c r="C173">
        <f t="shared" si="4"/>
        <v>1.2617702032753926E-3</v>
      </c>
      <c r="D173">
        <v>155.11000100000001</v>
      </c>
      <c r="E173">
        <f t="shared" si="5"/>
        <v>-1.0083610822852512E-2</v>
      </c>
    </row>
    <row r="174" spans="1:5">
      <c r="A174" s="1">
        <v>44448</v>
      </c>
      <c r="B174">
        <v>754.85998500000005</v>
      </c>
      <c r="C174">
        <f t="shared" si="4"/>
        <v>1.3132105091940081E-3</v>
      </c>
      <c r="D174">
        <v>154.070007</v>
      </c>
      <c r="E174">
        <f t="shared" si="5"/>
        <v>-6.7048803642262055E-3</v>
      </c>
    </row>
    <row r="175" spans="1:5">
      <c r="A175" s="1">
        <v>44449</v>
      </c>
      <c r="B175">
        <v>736.27002000000005</v>
      </c>
      <c r="C175">
        <f t="shared" si="4"/>
        <v>-2.4627037290895749E-2</v>
      </c>
      <c r="D175">
        <v>148.970001</v>
      </c>
      <c r="E175">
        <f t="shared" si="5"/>
        <v>-3.3101874266806566E-2</v>
      </c>
    </row>
    <row r="176" spans="1:5">
      <c r="A176" s="1">
        <v>44452</v>
      </c>
      <c r="B176">
        <v>743</v>
      </c>
      <c r="C176">
        <f t="shared" si="4"/>
        <v>9.1406410925165132E-3</v>
      </c>
      <c r="D176">
        <v>149.550003</v>
      </c>
      <c r="E176">
        <f t="shared" si="5"/>
        <v>3.8934147553641185E-3</v>
      </c>
    </row>
    <row r="177" spans="1:5">
      <c r="A177" s="1">
        <v>44453</v>
      </c>
      <c r="B177">
        <v>744.48999000000003</v>
      </c>
      <c r="C177">
        <f t="shared" si="4"/>
        <v>2.005370121130598E-3</v>
      </c>
      <c r="D177">
        <v>148.11999499999999</v>
      </c>
      <c r="E177">
        <f t="shared" si="5"/>
        <v>-9.5620726935058305E-3</v>
      </c>
    </row>
    <row r="178" spans="1:5">
      <c r="A178" s="1">
        <v>44454</v>
      </c>
      <c r="B178">
        <v>755.830017</v>
      </c>
      <c r="C178">
        <f t="shared" si="4"/>
        <v>1.5231940190357647E-2</v>
      </c>
      <c r="D178">
        <v>149.029999</v>
      </c>
      <c r="E178">
        <f t="shared" si="5"/>
        <v>6.1436945093065595E-3</v>
      </c>
    </row>
    <row r="179" spans="1:5">
      <c r="A179" s="1">
        <v>44455</v>
      </c>
      <c r="B179">
        <v>756.98999000000003</v>
      </c>
      <c r="C179">
        <f t="shared" si="4"/>
        <v>1.5347008902929511E-3</v>
      </c>
      <c r="D179">
        <v>148.78999300000001</v>
      </c>
      <c r="E179">
        <f t="shared" si="5"/>
        <v>-1.6104542817583589E-3</v>
      </c>
    </row>
    <row r="180" spans="1:5">
      <c r="A180" s="1">
        <v>44456</v>
      </c>
      <c r="B180">
        <v>759.48999000000003</v>
      </c>
      <c r="C180">
        <f t="shared" si="4"/>
        <v>3.3025535780202321E-3</v>
      </c>
      <c r="D180">
        <v>146.05999800000001</v>
      </c>
      <c r="E180">
        <f t="shared" si="5"/>
        <v>-1.8347974517345413E-2</v>
      </c>
    </row>
    <row r="181" spans="1:5">
      <c r="A181" s="1">
        <v>44459</v>
      </c>
      <c r="B181">
        <v>730.169983</v>
      </c>
      <c r="C181">
        <f t="shared" si="4"/>
        <v>-3.8604862981801817E-2</v>
      </c>
      <c r="D181">
        <v>142.94000199999999</v>
      </c>
      <c r="E181">
        <f t="shared" si="5"/>
        <v>-2.136105739231911E-2</v>
      </c>
    </row>
    <row r="182" spans="1:5">
      <c r="A182" s="1">
        <v>44460</v>
      </c>
      <c r="B182">
        <v>739.38000499999998</v>
      </c>
      <c r="C182">
        <f t="shared" si="4"/>
        <v>1.2613531389169666E-2</v>
      </c>
      <c r="D182">
        <v>143.429993</v>
      </c>
      <c r="E182">
        <f t="shared" si="5"/>
        <v>3.4279487417385331E-3</v>
      </c>
    </row>
    <row r="183" spans="1:5">
      <c r="A183" s="1">
        <v>44461</v>
      </c>
      <c r="B183">
        <v>751.94000200000005</v>
      </c>
      <c r="C183">
        <f t="shared" si="4"/>
        <v>1.698720132416898E-2</v>
      </c>
      <c r="D183">
        <v>145.85000600000001</v>
      </c>
      <c r="E183">
        <f t="shared" si="5"/>
        <v>1.6872433368939867E-2</v>
      </c>
    </row>
    <row r="184" spans="1:5">
      <c r="A184" s="1">
        <v>44462</v>
      </c>
      <c r="B184">
        <v>753.64001499999995</v>
      </c>
      <c r="C184">
        <f t="shared" si="4"/>
        <v>2.2608359649416536E-3</v>
      </c>
      <c r="D184">
        <v>146.83000200000001</v>
      </c>
      <c r="E184">
        <f t="shared" si="5"/>
        <v>6.7192043859086292E-3</v>
      </c>
    </row>
    <row r="185" spans="1:5">
      <c r="A185" s="1">
        <v>44463</v>
      </c>
      <c r="B185">
        <v>774.39001499999995</v>
      </c>
      <c r="C185">
        <f t="shared" si="4"/>
        <v>2.7533039099575943E-2</v>
      </c>
      <c r="D185">
        <v>146.91999799999999</v>
      </c>
      <c r="E185">
        <f t="shared" si="5"/>
        <v>6.1292650530635478E-4</v>
      </c>
    </row>
    <row r="186" spans="1:5">
      <c r="A186" s="1">
        <v>44466</v>
      </c>
      <c r="B186">
        <v>791.35998500000005</v>
      </c>
      <c r="C186">
        <f t="shared" si="4"/>
        <v>2.1913983485440606E-2</v>
      </c>
      <c r="D186">
        <v>145.36999499999999</v>
      </c>
      <c r="E186">
        <f t="shared" si="5"/>
        <v>-1.0549979724339527E-2</v>
      </c>
    </row>
    <row r="187" spans="1:5">
      <c r="A187" s="1">
        <v>44467</v>
      </c>
      <c r="B187">
        <v>777.55999799999995</v>
      </c>
      <c r="C187">
        <f t="shared" si="4"/>
        <v>-1.7438317910400916E-2</v>
      </c>
      <c r="D187">
        <v>141.91000399999999</v>
      </c>
      <c r="E187">
        <f t="shared" si="5"/>
        <v>-2.3801273433351929E-2</v>
      </c>
    </row>
    <row r="188" spans="1:5">
      <c r="A188" s="1">
        <v>44468</v>
      </c>
      <c r="B188">
        <v>781.30999799999995</v>
      </c>
      <c r="C188">
        <f t="shared" si="4"/>
        <v>4.8227789619393465E-3</v>
      </c>
      <c r="D188">
        <v>142.83000200000001</v>
      </c>
      <c r="E188">
        <f t="shared" si="5"/>
        <v>6.4829678956250403E-3</v>
      </c>
    </row>
    <row r="189" spans="1:5">
      <c r="A189" s="1">
        <v>44469</v>
      </c>
      <c r="B189">
        <v>775.47997999999995</v>
      </c>
      <c r="C189">
        <f t="shared" si="4"/>
        <v>-7.4618499890231737E-3</v>
      </c>
      <c r="D189">
        <v>141.5</v>
      </c>
      <c r="E189">
        <f t="shared" si="5"/>
        <v>-9.3117831084256891E-3</v>
      </c>
    </row>
    <row r="190" spans="1:5">
      <c r="A190" s="1">
        <v>44470</v>
      </c>
      <c r="B190">
        <v>775.21997099999999</v>
      </c>
      <c r="C190">
        <f t="shared" si="4"/>
        <v>-3.3528783038340747E-4</v>
      </c>
      <c r="D190">
        <v>142.64999399999999</v>
      </c>
      <c r="E190">
        <f t="shared" si="5"/>
        <v>8.1271660777384614E-3</v>
      </c>
    </row>
    <row r="191" spans="1:5">
      <c r="A191" s="1">
        <v>44473</v>
      </c>
      <c r="B191">
        <v>781.53002900000001</v>
      </c>
      <c r="C191">
        <f t="shared" si="4"/>
        <v>8.1397000026461226E-3</v>
      </c>
      <c r="D191">
        <v>139.13999899999999</v>
      </c>
      <c r="E191">
        <f t="shared" si="5"/>
        <v>-2.4605644217552534E-2</v>
      </c>
    </row>
    <row r="192" spans="1:5">
      <c r="A192" s="1">
        <v>44474</v>
      </c>
      <c r="B192">
        <v>780.59002699999996</v>
      </c>
      <c r="C192">
        <f t="shared" si="4"/>
        <v>-1.2027714420683501E-3</v>
      </c>
      <c r="D192">
        <v>141.11000100000001</v>
      </c>
      <c r="E192">
        <f t="shared" si="5"/>
        <v>1.4158416085657887E-2</v>
      </c>
    </row>
    <row r="193" spans="1:5">
      <c r="A193" s="1">
        <v>44475</v>
      </c>
      <c r="B193">
        <v>782.75</v>
      </c>
      <c r="C193">
        <f t="shared" si="4"/>
        <v>2.7671029929774347E-3</v>
      </c>
      <c r="D193">
        <v>142</v>
      </c>
      <c r="E193">
        <f t="shared" si="5"/>
        <v>6.307129145297E-3</v>
      </c>
    </row>
    <row r="194" spans="1:5">
      <c r="A194" s="1">
        <v>44476</v>
      </c>
      <c r="B194">
        <v>793.60998500000005</v>
      </c>
      <c r="C194">
        <f t="shared" si="4"/>
        <v>1.387414244650278E-2</v>
      </c>
      <c r="D194">
        <v>143.28999300000001</v>
      </c>
      <c r="E194">
        <f t="shared" si="5"/>
        <v>9.0844577464789418E-3</v>
      </c>
    </row>
    <row r="195" spans="1:5">
      <c r="A195" s="1">
        <v>44477</v>
      </c>
      <c r="B195">
        <v>785.48999000000003</v>
      </c>
      <c r="C195">
        <f t="shared" si="4"/>
        <v>-1.0231719803777439E-2</v>
      </c>
      <c r="D195">
        <v>142.89999399999999</v>
      </c>
      <c r="E195">
        <f t="shared" si="5"/>
        <v>-2.7217462422516642E-3</v>
      </c>
    </row>
    <row r="196" spans="1:5">
      <c r="A196" s="1">
        <v>44480</v>
      </c>
      <c r="B196">
        <v>791.94000200000005</v>
      </c>
      <c r="C196">
        <f t="shared" ref="C196:C252" si="6">(B196-B195)/B195</f>
        <v>8.2114502821353779E-3</v>
      </c>
      <c r="D196">
        <v>142.80999800000001</v>
      </c>
      <c r="E196">
        <f t="shared" ref="E196:E252" si="7">(D196-D195)/D195</f>
        <v>-6.2978309152332849E-4</v>
      </c>
    </row>
    <row r="197" spans="1:5">
      <c r="A197" s="1">
        <v>44481</v>
      </c>
      <c r="B197">
        <v>805.71997099999999</v>
      </c>
      <c r="C197">
        <f t="shared" si="6"/>
        <v>1.7400268915826196E-2</v>
      </c>
      <c r="D197">
        <v>141.509995</v>
      </c>
      <c r="E197">
        <f t="shared" si="7"/>
        <v>-9.1030251257338702E-3</v>
      </c>
    </row>
    <row r="198" spans="1:5">
      <c r="A198" s="1">
        <v>44482</v>
      </c>
      <c r="B198">
        <v>811.080017</v>
      </c>
      <c r="C198">
        <f t="shared" si="6"/>
        <v>6.6524924203473805E-3</v>
      </c>
      <c r="D198">
        <v>140.91000399999999</v>
      </c>
      <c r="E198">
        <f t="shared" si="7"/>
        <v>-4.2399195901322521E-3</v>
      </c>
    </row>
    <row r="199" spans="1:5">
      <c r="A199" s="1">
        <v>44483</v>
      </c>
      <c r="B199">
        <v>818.32000700000003</v>
      </c>
      <c r="C199">
        <f t="shared" si="6"/>
        <v>8.9263572622330246E-3</v>
      </c>
      <c r="D199">
        <v>143.759995</v>
      </c>
      <c r="E199">
        <f t="shared" si="7"/>
        <v>2.0225611518682643E-2</v>
      </c>
    </row>
    <row r="200" spans="1:5">
      <c r="A200" s="1">
        <v>44484</v>
      </c>
      <c r="B200">
        <v>843.03002900000001</v>
      </c>
      <c r="C200">
        <f t="shared" si="6"/>
        <v>3.0196037966355109E-2</v>
      </c>
      <c r="D200">
        <v>144.83999600000001</v>
      </c>
      <c r="E200">
        <f t="shared" si="7"/>
        <v>7.5125280854385808E-3</v>
      </c>
    </row>
    <row r="201" spans="1:5">
      <c r="A201" s="1">
        <v>44487</v>
      </c>
      <c r="B201">
        <v>870.10998500000005</v>
      </c>
      <c r="C201">
        <f t="shared" si="6"/>
        <v>3.2122172483134689E-2</v>
      </c>
      <c r="D201">
        <v>146.550003</v>
      </c>
      <c r="E201">
        <f t="shared" si="7"/>
        <v>1.1806179558303704E-2</v>
      </c>
    </row>
    <row r="202" spans="1:5">
      <c r="A202" s="1">
        <v>44488</v>
      </c>
      <c r="B202">
        <v>864.27002000000005</v>
      </c>
      <c r="C202">
        <f t="shared" si="6"/>
        <v>-6.7117549513007902E-3</v>
      </c>
      <c r="D202">
        <v>148.759995</v>
      </c>
      <c r="E202">
        <f t="shared" si="7"/>
        <v>1.5080122516271799E-2</v>
      </c>
    </row>
    <row r="203" spans="1:5">
      <c r="A203" s="1">
        <v>44489</v>
      </c>
      <c r="B203">
        <v>865.79998799999998</v>
      </c>
      <c r="C203">
        <f t="shared" si="6"/>
        <v>1.7702430543638894E-3</v>
      </c>
      <c r="D203">
        <v>149.259995</v>
      </c>
      <c r="E203">
        <f t="shared" si="7"/>
        <v>3.3611186932346964E-3</v>
      </c>
    </row>
    <row r="204" spans="1:5">
      <c r="A204" s="1">
        <v>44490</v>
      </c>
      <c r="B204">
        <v>894</v>
      </c>
      <c r="C204">
        <f t="shared" si="6"/>
        <v>3.2571046882481608E-2</v>
      </c>
      <c r="D204">
        <v>149.479996</v>
      </c>
      <c r="E204">
        <f t="shared" si="7"/>
        <v>1.4739448436936926E-3</v>
      </c>
    </row>
    <row r="205" spans="1:5">
      <c r="A205" s="1">
        <v>44491</v>
      </c>
      <c r="B205">
        <v>909.67999299999997</v>
      </c>
      <c r="C205">
        <f t="shared" si="6"/>
        <v>1.7539142058165511E-2</v>
      </c>
      <c r="D205">
        <v>148.69000199999999</v>
      </c>
      <c r="E205">
        <f t="shared" si="7"/>
        <v>-5.2849479605284926E-3</v>
      </c>
    </row>
    <row r="206" spans="1:5">
      <c r="A206" s="1">
        <v>44494</v>
      </c>
      <c r="B206">
        <v>1024.8599850000001</v>
      </c>
      <c r="C206">
        <f t="shared" si="6"/>
        <v>0.1266159450425553</v>
      </c>
      <c r="D206">
        <v>148.63999899999999</v>
      </c>
      <c r="E206">
        <f t="shared" si="7"/>
        <v>-3.3629026382018477E-4</v>
      </c>
    </row>
    <row r="207" spans="1:5">
      <c r="A207" s="1">
        <v>44495</v>
      </c>
      <c r="B207">
        <v>1018.429993</v>
      </c>
      <c r="C207">
        <f t="shared" si="6"/>
        <v>-6.2740199579556068E-3</v>
      </c>
      <c r="D207">
        <v>149.320007</v>
      </c>
      <c r="E207">
        <f t="shared" si="7"/>
        <v>4.5748654774951597E-3</v>
      </c>
    </row>
    <row r="208" spans="1:5">
      <c r="A208" s="1">
        <v>44496</v>
      </c>
      <c r="B208">
        <v>1037.8599850000001</v>
      </c>
      <c r="C208">
        <f t="shared" si="6"/>
        <v>1.9078377633758557E-2</v>
      </c>
      <c r="D208">
        <v>148.85000600000001</v>
      </c>
      <c r="E208">
        <f t="shared" si="7"/>
        <v>-3.1476090139749076E-3</v>
      </c>
    </row>
    <row r="209" spans="1:5">
      <c r="A209" s="1">
        <v>44497</v>
      </c>
      <c r="B209">
        <v>1077.040039</v>
      </c>
      <c r="C209">
        <f t="shared" si="6"/>
        <v>3.7750808939801185E-2</v>
      </c>
      <c r="D209">
        <v>152.570007</v>
      </c>
      <c r="E209">
        <f t="shared" si="7"/>
        <v>2.4991607994963711E-2</v>
      </c>
    </row>
    <row r="210" spans="1:5">
      <c r="A210" s="1">
        <v>44498</v>
      </c>
      <c r="B210">
        <v>1114</v>
      </c>
      <c r="C210">
        <f t="shared" si="6"/>
        <v>3.4316236780125887E-2</v>
      </c>
      <c r="D210">
        <v>149.800003</v>
      </c>
      <c r="E210">
        <f t="shared" si="7"/>
        <v>-1.81556260923551E-2</v>
      </c>
    </row>
    <row r="211" spans="1:5">
      <c r="A211" s="1">
        <v>44501</v>
      </c>
      <c r="B211">
        <v>1208.589966</v>
      </c>
      <c r="C211">
        <f t="shared" si="6"/>
        <v>8.4910202872531426E-2</v>
      </c>
      <c r="D211">
        <v>148.96000699999999</v>
      </c>
      <c r="E211">
        <f t="shared" si="7"/>
        <v>-5.6074498209456878E-3</v>
      </c>
    </row>
    <row r="212" spans="1:5">
      <c r="A212" s="1">
        <v>44502</v>
      </c>
      <c r="B212">
        <v>1172</v>
      </c>
      <c r="C212">
        <f t="shared" si="6"/>
        <v>-3.0274921213436588E-2</v>
      </c>
      <c r="D212">
        <v>150.020004</v>
      </c>
      <c r="E212">
        <f t="shared" si="7"/>
        <v>7.1159838224229537E-3</v>
      </c>
    </row>
    <row r="213" spans="1:5">
      <c r="A213" s="1">
        <v>44503</v>
      </c>
      <c r="B213">
        <v>1213.8599850000001</v>
      </c>
      <c r="C213">
        <f t="shared" si="6"/>
        <v>3.5716710750853288E-2</v>
      </c>
      <c r="D213">
        <v>151.490005</v>
      </c>
      <c r="E213">
        <f t="shared" si="7"/>
        <v>9.7986999120463717E-3</v>
      </c>
    </row>
    <row r="214" spans="1:5">
      <c r="A214" s="1">
        <v>44504</v>
      </c>
      <c r="B214">
        <v>1229.910034</v>
      </c>
      <c r="C214">
        <f t="shared" si="6"/>
        <v>1.3222323166044513E-2</v>
      </c>
      <c r="D214">
        <v>150.96000699999999</v>
      </c>
      <c r="E214">
        <f t="shared" si="7"/>
        <v>-3.4985674467434744E-3</v>
      </c>
    </row>
    <row r="215" spans="1:5">
      <c r="A215" s="1">
        <v>44505</v>
      </c>
      <c r="B215">
        <v>1222.089966</v>
      </c>
      <c r="C215">
        <f t="shared" si="6"/>
        <v>-6.3582439233925234E-3</v>
      </c>
      <c r="D215">
        <v>151.279999</v>
      </c>
      <c r="E215">
        <f t="shared" si="7"/>
        <v>2.1197137331877137E-3</v>
      </c>
    </row>
    <row r="216" spans="1:5">
      <c r="A216" s="1">
        <v>44508</v>
      </c>
      <c r="B216">
        <v>1162.9399410000001</v>
      </c>
      <c r="C216">
        <f t="shared" si="6"/>
        <v>-4.8400712423491019E-2</v>
      </c>
      <c r="D216">
        <v>150.44000199999999</v>
      </c>
      <c r="E216">
        <f t="shared" si="7"/>
        <v>-5.5525978685391914E-3</v>
      </c>
    </row>
    <row r="217" spans="1:5">
      <c r="A217" s="1">
        <v>44509</v>
      </c>
      <c r="B217">
        <v>1023.5</v>
      </c>
      <c r="C217">
        <f t="shared" si="6"/>
        <v>-0.11990295980383743</v>
      </c>
      <c r="D217">
        <v>150.80999800000001</v>
      </c>
      <c r="E217">
        <f t="shared" si="7"/>
        <v>2.4594256519620003E-3</v>
      </c>
    </row>
    <row r="218" spans="1:5">
      <c r="A218" s="1">
        <v>44510</v>
      </c>
      <c r="B218">
        <v>1067.9499510000001</v>
      </c>
      <c r="C218">
        <f t="shared" si="6"/>
        <v>4.3429361016121208E-2</v>
      </c>
      <c r="D218">
        <v>147.91999799999999</v>
      </c>
      <c r="E218">
        <f t="shared" si="7"/>
        <v>-1.9163185719291733E-2</v>
      </c>
    </row>
    <row r="219" spans="1:5">
      <c r="A219" s="1">
        <v>44511</v>
      </c>
      <c r="B219">
        <v>1063.51001</v>
      </c>
      <c r="C219">
        <f t="shared" si="6"/>
        <v>-4.1574429549274729E-3</v>
      </c>
      <c r="D219">
        <v>147.86999499999999</v>
      </c>
      <c r="E219">
        <f t="shared" si="7"/>
        <v>-3.3804083745325497E-4</v>
      </c>
    </row>
    <row r="220" spans="1:5">
      <c r="A220" s="1">
        <v>44512</v>
      </c>
      <c r="B220">
        <v>1033.420044</v>
      </c>
      <c r="C220">
        <f t="shared" si="6"/>
        <v>-2.829307267169023E-2</v>
      </c>
      <c r="D220">
        <v>149.990005</v>
      </c>
      <c r="E220">
        <f t="shared" si="7"/>
        <v>1.4336985674477151E-2</v>
      </c>
    </row>
    <row r="221" spans="1:5">
      <c r="A221" s="1">
        <v>44515</v>
      </c>
      <c r="B221">
        <v>1013.3900149999999</v>
      </c>
      <c r="C221">
        <f t="shared" si="6"/>
        <v>-1.9382272596988659E-2</v>
      </c>
      <c r="D221">
        <v>150</v>
      </c>
      <c r="E221">
        <f t="shared" si="7"/>
        <v>6.6637773630339768E-5</v>
      </c>
    </row>
    <row r="222" spans="1:5">
      <c r="A222" s="1">
        <v>44516</v>
      </c>
      <c r="B222">
        <v>1054.7299800000001</v>
      </c>
      <c r="C222">
        <f t="shared" si="6"/>
        <v>4.0793736259578321E-2</v>
      </c>
      <c r="D222">
        <v>151</v>
      </c>
      <c r="E222">
        <f t="shared" si="7"/>
        <v>6.6666666666666671E-3</v>
      </c>
    </row>
    <row r="223" spans="1:5">
      <c r="A223" s="1">
        <v>44517</v>
      </c>
      <c r="B223">
        <v>1089.01001</v>
      </c>
      <c r="C223">
        <f t="shared" si="6"/>
        <v>3.2501237899770226E-2</v>
      </c>
      <c r="D223">
        <v>153.490005</v>
      </c>
      <c r="E223">
        <f t="shared" si="7"/>
        <v>1.649009933774832E-2</v>
      </c>
    </row>
    <row r="224" spans="1:5">
      <c r="A224" s="1">
        <v>44518</v>
      </c>
      <c r="B224">
        <v>1096.380005</v>
      </c>
      <c r="C224">
        <f t="shared" si="6"/>
        <v>6.7676099689845982E-3</v>
      </c>
      <c r="D224">
        <v>157.86999499999999</v>
      </c>
      <c r="E224">
        <f t="shared" si="7"/>
        <v>2.8535994900775411E-2</v>
      </c>
    </row>
    <row r="225" spans="1:5">
      <c r="A225" s="1">
        <v>44519</v>
      </c>
      <c r="B225">
        <v>1137.0600589999999</v>
      </c>
      <c r="C225">
        <f t="shared" si="6"/>
        <v>3.7103972905817385E-2</v>
      </c>
      <c r="D225">
        <v>160.550003</v>
      </c>
      <c r="E225">
        <f t="shared" si="7"/>
        <v>1.6976044117819951E-2</v>
      </c>
    </row>
    <row r="226" spans="1:5">
      <c r="A226" s="1">
        <v>44522</v>
      </c>
      <c r="B226">
        <v>1156.869995</v>
      </c>
      <c r="C226">
        <f t="shared" si="6"/>
        <v>1.7422066533074931E-2</v>
      </c>
      <c r="D226">
        <v>161.020004</v>
      </c>
      <c r="E226">
        <f t="shared" si="7"/>
        <v>2.9274431094217812E-3</v>
      </c>
    </row>
    <row r="227" spans="1:5">
      <c r="A227" s="1">
        <v>44523</v>
      </c>
      <c r="B227">
        <v>1109.030029</v>
      </c>
      <c r="C227">
        <f t="shared" si="6"/>
        <v>-4.135293179593616E-2</v>
      </c>
      <c r="D227">
        <v>161.41000399999999</v>
      </c>
      <c r="E227">
        <f t="shared" si="7"/>
        <v>2.4220593113386483E-3</v>
      </c>
    </row>
    <row r="228" spans="1:5">
      <c r="A228" s="1">
        <v>44524</v>
      </c>
      <c r="B228">
        <v>1116</v>
      </c>
      <c r="C228">
        <f t="shared" si="6"/>
        <v>6.2847450634720249E-3</v>
      </c>
      <c r="D228">
        <v>161.94000199999999</v>
      </c>
      <c r="E228">
        <f t="shared" si="7"/>
        <v>3.2835511236342344E-3</v>
      </c>
    </row>
    <row r="229" spans="1:5">
      <c r="A229" s="1">
        <v>44526</v>
      </c>
      <c r="B229">
        <v>1081.920044</v>
      </c>
      <c r="C229">
        <f t="shared" si="6"/>
        <v>-3.0537594982078888E-2</v>
      </c>
      <c r="D229">
        <v>156.80999800000001</v>
      </c>
      <c r="E229">
        <f t="shared" si="7"/>
        <v>-3.1678423716457564E-2</v>
      </c>
    </row>
    <row r="230" spans="1:5">
      <c r="A230" s="1">
        <v>44529</v>
      </c>
      <c r="B230">
        <v>1136.98999</v>
      </c>
      <c r="C230">
        <f t="shared" si="6"/>
        <v>5.0900199423609231E-2</v>
      </c>
      <c r="D230">
        <v>160.240005</v>
      </c>
      <c r="E230">
        <f t="shared" si="7"/>
        <v>2.1873649918674121E-2</v>
      </c>
    </row>
    <row r="231" spans="1:5">
      <c r="A231" s="1">
        <v>44530</v>
      </c>
      <c r="B231">
        <v>1144.76001</v>
      </c>
      <c r="C231">
        <f t="shared" si="6"/>
        <v>6.8338508415539626E-3</v>
      </c>
      <c r="D231">
        <v>165.300003</v>
      </c>
      <c r="E231">
        <f t="shared" si="7"/>
        <v>3.1577620083074805E-2</v>
      </c>
    </row>
    <row r="232" spans="1:5">
      <c r="A232" s="1">
        <v>44531</v>
      </c>
      <c r="B232">
        <v>1095</v>
      </c>
      <c r="C232">
        <f t="shared" si="6"/>
        <v>-4.346763475778645E-2</v>
      </c>
      <c r="D232">
        <v>164.770004</v>
      </c>
      <c r="E232">
        <f t="shared" si="7"/>
        <v>-3.2062854832495295E-3</v>
      </c>
    </row>
    <row r="233" spans="1:5">
      <c r="A233" s="1">
        <v>44532</v>
      </c>
      <c r="B233">
        <v>1084.599976</v>
      </c>
      <c r="C233">
        <f t="shared" si="6"/>
        <v>-9.4977388127854157E-3</v>
      </c>
      <c r="D233">
        <v>163.759995</v>
      </c>
      <c r="E233">
        <f t="shared" si="7"/>
        <v>-6.1298111032393769E-3</v>
      </c>
    </row>
    <row r="234" spans="1:5">
      <c r="A234" s="1">
        <v>44533</v>
      </c>
      <c r="B234">
        <v>1014.969971</v>
      </c>
      <c r="C234">
        <f t="shared" si="6"/>
        <v>-6.4198788992043995E-2</v>
      </c>
      <c r="D234">
        <v>161.83999600000001</v>
      </c>
      <c r="E234">
        <f t="shared" si="7"/>
        <v>-1.1724469092710891E-2</v>
      </c>
    </row>
    <row r="235" spans="1:5">
      <c r="A235" s="1">
        <v>44536</v>
      </c>
      <c r="B235">
        <v>1009.01001</v>
      </c>
      <c r="C235">
        <f t="shared" si="6"/>
        <v>-5.8720564847134981E-3</v>
      </c>
      <c r="D235">
        <v>165.320007</v>
      </c>
      <c r="E235">
        <f t="shared" si="7"/>
        <v>2.1502787234374314E-2</v>
      </c>
    </row>
    <row r="236" spans="1:5">
      <c r="A236" s="1">
        <v>44537</v>
      </c>
      <c r="B236">
        <v>1051.75</v>
      </c>
      <c r="C236">
        <f t="shared" si="6"/>
        <v>4.2358340924685212E-2</v>
      </c>
      <c r="D236">
        <v>171.179993</v>
      </c>
      <c r="E236">
        <f t="shared" si="7"/>
        <v>3.5446320783182592E-2</v>
      </c>
    </row>
    <row r="237" spans="1:5">
      <c r="A237" s="1">
        <v>44538</v>
      </c>
      <c r="B237">
        <v>1068.959961</v>
      </c>
      <c r="C237">
        <f t="shared" si="6"/>
        <v>1.6363167102448322E-2</v>
      </c>
      <c r="D237">
        <v>175.08000200000001</v>
      </c>
      <c r="E237">
        <f t="shared" si="7"/>
        <v>2.2783088909227912E-2</v>
      </c>
    </row>
    <row r="238" spans="1:5">
      <c r="A238" s="1">
        <v>44539</v>
      </c>
      <c r="B238">
        <v>1003.799988</v>
      </c>
      <c r="C238">
        <f t="shared" si="6"/>
        <v>-6.0956420611903567E-2</v>
      </c>
      <c r="D238">
        <v>174.55999800000001</v>
      </c>
      <c r="E238">
        <f t="shared" si="7"/>
        <v>-2.970093637536057E-3</v>
      </c>
    </row>
    <row r="239" spans="1:5">
      <c r="A239" s="1">
        <v>44540</v>
      </c>
      <c r="B239">
        <v>1017.030029</v>
      </c>
      <c r="C239">
        <f t="shared" si="6"/>
        <v>1.3179957320342215E-2</v>
      </c>
      <c r="D239">
        <v>179.449997</v>
      </c>
      <c r="E239">
        <f t="shared" si="7"/>
        <v>2.8013285151389546E-2</v>
      </c>
    </row>
    <row r="240" spans="1:5">
      <c r="A240" s="1">
        <v>44543</v>
      </c>
      <c r="B240">
        <v>966.40997300000004</v>
      </c>
      <c r="C240">
        <f t="shared" si="6"/>
        <v>-4.9772430072465415E-2</v>
      </c>
      <c r="D240">
        <v>175.740005</v>
      </c>
      <c r="E240">
        <f t="shared" si="7"/>
        <v>-2.0674238294916214E-2</v>
      </c>
    </row>
    <row r="241" spans="1:5">
      <c r="A241" s="1">
        <v>44544</v>
      </c>
      <c r="B241">
        <v>958.51000999999997</v>
      </c>
      <c r="C241">
        <f t="shared" si="6"/>
        <v>-8.1745462285291118E-3</v>
      </c>
      <c r="D241">
        <v>174.33000200000001</v>
      </c>
      <c r="E241">
        <f t="shared" si="7"/>
        <v>-8.0232329571174703E-3</v>
      </c>
    </row>
    <row r="242" spans="1:5">
      <c r="A242" s="1">
        <v>44545</v>
      </c>
      <c r="B242">
        <v>975.98999000000003</v>
      </c>
      <c r="C242">
        <f t="shared" si="6"/>
        <v>1.8236617059429635E-2</v>
      </c>
      <c r="D242">
        <v>179.300003</v>
      </c>
      <c r="E242">
        <f t="shared" si="7"/>
        <v>2.8509154723694641E-2</v>
      </c>
    </row>
    <row r="243" spans="1:5">
      <c r="A243" s="1">
        <v>44546</v>
      </c>
      <c r="B243">
        <v>926.919983</v>
      </c>
      <c r="C243">
        <f t="shared" si="6"/>
        <v>-5.0277162166386592E-2</v>
      </c>
      <c r="D243">
        <v>172.259995</v>
      </c>
      <c r="E243">
        <f t="shared" si="7"/>
        <v>-3.9263847641988051E-2</v>
      </c>
    </row>
    <row r="244" spans="1:5">
      <c r="A244" s="1">
        <v>44547</v>
      </c>
      <c r="B244">
        <v>932.57000700000003</v>
      </c>
      <c r="C244">
        <f t="shared" si="6"/>
        <v>6.095481922521062E-3</v>
      </c>
      <c r="D244">
        <v>171.13999899999999</v>
      </c>
      <c r="E244">
        <f t="shared" si="7"/>
        <v>-6.5017765732549486E-3</v>
      </c>
    </row>
    <row r="245" spans="1:5">
      <c r="A245" s="1">
        <v>44550</v>
      </c>
      <c r="B245">
        <v>899.94000200000005</v>
      </c>
      <c r="C245">
        <f t="shared" si="6"/>
        <v>-3.4989335658529262E-2</v>
      </c>
      <c r="D245">
        <v>169.75</v>
      </c>
      <c r="E245">
        <f t="shared" si="7"/>
        <v>-8.1219995800046081E-3</v>
      </c>
    </row>
    <row r="246" spans="1:5">
      <c r="A246" s="1">
        <v>44551</v>
      </c>
      <c r="B246">
        <v>938.53002900000001</v>
      </c>
      <c r="C246">
        <f t="shared" si="6"/>
        <v>4.288066639358027E-2</v>
      </c>
      <c r="D246">
        <v>172.990005</v>
      </c>
      <c r="E246">
        <f t="shared" si="7"/>
        <v>1.9086921944035325E-2</v>
      </c>
    </row>
    <row r="247" spans="1:5">
      <c r="A247" s="1">
        <v>44552</v>
      </c>
      <c r="B247">
        <v>1008.869995</v>
      </c>
      <c r="C247">
        <f t="shared" si="6"/>
        <v>7.494695302924613E-2</v>
      </c>
      <c r="D247">
        <v>175.63999899999999</v>
      </c>
      <c r="E247">
        <f t="shared" si="7"/>
        <v>1.5318769428326176E-2</v>
      </c>
    </row>
    <row r="248" spans="1:5">
      <c r="A248" s="1">
        <v>44553</v>
      </c>
      <c r="B248">
        <v>1067</v>
      </c>
      <c r="C248">
        <f t="shared" si="6"/>
        <v>5.761892541962256E-2</v>
      </c>
      <c r="D248">
        <v>176.279999</v>
      </c>
      <c r="E248">
        <f t="shared" si="7"/>
        <v>3.6438169189468897E-3</v>
      </c>
    </row>
    <row r="249" spans="1:5">
      <c r="A249" s="1">
        <v>44557</v>
      </c>
      <c r="B249">
        <v>1093.9399410000001</v>
      </c>
      <c r="C249">
        <f t="shared" si="6"/>
        <v>2.5248304592314984E-2</v>
      </c>
      <c r="D249">
        <v>180.33000200000001</v>
      </c>
      <c r="E249">
        <f t="shared" si="7"/>
        <v>2.2974829946532979E-2</v>
      </c>
    </row>
    <row r="250" spans="1:5">
      <c r="A250" s="1">
        <v>44558</v>
      </c>
      <c r="B250">
        <v>1088.469971</v>
      </c>
      <c r="C250">
        <f t="shared" si="6"/>
        <v>-5.0002470839485532E-3</v>
      </c>
      <c r="D250">
        <v>179.28999300000001</v>
      </c>
      <c r="E250">
        <f t="shared" si="7"/>
        <v>-5.7672544139382737E-3</v>
      </c>
    </row>
    <row r="251" spans="1:5">
      <c r="A251" s="1">
        <v>44559</v>
      </c>
      <c r="B251">
        <v>1086.1899410000001</v>
      </c>
      <c r="C251">
        <f t="shared" si="6"/>
        <v>-2.0947109803177997E-3</v>
      </c>
      <c r="D251">
        <v>179.38000500000001</v>
      </c>
      <c r="E251">
        <f t="shared" si="7"/>
        <v>5.0204698262217864E-4</v>
      </c>
    </row>
    <row r="252" spans="1:5">
      <c r="A252" s="1">
        <v>44560</v>
      </c>
      <c r="B252">
        <v>1070.339966</v>
      </c>
      <c r="C252">
        <f t="shared" si="6"/>
        <v>-1.4592268259645101E-2</v>
      </c>
      <c r="D252">
        <v>178.199997</v>
      </c>
      <c r="E252">
        <f t="shared" si="7"/>
        <v>-6.5782582623967198E-3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5FBF2-9D8B-4326-B8BA-29DA6F829E1C}">
  <dimension ref="A1:AB29"/>
  <sheetViews>
    <sheetView topLeftCell="B1" workbookViewId="0">
      <selection activeCell="O3" sqref="O3"/>
    </sheetView>
  </sheetViews>
  <sheetFormatPr defaultRowHeight="15"/>
  <cols>
    <col min="1" max="1" width="12.85546875" customWidth="1"/>
    <col min="10" max="10" width="11.85546875" customWidth="1"/>
    <col min="24" max="24" width="23.85546875" customWidth="1"/>
  </cols>
  <sheetData>
    <row r="1" spans="1:28">
      <c r="A1" s="2" t="s">
        <v>8</v>
      </c>
      <c r="B1" s="2" t="s">
        <v>9</v>
      </c>
      <c r="C1" s="2" t="s">
        <v>10</v>
      </c>
      <c r="H1" s="2" t="s">
        <v>16</v>
      </c>
      <c r="I1" s="2" t="s">
        <v>18</v>
      </c>
      <c r="J1" s="2" t="s">
        <v>19</v>
      </c>
      <c r="K1" s="2"/>
      <c r="L1" s="2" t="s">
        <v>17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</row>
    <row r="2" spans="1:28">
      <c r="A2">
        <v>165</v>
      </c>
      <c r="B2">
        <v>100</v>
      </c>
      <c r="C2">
        <v>-50</v>
      </c>
      <c r="E2" s="2" t="s">
        <v>11</v>
      </c>
      <c r="F2">
        <f>1/12</f>
        <v>8.3333333333333329E-2</v>
      </c>
      <c r="H2" s="6">
        <f>(LN(170/A2)+(0.04+(0.35^2)/2)*(1/12)) / (0.35*SQRT(1/12))</f>
        <v>0.37897730068909447</v>
      </c>
      <c r="I2">
        <f>_xlfn.NORM.DIST(H2, 0, 1, TRUE)</f>
        <v>0.64764763990708452</v>
      </c>
      <c r="J2">
        <f>(1/SQRTPI(2))*EXP((-H2^2)/2)</f>
        <v>0.42864481674045501</v>
      </c>
      <c r="K2" s="7"/>
      <c r="L2">
        <f>170</f>
        <v>170</v>
      </c>
      <c r="N2" s="2" t="s">
        <v>14</v>
      </c>
      <c r="O2">
        <f>I2</f>
        <v>0.64764763990708452</v>
      </c>
      <c r="P2">
        <f>O2 -1</f>
        <v>-0.35235236009291548</v>
      </c>
      <c r="Q2">
        <f>I3</f>
        <v>0.53327682484095118</v>
      </c>
      <c r="R2">
        <f>Q2-1</f>
        <v>-0.46672317515904882</v>
      </c>
      <c r="S2">
        <f>I4</f>
        <v>0.41941408502501093</v>
      </c>
      <c r="T2">
        <f>S2-1</f>
        <v>-0.58058591497498901</v>
      </c>
      <c r="U2">
        <f>B2*O2+C2*P2+B3*Q2+C3*R2+B4*S2+C4*T2</f>
        <v>158.71653303440044</v>
      </c>
    </row>
    <row r="3" spans="1:28">
      <c r="A3">
        <v>170</v>
      </c>
      <c r="B3">
        <v>150</v>
      </c>
      <c r="C3">
        <v>-100</v>
      </c>
      <c r="E3" s="2" t="s">
        <v>12</v>
      </c>
      <c r="F3">
        <f>0.04</f>
        <v>0.04</v>
      </c>
      <c r="H3" s="6">
        <f>(LN(170/A3)+(0.04+(0.35^2)/2)*(1/12))/(0.35*SQRT(1/12))</f>
        <v>8.3509592507785155E-2</v>
      </c>
      <c r="I3">
        <f t="shared" ref="I3:I4" si="0">_xlfn.NORM.DIST(H3, 0, 1, TRUE)</f>
        <v>0.53327682484095118</v>
      </c>
      <c r="J3">
        <f t="shared" ref="J3:J4" si="1">(1/SQRTPI(2))*EXP((-H3^2)/2)</f>
        <v>0.40033579074140374</v>
      </c>
      <c r="K3" s="7"/>
      <c r="L3">
        <f>175</f>
        <v>175</v>
      </c>
      <c r="N3" s="2" t="s">
        <v>15</v>
      </c>
      <c r="O3">
        <f>J2/(170*F4*SQRT(1/12))</f>
        <v>2.4955784907412393E-2</v>
      </c>
      <c r="P3">
        <v>2.4955784907412393E-2</v>
      </c>
      <c r="Q3">
        <f>J3/(170*0.35*SQRT(1/12))</f>
        <v>2.3307627887474744E-2</v>
      </c>
      <c r="R3">
        <v>2.3307627887474744E-2</v>
      </c>
      <c r="S3">
        <f>J4/(170*0.35*SQRT(1/12))</f>
        <v>2.3711923820959789E-2</v>
      </c>
      <c r="T3">
        <v>2.3711923820959789E-2</v>
      </c>
      <c r="U3">
        <f>B2*O3+C2*P3+B3*Q3+(C3)*R3+B4*S3+C4*T3</f>
        <v>-0.43226021877081777</v>
      </c>
    </row>
    <row r="4" spans="1:28">
      <c r="A4">
        <v>175</v>
      </c>
      <c r="B4">
        <v>-120</v>
      </c>
      <c r="C4">
        <v>0</v>
      </c>
      <c r="E4" s="7" t="s">
        <v>13</v>
      </c>
      <c r="F4">
        <v>0.35</v>
      </c>
      <c r="H4" s="6">
        <f>(LN(170/A4)+(0.04+(0.35^2)/2)*(1/12))/(0.35*SQRT(1/12))</f>
        <v>-0.20339261692506772</v>
      </c>
      <c r="I4">
        <f t="shared" si="0"/>
        <v>0.41941408502501093</v>
      </c>
      <c r="J4">
        <f t="shared" si="1"/>
        <v>0.40728004663079215</v>
      </c>
      <c r="K4" s="7"/>
      <c r="L4">
        <f>165</f>
        <v>165</v>
      </c>
      <c r="N4" s="2" t="s">
        <v>20</v>
      </c>
      <c r="O4">
        <f>J2*170*SQRT(1/12)</f>
        <v>21.035647028206359</v>
      </c>
      <c r="P4">
        <v>21.035647028206359</v>
      </c>
      <c r="Q4">
        <f>J3*170*SQRT(1/12)</f>
        <v>19.646388006817247</v>
      </c>
      <c r="R4">
        <v>19.646388006817247</v>
      </c>
      <c r="S4">
        <f>J4*170*SQRT(1/12)</f>
        <v>19.98717578741735</v>
      </c>
      <c r="T4">
        <v>19.98717578741735</v>
      </c>
      <c r="U4">
        <f>B2*O4+C2*P4+B3*Q4+C3*R4+B4*S4+C4*T4</f>
        <v>-364.35934273890143</v>
      </c>
    </row>
    <row r="5" spans="1:28">
      <c r="H5" s="7"/>
      <c r="K5" s="7"/>
      <c r="X5" s="8" t="s">
        <v>38</v>
      </c>
    </row>
    <row r="6" spans="1:28">
      <c r="H6" s="7"/>
      <c r="K6" s="7"/>
      <c r="X6" s="2" t="s">
        <v>28</v>
      </c>
      <c r="Y6" t="s">
        <v>30</v>
      </c>
      <c r="Z6" t="s">
        <v>31</v>
      </c>
    </row>
    <row r="7" spans="1:28">
      <c r="H7" s="7"/>
      <c r="K7" s="7"/>
      <c r="X7" s="2" t="s">
        <v>29</v>
      </c>
      <c r="Y7">
        <v>158.7165</v>
      </c>
      <c r="Z7">
        <f>Y7*170</f>
        <v>26981.805</v>
      </c>
    </row>
    <row r="8" spans="1:28">
      <c r="X8" s="2" t="s">
        <v>32</v>
      </c>
      <c r="AB8">
        <f>0.5*U3*(175-170)^2</f>
        <v>-5.4032527346352222</v>
      </c>
    </row>
    <row r="10" spans="1:28">
      <c r="X10" s="2" t="s">
        <v>33</v>
      </c>
    </row>
    <row r="11" spans="1:28">
      <c r="X11" s="2" t="s">
        <v>34</v>
      </c>
      <c r="Y11">
        <f>U3/Q3</f>
        <v>-18.545869226061804</v>
      </c>
    </row>
    <row r="12" spans="1:28">
      <c r="X12" s="2" t="s">
        <v>35</v>
      </c>
      <c r="Y12">
        <v>18.5459</v>
      </c>
    </row>
    <row r="13" spans="1:28">
      <c r="X13" s="2" t="s">
        <v>36</v>
      </c>
      <c r="Y13">
        <f>B3+Y12</f>
        <v>168.54589999999999</v>
      </c>
    </row>
    <row r="14" spans="1:28">
      <c r="X14" s="2" t="s">
        <v>37</v>
      </c>
      <c r="Y14">
        <f>U2+Y12*Q2</f>
        <v>168.60663170021823</v>
      </c>
    </row>
    <row r="15" spans="1:28">
      <c r="X15" s="2" t="s">
        <v>60</v>
      </c>
      <c r="Y15">
        <v>168.60663170021823</v>
      </c>
      <c r="Z15">
        <f>Y15*170</f>
        <v>28663.127389037098</v>
      </c>
    </row>
    <row r="16" spans="1:28">
      <c r="X16" s="2" t="s">
        <v>32</v>
      </c>
      <c r="AB16">
        <f>0</f>
        <v>0</v>
      </c>
    </row>
    <row r="18" spans="24:28">
      <c r="X18" s="8" t="s">
        <v>39</v>
      </c>
    </row>
    <row r="19" spans="24:28">
      <c r="X19" s="2" t="s">
        <v>28</v>
      </c>
    </row>
    <row r="20" spans="24:28">
      <c r="X20" s="2" t="s">
        <v>32</v>
      </c>
      <c r="AB20">
        <f>0.5*U3*(165-170)^2</f>
        <v>-5.4032527346352222</v>
      </c>
    </row>
    <row r="21" spans="24:28">
      <c r="X21" s="2" t="s">
        <v>33</v>
      </c>
      <c r="AB21">
        <f>0</f>
        <v>0</v>
      </c>
    </row>
    <row r="23" spans="24:28">
      <c r="X23" s="2"/>
    </row>
    <row r="24" spans="24:28">
      <c r="X24" s="2"/>
    </row>
    <row r="25" spans="24:28">
      <c r="X25" s="2"/>
    </row>
    <row r="26" spans="24:28">
      <c r="X26" s="2"/>
    </row>
    <row r="27" spans="24:28">
      <c r="X27" s="2"/>
    </row>
    <row r="28" spans="24:28">
      <c r="X28" s="2"/>
    </row>
    <row r="29" spans="24:28">
      <c r="X29" s="2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BDD1-C530-4173-AA9C-803C236E4440}">
  <dimension ref="A1:AC252"/>
  <sheetViews>
    <sheetView workbookViewId="0">
      <selection activeCell="AD11" sqref="AD11"/>
    </sheetView>
  </sheetViews>
  <sheetFormatPr defaultRowHeight="15"/>
  <cols>
    <col min="1" max="1" width="27.140625" customWidth="1"/>
    <col min="12" max="12" width="10.85546875" customWidth="1"/>
    <col min="13" max="13" width="17.7109375" customWidth="1"/>
    <col min="14" max="14" width="10.28515625" customWidth="1"/>
    <col min="17" max="17" width="18.42578125" customWidth="1"/>
    <col min="19" max="19" width="18.42578125" customWidth="1"/>
    <col min="20" max="20" width="9.5703125" customWidth="1"/>
  </cols>
  <sheetData>
    <row r="1" spans="1:29">
      <c r="B1" s="2" t="s">
        <v>7</v>
      </c>
      <c r="C1" s="2" t="s">
        <v>6</v>
      </c>
      <c r="E1" t="s">
        <v>41</v>
      </c>
      <c r="L1" s="2" t="s">
        <v>0</v>
      </c>
      <c r="M1" s="2" t="s">
        <v>1</v>
      </c>
      <c r="N1" s="2" t="s">
        <v>52</v>
      </c>
      <c r="P1" s="2" t="s">
        <v>76</v>
      </c>
      <c r="Q1" s="2"/>
      <c r="R1" s="2" t="s">
        <v>54</v>
      </c>
      <c r="S1" s="2" t="s">
        <v>3</v>
      </c>
      <c r="T1" s="2" t="s">
        <v>52</v>
      </c>
      <c r="V1" s="2" t="s">
        <v>77</v>
      </c>
      <c r="Y1" s="2" t="s">
        <v>54</v>
      </c>
      <c r="Z1" s="2" t="s">
        <v>78</v>
      </c>
      <c r="AC1" s="2" t="s">
        <v>54</v>
      </c>
    </row>
    <row r="2" spans="1:29">
      <c r="A2" s="2" t="s">
        <v>5</v>
      </c>
      <c r="B2">
        <v>0.10298508091209546</v>
      </c>
      <c r="C2">
        <v>0.20617098424876923</v>
      </c>
      <c r="E2" t="s">
        <v>42</v>
      </c>
      <c r="L2" s="1">
        <v>44200</v>
      </c>
      <c r="M2">
        <v>729.77002000000005</v>
      </c>
      <c r="Q2" t="s">
        <v>53</v>
      </c>
      <c r="R2" s="9">
        <f>AVERAGE(Q3:Q6)</f>
        <v>-91051.626885985926</v>
      </c>
      <c r="S2">
        <v>129.41000399999999</v>
      </c>
      <c r="W2" t="s">
        <v>53</v>
      </c>
      <c r="Y2" s="9">
        <f>AVERAGE(W3:W6)</f>
        <v>-60019.795354937378</v>
      </c>
      <c r="AA2" t="s">
        <v>53</v>
      </c>
      <c r="AC2" s="9">
        <f>AVERAGE(AA3:AA6)</f>
        <v>-67371.463736814243</v>
      </c>
    </row>
    <row r="3" spans="1:29">
      <c r="A3" s="2" t="s">
        <v>40</v>
      </c>
      <c r="B3">
        <f>B2/SQRT(251)</f>
        <v>6.5003606674289057E-3</v>
      </c>
      <c r="C3">
        <f>C2/SQRT(251)</f>
        <v>1.3013397133898848E-2</v>
      </c>
      <c r="L3" s="1">
        <v>44201</v>
      </c>
      <c r="M3">
        <v>735.10998500000005</v>
      </c>
      <c r="N3">
        <v>1</v>
      </c>
      <c r="O3">
        <f>1070.339966*M3/M2</f>
        <v>1078.1719922547113</v>
      </c>
      <c r="P3">
        <f>(1000000*O3/1070.339966)-1000000</f>
        <v>7317.3258062863024</v>
      </c>
      <c r="Q3" cm="1">
        <f t="array" ref="Q3:Q252">_xlfn._xlws.SORT(P3:P252)</f>
        <v>-119902.95980383747</v>
      </c>
      <c r="S3">
        <v>131.009995</v>
      </c>
      <c r="T3">
        <v>1</v>
      </c>
      <c r="U3">
        <f>174.199997*S3/S2</f>
        <v>176.35375960555584</v>
      </c>
      <c r="V3">
        <f>(1000000*U3/178.199997)-1000000</f>
        <v>-10360.479380053934</v>
      </c>
      <c r="W3" cm="1">
        <f t="array" ref="W3:W252">_xlfn._xlws.SORT(V3:V252)</f>
        <v>-63184.763119894895</v>
      </c>
      <c r="Z3">
        <f>(500000*O3/1070.339966+500000*U3/178.199997)-1000000</f>
        <v>-1521.5767868838739</v>
      </c>
      <c r="AA3" cm="1">
        <f t="array" ref="AA3:AA252">_xlfn._xlws.SORT(Z3:Z252)</f>
        <v>-69972.714803528972</v>
      </c>
    </row>
    <row r="4" spans="1:29">
      <c r="A4" s="2" t="s">
        <v>43</v>
      </c>
      <c r="B4">
        <f>1000000*B3</f>
        <v>6500.3606674289058</v>
      </c>
      <c r="C4">
        <f>1000000*C3</f>
        <v>13013.397133898849</v>
      </c>
      <c r="L4" s="1">
        <v>44202</v>
      </c>
      <c r="M4">
        <v>755.97997999999995</v>
      </c>
      <c r="N4">
        <v>2</v>
      </c>
      <c r="O4">
        <f t="shared" ref="O4:O67" si="0">1070.339966*M4/M3</f>
        <v>1100.7272416383796</v>
      </c>
      <c r="P4">
        <f t="shared" ref="P4:P67" si="1">(1000000*O4/1070.339966)-1000000</f>
        <v>28390.302710960852</v>
      </c>
      <c r="Q4">
        <v>-85498.51404835796</v>
      </c>
      <c r="S4">
        <v>126.599998</v>
      </c>
      <c r="T4">
        <v>2</v>
      </c>
      <c r="U4">
        <f t="shared" ref="U4" si="2">174.199997*S4/S3</f>
        <v>168.33615841142506</v>
      </c>
      <c r="V4">
        <f t="shared" ref="V4:V67" si="3">(1000000*U4/178.199997)-1000000</f>
        <v>-55352.630497378414</v>
      </c>
      <c r="W4">
        <v>-60829.193736982881</v>
      </c>
      <c r="Z4">
        <f t="shared" ref="Z4:Z67" si="4">(500000*O4/1070.339966+500000*U4/178.199997)-1000000</f>
        <v>-13481.163893208839</v>
      </c>
      <c r="AA4">
        <v>-68537.653627632186</v>
      </c>
    </row>
    <row r="5" spans="1:29">
      <c r="A5" s="2" t="s">
        <v>50</v>
      </c>
      <c r="B5">
        <f>B4*G6*-1</f>
        <v>15122.100219171936</v>
      </c>
      <c r="C5">
        <f>C4*G6*-1</f>
        <v>30273.688756494757</v>
      </c>
      <c r="E5" s="2" t="s">
        <v>44</v>
      </c>
      <c r="L5" s="1">
        <v>44203</v>
      </c>
      <c r="M5">
        <v>816.03997800000002</v>
      </c>
      <c r="N5">
        <v>3</v>
      </c>
      <c r="O5">
        <f t="shared" si="0"/>
        <v>1155.3747789817937</v>
      </c>
      <c r="P5">
        <f t="shared" si="1"/>
        <v>79446.54566116957</v>
      </c>
      <c r="Q5">
        <v>-80590.883518210263</v>
      </c>
      <c r="S5">
        <v>130.91999799999999</v>
      </c>
      <c r="T5">
        <v>3</v>
      </c>
      <c r="U5">
        <f t="shared" ref="U5" si="5">174.199997*S5/S4</f>
        <v>180.14426239438018</v>
      </c>
      <c r="V5">
        <f t="shared" si="3"/>
        <v>10910.58039905678</v>
      </c>
      <c r="W5">
        <v>-59027.314454015344</v>
      </c>
      <c r="Z5">
        <f t="shared" si="4"/>
        <v>45178.563030113233</v>
      </c>
      <c r="AA5">
        <v>-68519.713915266097</v>
      </c>
    </row>
    <row r="6" spans="1:29">
      <c r="E6" t="s">
        <v>45</v>
      </c>
      <c r="G6">
        <f>NORMSINV(0.01)</f>
        <v>-2.3263478740408408</v>
      </c>
      <c r="L6" s="1">
        <v>44204</v>
      </c>
      <c r="M6">
        <v>880.02002000000005</v>
      </c>
      <c r="N6">
        <v>4</v>
      </c>
      <c r="O6">
        <f t="shared" si="0"/>
        <v>1154.2579085336422</v>
      </c>
      <c r="P6">
        <f t="shared" si="1"/>
        <v>78403.073041600641</v>
      </c>
      <c r="Q6">
        <v>-78214.150173538015</v>
      </c>
      <c r="S6">
        <v>132.050003</v>
      </c>
      <c r="T6">
        <v>4</v>
      </c>
      <c r="U6">
        <f t="shared" ref="U6" si="6">174.199997*S6/S5</f>
        <v>175.70356307559669</v>
      </c>
      <c r="V6">
        <f t="shared" si="3"/>
        <v>-14009.169284123578</v>
      </c>
      <c r="W6">
        <v>-57037.910108856391</v>
      </c>
      <c r="Z6">
        <f t="shared" si="4"/>
        <v>32196.95187873859</v>
      </c>
      <c r="AA6">
        <v>-62455.772600829718</v>
      </c>
    </row>
    <row r="7" spans="1:29">
      <c r="L7" s="1">
        <v>44207</v>
      </c>
      <c r="M7">
        <v>811.19000200000005</v>
      </c>
      <c r="N7">
        <v>5</v>
      </c>
      <c r="O7">
        <f t="shared" si="0"/>
        <v>986.62423516253637</v>
      </c>
      <c r="P7">
        <f t="shared" si="1"/>
        <v>-78214.150173538015</v>
      </c>
      <c r="Q7" s="9">
        <v>-69320.792149786255</v>
      </c>
      <c r="S7">
        <v>128.979996</v>
      </c>
      <c r="T7">
        <v>5</v>
      </c>
      <c r="U7">
        <f t="shared" ref="U7" si="7">174.199997*S7/S6</f>
        <v>170.15005229693188</v>
      </c>
      <c r="V7">
        <f t="shared" si="3"/>
        <v>-45173.652292868122</v>
      </c>
      <c r="W7" s="9">
        <v>-56646.618934685481</v>
      </c>
      <c r="Z7">
        <f t="shared" si="4"/>
        <v>-61693.901233203011</v>
      </c>
      <c r="AA7" s="9">
        <v>-61693.901233203011</v>
      </c>
    </row>
    <row r="8" spans="1:29">
      <c r="E8" s="2" t="s">
        <v>46</v>
      </c>
      <c r="H8">
        <f>CORREL(Question_1!E:E,Question_1!C:C)</f>
        <v>0.45772170656790873</v>
      </c>
      <c r="L8" s="1">
        <v>44208</v>
      </c>
      <c r="M8">
        <v>849.44000200000005</v>
      </c>
      <c r="N8">
        <v>6</v>
      </c>
      <c r="O8">
        <f t="shared" si="0"/>
        <v>1120.8096507823082</v>
      </c>
      <c r="P8">
        <f t="shared" si="1"/>
        <v>47152.948021664401</v>
      </c>
      <c r="Q8">
        <v>-64443.710043902276</v>
      </c>
      <c r="S8">
        <v>128.800003</v>
      </c>
      <c r="T8">
        <v>6</v>
      </c>
      <c r="U8">
        <f t="shared" ref="U8" si="8">174.199997*S8/S7</f>
        <v>173.9568989923057</v>
      </c>
      <c r="V8">
        <f t="shared" si="3"/>
        <v>-23810.875864909845</v>
      </c>
      <c r="W8">
        <v>-56448.544312322047</v>
      </c>
      <c r="Z8">
        <f t="shared" si="4"/>
        <v>11671.036078377278</v>
      </c>
      <c r="AA8">
        <v>-60817.242583948886</v>
      </c>
    </row>
    <row r="9" spans="1:29">
      <c r="L9" s="1">
        <v>44209</v>
      </c>
      <c r="M9">
        <v>854.40997300000004</v>
      </c>
      <c r="N9">
        <v>7</v>
      </c>
      <c r="O9">
        <f t="shared" si="0"/>
        <v>1076.6023960464261</v>
      </c>
      <c r="P9">
        <f t="shared" si="1"/>
        <v>5850.8793891249225</v>
      </c>
      <c r="Q9">
        <v>-64198.78899204405</v>
      </c>
      <c r="S9">
        <v>130.88999899999999</v>
      </c>
      <c r="T9">
        <v>7</v>
      </c>
      <c r="U9">
        <f t="shared" ref="U9" si="9">174.199997*S9/S8</f>
        <v>177.02668402212691</v>
      </c>
      <c r="V9">
        <f t="shared" si="3"/>
        <v>-6584.2480225915788</v>
      </c>
      <c r="W9">
        <v>-55590.75305187318</v>
      </c>
      <c r="Z9">
        <f t="shared" si="4"/>
        <v>-366.68431673338637</v>
      </c>
      <c r="AA9">
        <v>-56057.855265277904</v>
      </c>
    </row>
    <row r="10" spans="1:29">
      <c r="E10" s="2" t="s">
        <v>47</v>
      </c>
      <c r="L10" s="1">
        <v>44210</v>
      </c>
      <c r="M10">
        <v>845</v>
      </c>
      <c r="N10">
        <v>8</v>
      </c>
      <c r="O10">
        <f t="shared" si="0"/>
        <v>1058.5518660255618</v>
      </c>
      <c r="P10">
        <f t="shared" si="1"/>
        <v>-11013.41662359098</v>
      </c>
      <c r="Q10">
        <v>-60956.420611903537</v>
      </c>
      <c r="S10">
        <v>128.91000399999999</v>
      </c>
      <c r="T10">
        <v>8</v>
      </c>
      <c r="U10">
        <f t="shared" ref="U10" si="10">174.199997*S10/S9</f>
        <v>171.56484438562788</v>
      </c>
      <c r="V10">
        <f t="shared" si="3"/>
        <v>-37234.302615460358</v>
      </c>
      <c r="W10">
        <v>-55352.630497378414</v>
      </c>
      <c r="Z10">
        <f t="shared" si="4"/>
        <v>-24123.859619525727</v>
      </c>
      <c r="AA10">
        <v>-55553.177951684687</v>
      </c>
    </row>
    <row r="11" spans="1:29">
      <c r="E11" s="2" t="s">
        <v>48</v>
      </c>
      <c r="F11">
        <f>SQRT((B2^2)+(C2^2)+2*B2*C2*H8)</f>
        <v>0.26935030424944423</v>
      </c>
      <c r="L11" s="1">
        <v>44211</v>
      </c>
      <c r="M11">
        <v>826.15997300000004</v>
      </c>
      <c r="N11">
        <v>9</v>
      </c>
      <c r="O11">
        <f t="shared" si="0"/>
        <v>1046.4757839187939</v>
      </c>
      <c r="P11">
        <f t="shared" si="1"/>
        <v>-22295.889940828434</v>
      </c>
      <c r="Q11">
        <v>-58449.722048002877</v>
      </c>
      <c r="S11">
        <v>127.139999</v>
      </c>
      <c r="T11">
        <v>9</v>
      </c>
      <c r="U11">
        <f t="shared" ref="U11" si="11">174.199997*S11/S10</f>
        <v>171.80813557635142</v>
      </c>
      <c r="V11">
        <f t="shared" si="3"/>
        <v>-35869.032161928713</v>
      </c>
      <c r="W11">
        <v>-54805.536264807452</v>
      </c>
      <c r="Z11">
        <f t="shared" si="4"/>
        <v>-29082.461051378632</v>
      </c>
      <c r="AA11">
        <v>-54590.542394571938</v>
      </c>
    </row>
    <row r="12" spans="1:29">
      <c r="E12" s="2" t="s">
        <v>49</v>
      </c>
      <c r="G12">
        <f>F11/SQRT(251)</f>
        <v>1.7001240451493965E-2</v>
      </c>
      <c r="L12" s="1">
        <v>44215</v>
      </c>
      <c r="M12">
        <v>844.54998799999998</v>
      </c>
      <c r="N12">
        <v>10</v>
      </c>
      <c r="O12">
        <f t="shared" si="0"/>
        <v>1094.1653372030653</v>
      </c>
      <c r="P12">
        <f t="shared" si="1"/>
        <v>22259.629612919991</v>
      </c>
      <c r="Q12">
        <v>-53344.738674516906</v>
      </c>
      <c r="S12">
        <v>127.83000199999999</v>
      </c>
      <c r="T12">
        <v>10</v>
      </c>
      <c r="U12">
        <f t="shared" ref="U12" si="12">174.199997*S12/S11</f>
        <v>175.14539987459014</v>
      </c>
      <c r="V12">
        <f t="shared" si="3"/>
        <v>-17141.398298732121</v>
      </c>
      <c r="W12">
        <v>-53414.037466968293</v>
      </c>
      <c r="Z12">
        <f t="shared" si="4"/>
        <v>2559.1156570939347</v>
      </c>
      <c r="AA12">
        <v>-49053.386029413668</v>
      </c>
    </row>
    <row r="13" spans="1:29">
      <c r="E13" s="2" t="s">
        <v>51</v>
      </c>
      <c r="H13">
        <f>G12*1000000</f>
        <v>17001.240451493966</v>
      </c>
      <c r="L13" s="1">
        <v>44216</v>
      </c>
      <c r="M13">
        <v>850.45001200000002</v>
      </c>
      <c r="N13">
        <v>11</v>
      </c>
      <c r="O13">
        <f t="shared" si="0"/>
        <v>1077.8173581938167</v>
      </c>
      <c r="P13">
        <f t="shared" si="1"/>
        <v>6985.9973759184359</v>
      </c>
      <c r="Q13">
        <v>-52551.048717864091</v>
      </c>
      <c r="S13">
        <v>132.029999</v>
      </c>
      <c r="T13">
        <v>11</v>
      </c>
      <c r="U13">
        <f t="shared" ref="U13" si="13">174.199997*S13/S12</f>
        <v>179.92353179897472</v>
      </c>
      <c r="V13">
        <f t="shared" si="3"/>
        <v>9671.9126149857184</v>
      </c>
      <c r="W13">
        <v>-51576.793206906528</v>
      </c>
      <c r="Z13">
        <f t="shared" si="4"/>
        <v>8328.9549954520771</v>
      </c>
      <c r="AA13">
        <v>-47389.00929644506</v>
      </c>
    </row>
    <row r="14" spans="1:29">
      <c r="E14" s="2" t="s">
        <v>50</v>
      </c>
      <c r="H14">
        <f>H13*G6*-1</f>
        <v>39550.799580390129</v>
      </c>
      <c r="L14" s="1">
        <v>44217</v>
      </c>
      <c r="M14">
        <v>844.98999000000003</v>
      </c>
      <c r="N14">
        <v>12</v>
      </c>
      <c r="O14">
        <f t="shared" si="0"/>
        <v>1063.4682161271348</v>
      </c>
      <c r="P14">
        <f t="shared" si="1"/>
        <v>-6420.1562972051324</v>
      </c>
      <c r="Q14">
        <v>-50277.162166386493</v>
      </c>
      <c r="S14">
        <v>136.86999499999999</v>
      </c>
      <c r="T14">
        <v>12</v>
      </c>
      <c r="U14">
        <f t="shared" ref="U14" si="14">174.199997*S14/S13</f>
        <v>180.58587365731944</v>
      </c>
      <c r="V14">
        <f t="shared" si="3"/>
        <v>13388.758122815401</v>
      </c>
      <c r="W14">
        <v>-48756.970417684992</v>
      </c>
      <c r="Z14">
        <f t="shared" si="4"/>
        <v>3484.3009128051344</v>
      </c>
      <c r="AA14">
        <v>-46214.644825576805</v>
      </c>
    </row>
    <row r="15" spans="1:29">
      <c r="L15" s="1">
        <v>44218</v>
      </c>
      <c r="M15">
        <v>846.64001499999995</v>
      </c>
      <c r="N15">
        <v>13</v>
      </c>
      <c r="O15">
        <f t="shared" si="0"/>
        <v>1072.430035377507</v>
      </c>
      <c r="P15">
        <f t="shared" si="1"/>
        <v>1952.7154398595449</v>
      </c>
      <c r="Q15">
        <v>-50153.770335128531</v>
      </c>
      <c r="S15">
        <v>139.070007</v>
      </c>
      <c r="T15">
        <v>13</v>
      </c>
      <c r="U15">
        <f t="shared" ref="U15" si="15">174.199997*S15/S14</f>
        <v>177.00004155176583</v>
      </c>
      <c r="V15">
        <f t="shared" si="3"/>
        <v>-6733.7568374603288</v>
      </c>
      <c r="W15">
        <v>-47672.000486653647</v>
      </c>
      <c r="Z15">
        <f t="shared" si="4"/>
        <v>-2390.5206988004502</v>
      </c>
      <c r="AA15">
        <v>-45536.808798877872</v>
      </c>
    </row>
    <row r="16" spans="1:29">
      <c r="L16" s="1">
        <v>44221</v>
      </c>
      <c r="M16">
        <v>880.79998799999998</v>
      </c>
      <c r="N16">
        <v>14</v>
      </c>
      <c r="O16">
        <f t="shared" si="0"/>
        <v>1113.5257163680369</v>
      </c>
      <c r="P16">
        <f t="shared" si="1"/>
        <v>40347.694881867967</v>
      </c>
      <c r="Q16">
        <v>-49772.430072465329</v>
      </c>
      <c r="S16">
        <v>142.91999799999999</v>
      </c>
      <c r="T16">
        <v>14</v>
      </c>
      <c r="U16">
        <f t="shared" ref="U16" si="16">174.199997*S16/S15</f>
        <v>179.02252081457078</v>
      </c>
      <c r="V16">
        <f t="shared" si="3"/>
        <v>4615.7341662064428</v>
      </c>
      <c r="W16">
        <v>-47375.313946566661</v>
      </c>
      <c r="Z16">
        <f t="shared" si="4"/>
        <v>22481.714524037205</v>
      </c>
      <c r="AA16">
        <v>-45075.954948759871</v>
      </c>
    </row>
    <row r="17" spans="12:27">
      <c r="L17" s="1">
        <v>44222</v>
      </c>
      <c r="M17">
        <v>883.09002699999996</v>
      </c>
      <c r="N17">
        <v>15</v>
      </c>
      <c r="O17">
        <f t="shared" si="0"/>
        <v>1073.1228001266948</v>
      </c>
      <c r="P17">
        <f t="shared" si="1"/>
        <v>2599.9534868296469</v>
      </c>
      <c r="Q17">
        <v>-48622.182205348858</v>
      </c>
      <c r="S17">
        <v>143.16000399999999</v>
      </c>
      <c r="T17">
        <v>15</v>
      </c>
      <c r="U17">
        <f t="shared" ref="U17" si="17">174.199997*S17/S16</f>
        <v>174.49253160023125</v>
      </c>
      <c r="V17">
        <f t="shared" si="3"/>
        <v>-20805.081157036941</v>
      </c>
      <c r="W17">
        <v>-46825.405561103951</v>
      </c>
      <c r="Z17">
        <f t="shared" si="4"/>
        <v>-9102.5638351036469</v>
      </c>
      <c r="AA17">
        <v>-44946.377474219771</v>
      </c>
    </row>
    <row r="18" spans="12:27">
      <c r="L18" s="1">
        <v>44223</v>
      </c>
      <c r="M18">
        <v>864.15997300000004</v>
      </c>
      <c r="N18">
        <v>16</v>
      </c>
      <c r="O18">
        <f t="shared" si="0"/>
        <v>1047.3959934318011</v>
      </c>
      <c r="P18">
        <f t="shared" si="1"/>
        <v>-21436.154209903558</v>
      </c>
      <c r="Q18">
        <v>-48423.736820629099</v>
      </c>
      <c r="S18">
        <v>142.05999800000001</v>
      </c>
      <c r="T18">
        <v>16</v>
      </c>
      <c r="U18">
        <f t="shared" ref="U18" si="18">174.199997*S18/S17</f>
        <v>172.86148738456313</v>
      </c>
      <c r="V18">
        <f t="shared" si="3"/>
        <v>-29957.966920935782</v>
      </c>
      <c r="W18">
        <v>-46500.018453315366</v>
      </c>
      <c r="Z18">
        <f t="shared" si="4"/>
        <v>-25697.060565419728</v>
      </c>
      <c r="AA18">
        <v>-43836.375057917554</v>
      </c>
    </row>
    <row r="19" spans="12:27">
      <c r="L19" s="1">
        <v>44224</v>
      </c>
      <c r="M19">
        <v>835.42999299999997</v>
      </c>
      <c r="N19">
        <v>17</v>
      </c>
      <c r="O19">
        <f t="shared" si="0"/>
        <v>1034.7552979094071</v>
      </c>
      <c r="P19">
        <f t="shared" si="1"/>
        <v>-33246.136013754061</v>
      </c>
      <c r="Q19">
        <v>-48400.712423490942</v>
      </c>
      <c r="S19">
        <v>137.08999600000001</v>
      </c>
      <c r="T19">
        <v>17</v>
      </c>
      <c r="U19">
        <f t="shared" ref="U19" si="19">174.199997*S19/S18</f>
        <v>168.1055696757789</v>
      </c>
      <c r="V19">
        <f t="shared" si="3"/>
        <v>-56646.618934685481</v>
      </c>
      <c r="W19">
        <v>-46354.28177226102</v>
      </c>
      <c r="Z19">
        <f t="shared" si="4"/>
        <v>-44946.377474219771</v>
      </c>
      <c r="AA19">
        <v>-43699.486402328359</v>
      </c>
    </row>
    <row r="20" spans="12:27">
      <c r="L20" s="1">
        <v>44225</v>
      </c>
      <c r="M20">
        <v>793.53002900000001</v>
      </c>
      <c r="N20">
        <v>18</v>
      </c>
      <c r="O20">
        <f t="shared" si="0"/>
        <v>1016.6583811647267</v>
      </c>
      <c r="P20">
        <f t="shared" si="1"/>
        <v>-50153.770335128531</v>
      </c>
      <c r="Q20">
        <v>-48160.496406206046</v>
      </c>
      <c r="S20">
        <v>131.96000699999999</v>
      </c>
      <c r="T20">
        <v>18</v>
      </c>
      <c r="U20">
        <f t="shared" ref="U20" si="20">174.199997*S20/S19</f>
        <v>167.6813297413764</v>
      </c>
      <c r="V20">
        <f t="shared" si="3"/>
        <v>-59027.314454015344</v>
      </c>
      <c r="W20">
        <v>-45713.703130343463</v>
      </c>
      <c r="Z20">
        <f t="shared" si="4"/>
        <v>-54590.542394571938</v>
      </c>
      <c r="AA20">
        <v>-43262.925516285235</v>
      </c>
    </row>
    <row r="21" spans="12:27">
      <c r="L21" s="1">
        <v>44228</v>
      </c>
      <c r="M21">
        <v>839.80999799999995</v>
      </c>
      <c r="N21">
        <v>19</v>
      </c>
      <c r="O21">
        <f t="shared" si="0"/>
        <v>1132.7639432102449</v>
      </c>
      <c r="P21">
        <f t="shared" si="1"/>
        <v>58321.635361829307</v>
      </c>
      <c r="Q21">
        <v>-45326.498856789549</v>
      </c>
      <c r="S21">
        <v>134.13999899999999</v>
      </c>
      <c r="T21">
        <v>19</v>
      </c>
      <c r="U21">
        <f t="shared" ref="U21" si="21">174.199997*S21/S20</f>
        <v>177.0777976950244</v>
      </c>
      <c r="V21">
        <f t="shared" si="3"/>
        <v>-6297.4148365198635</v>
      </c>
      <c r="W21">
        <v>-45173.652292868122</v>
      </c>
      <c r="Z21">
        <f t="shared" si="4"/>
        <v>26012.110262654722</v>
      </c>
      <c r="AA21">
        <v>-43153.267485521967</v>
      </c>
    </row>
    <row r="22" spans="12:27">
      <c r="L22" s="1">
        <v>44229</v>
      </c>
      <c r="M22">
        <v>872.78997800000002</v>
      </c>
      <c r="N22">
        <v>20</v>
      </c>
      <c r="O22">
        <f t="shared" si="0"/>
        <v>1112.3730339033912</v>
      </c>
      <c r="P22">
        <f t="shared" si="1"/>
        <v>39270.76371862879</v>
      </c>
      <c r="Q22">
        <v>-44527.638477921719</v>
      </c>
      <c r="S22">
        <v>134.990005</v>
      </c>
      <c r="T22">
        <v>20</v>
      </c>
      <c r="U22">
        <f t="shared" ref="U22" si="22">174.199997*S22/S21</f>
        <v>175.3038515083781</v>
      </c>
      <c r="V22">
        <f t="shared" si="3"/>
        <v>-16252.219642977347</v>
      </c>
      <c r="W22">
        <v>-43328.261861075298</v>
      </c>
      <c r="Z22">
        <f t="shared" si="4"/>
        <v>11509.27203782578</v>
      </c>
      <c r="AA22">
        <v>-41975.816224523587</v>
      </c>
    </row>
    <row r="23" spans="12:27">
      <c r="L23" s="1">
        <v>44230</v>
      </c>
      <c r="M23">
        <v>854.69000200000005</v>
      </c>
      <c r="N23">
        <v>21</v>
      </c>
      <c r="O23">
        <f t="shared" si="0"/>
        <v>1048.1431853485603</v>
      </c>
      <c r="P23">
        <f t="shared" si="1"/>
        <v>-20738.065807625535</v>
      </c>
      <c r="Q23">
        <v>-44248.212036651792</v>
      </c>
      <c r="S23">
        <v>133.94000199999999</v>
      </c>
      <c r="T23">
        <v>21</v>
      </c>
      <c r="U23">
        <f t="shared" ref="U23" si="23">174.199997*S23/S22</f>
        <v>172.84500394366231</v>
      </c>
      <c r="V23">
        <f t="shared" si="3"/>
        <v>-30050.46659084782</v>
      </c>
      <c r="W23">
        <v>-42871.334326734999</v>
      </c>
      <c r="Z23">
        <f t="shared" si="4"/>
        <v>-25394.266199236736</v>
      </c>
      <c r="AA23">
        <v>-40966.562421438517</v>
      </c>
    </row>
    <row r="24" spans="12:27">
      <c r="L24" s="1">
        <v>44231</v>
      </c>
      <c r="M24">
        <v>849.98999000000003</v>
      </c>
      <c r="N24">
        <v>22</v>
      </c>
      <c r="O24">
        <f t="shared" si="0"/>
        <v>1064.4540767623726</v>
      </c>
      <c r="P24">
        <f t="shared" si="1"/>
        <v>-5499.0838654972613</v>
      </c>
      <c r="Q24">
        <v>-43873.770252073067</v>
      </c>
      <c r="S24">
        <v>137.38999899999999</v>
      </c>
      <c r="T24">
        <v>22</v>
      </c>
      <c r="U24">
        <f t="shared" ref="U24" si="24">174.199997*S24/S23</f>
        <v>178.68700206253544</v>
      </c>
      <c r="V24">
        <f t="shared" si="3"/>
        <v>2732.9128548494773</v>
      </c>
      <c r="W24">
        <v>-42656.859578688396</v>
      </c>
      <c r="Z24">
        <f t="shared" si="4"/>
        <v>-1383.0855053239502</v>
      </c>
      <c r="AA24">
        <v>-39726.93749872793</v>
      </c>
    </row>
    <row r="25" spans="12:27">
      <c r="L25" s="1">
        <v>44232</v>
      </c>
      <c r="M25">
        <v>852.22997999999995</v>
      </c>
      <c r="N25">
        <v>23</v>
      </c>
      <c r="O25">
        <f t="shared" si="0"/>
        <v>1073.160647241717</v>
      </c>
      <c r="P25">
        <f t="shared" si="1"/>
        <v>2635.3133876316715</v>
      </c>
      <c r="Q25">
        <v>-43467.634757786524</v>
      </c>
      <c r="S25">
        <v>136.759995</v>
      </c>
      <c r="T25">
        <v>23</v>
      </c>
      <c r="U25">
        <f t="shared" ref="U25" si="25">174.199997*S25/S24</f>
        <v>173.40120017556748</v>
      </c>
      <c r="V25">
        <f t="shared" si="3"/>
        <v>-26929.275562403724</v>
      </c>
      <c r="W25">
        <v>-41991.413491313811</v>
      </c>
      <c r="Z25">
        <f t="shared" si="4"/>
        <v>-12146.981087386026</v>
      </c>
      <c r="AA25">
        <v>-39716.286777851637</v>
      </c>
    </row>
    <row r="26" spans="12:27">
      <c r="L26" s="1">
        <v>44235</v>
      </c>
      <c r="M26">
        <v>863.419983</v>
      </c>
      <c r="N26">
        <v>24</v>
      </c>
      <c r="O26">
        <f t="shared" si="0"/>
        <v>1084.3938102810471</v>
      </c>
      <c r="P26">
        <f t="shared" si="1"/>
        <v>13130.262091929675</v>
      </c>
      <c r="Q26">
        <v>-43225.456634874339</v>
      </c>
      <c r="S26">
        <v>136.91000399999999</v>
      </c>
      <c r="T26">
        <v>24</v>
      </c>
      <c r="U26">
        <f t="shared" ref="U26" si="26">174.199997*S26/S25</f>
        <v>174.39107310635674</v>
      </c>
      <c r="V26">
        <f t="shared" si="3"/>
        <v>-21374.432984099607</v>
      </c>
      <c r="W26">
        <v>-41179.72513103392</v>
      </c>
      <c r="Z26">
        <f t="shared" si="4"/>
        <v>-4122.085446084966</v>
      </c>
      <c r="AA26">
        <v>-39685.354141942109</v>
      </c>
    </row>
    <row r="27" spans="12:27">
      <c r="L27" s="1">
        <v>44236</v>
      </c>
      <c r="M27">
        <v>849.46002199999998</v>
      </c>
      <c r="N27">
        <v>25</v>
      </c>
      <c r="O27">
        <f t="shared" si="0"/>
        <v>1053.0344779683414</v>
      </c>
      <c r="P27">
        <f t="shared" si="1"/>
        <v>-16168.216250329744</v>
      </c>
      <c r="Q27">
        <v>-41352.931795936311</v>
      </c>
      <c r="S27">
        <v>136.009995</v>
      </c>
      <c r="T27">
        <v>25</v>
      </c>
      <c r="U27">
        <f t="shared" ref="U27" si="27">174.199997*S27/S26</f>
        <v>173.05485376342563</v>
      </c>
      <c r="V27">
        <f t="shared" si="3"/>
        <v>-28872.85815484263</v>
      </c>
      <c r="W27">
        <v>-40382.81272180751</v>
      </c>
      <c r="Z27">
        <f t="shared" si="4"/>
        <v>-22520.537202586187</v>
      </c>
      <c r="AA27">
        <v>-38137.681171525735</v>
      </c>
    </row>
    <row r="28" spans="12:27">
      <c r="L28" s="1">
        <v>44237</v>
      </c>
      <c r="M28">
        <v>804.82000700000003</v>
      </c>
      <c r="N28">
        <v>26</v>
      </c>
      <c r="O28">
        <f t="shared" si="0"/>
        <v>1014.092478302057</v>
      </c>
      <c r="P28">
        <f t="shared" si="1"/>
        <v>-52551.048717864091</v>
      </c>
      <c r="Q28">
        <v>-39471.648026679875</v>
      </c>
      <c r="S28">
        <v>135.38999899999999</v>
      </c>
      <c r="T28">
        <v>26</v>
      </c>
      <c r="U28">
        <f t="shared" ref="U28" si="28">174.199997*S28/S27</f>
        <v>173.40591343768523</v>
      </c>
      <c r="V28">
        <f t="shared" si="3"/>
        <v>-26902.826279591769</v>
      </c>
      <c r="W28">
        <v>-40194.781882187119</v>
      </c>
      <c r="Z28">
        <f t="shared" si="4"/>
        <v>-39726.93749872793</v>
      </c>
      <c r="AA28">
        <v>-36768.369278423022</v>
      </c>
    </row>
    <row r="29" spans="12:27">
      <c r="L29" s="1">
        <v>44238</v>
      </c>
      <c r="M29">
        <v>811.65997300000004</v>
      </c>
      <c r="N29">
        <v>27</v>
      </c>
      <c r="O29">
        <f t="shared" si="0"/>
        <v>1079.4365203999967</v>
      </c>
      <c r="P29">
        <f t="shared" si="1"/>
        <v>8498.7524421719136</v>
      </c>
      <c r="Q29">
        <v>-38604.862981801853</v>
      </c>
      <c r="S29">
        <v>135.13000500000001</v>
      </c>
      <c r="T29">
        <v>27</v>
      </c>
      <c r="U29">
        <f t="shared" ref="U29" si="29">174.199997*S29/S28</f>
        <v>173.86547484655782</v>
      </c>
      <c r="V29">
        <f t="shared" si="3"/>
        <v>-24323.918217811035</v>
      </c>
      <c r="W29">
        <v>-39899.060257204343</v>
      </c>
      <c r="Z29">
        <f t="shared" si="4"/>
        <v>-7912.5828878195025</v>
      </c>
      <c r="AA29">
        <v>-35083.872028753394</v>
      </c>
    </row>
    <row r="30" spans="12:27">
      <c r="L30" s="1">
        <v>44239</v>
      </c>
      <c r="M30">
        <v>816.11999500000002</v>
      </c>
      <c r="N30">
        <v>28</v>
      </c>
      <c r="O30">
        <f t="shared" si="0"/>
        <v>1076.2214187691873</v>
      </c>
      <c r="P30">
        <f t="shared" si="1"/>
        <v>5494.9389502542326</v>
      </c>
      <c r="Q30">
        <v>-37799.288627061993</v>
      </c>
      <c r="S30">
        <v>135.36999499999999</v>
      </c>
      <c r="T30">
        <v>28</v>
      </c>
      <c r="U30">
        <f t="shared" ref="U30" si="30">174.199997*S30/S29</f>
        <v>174.50937504879104</v>
      </c>
      <c r="V30">
        <f t="shared" si="3"/>
        <v>-20710.56124209112</v>
      </c>
      <c r="W30">
        <v>-39694.651879709912</v>
      </c>
      <c r="Z30">
        <f t="shared" si="4"/>
        <v>-7607.8111459184438</v>
      </c>
      <c r="AA30">
        <v>-34524.319618809735</v>
      </c>
    </row>
    <row r="31" spans="12:27">
      <c r="L31" s="1">
        <v>44243</v>
      </c>
      <c r="M31">
        <v>796.21997099999999</v>
      </c>
      <c r="N31">
        <v>29</v>
      </c>
      <c r="O31">
        <f t="shared" si="0"/>
        <v>1044.2411188426538</v>
      </c>
      <c r="P31">
        <f t="shared" si="1"/>
        <v>-24383.69862510229</v>
      </c>
      <c r="Q31">
        <v>-34989.335658529191</v>
      </c>
      <c r="S31">
        <v>133.19000199999999</v>
      </c>
      <c r="T31">
        <v>29</v>
      </c>
      <c r="U31">
        <f t="shared" ref="U31" si="31">174.199997*S31/S30</f>
        <v>171.39468719659769</v>
      </c>
      <c r="V31">
        <f t="shared" si="3"/>
        <v>-38189.169012176222</v>
      </c>
      <c r="W31">
        <v>-38189.169012176222</v>
      </c>
      <c r="Z31">
        <f t="shared" si="4"/>
        <v>-31286.433818639256</v>
      </c>
      <c r="AA31">
        <v>-33350.243375546765</v>
      </c>
    </row>
    <row r="32" spans="12:27">
      <c r="L32" s="1">
        <v>44244</v>
      </c>
      <c r="M32">
        <v>798.15002400000003</v>
      </c>
      <c r="N32">
        <v>30</v>
      </c>
      <c r="O32">
        <f t="shared" si="0"/>
        <v>1072.9344913041114</v>
      </c>
      <c r="P32">
        <f t="shared" si="1"/>
        <v>2424.0198315749876</v>
      </c>
      <c r="Q32">
        <v>-34590.631950297044</v>
      </c>
      <c r="S32">
        <v>130.83999600000001</v>
      </c>
      <c r="T32">
        <v>30</v>
      </c>
      <c r="U32">
        <f t="shared" ref="U32" si="32">174.199997*S32/S31</f>
        <v>171.12641015411964</v>
      </c>
      <c r="V32">
        <f t="shared" si="3"/>
        <v>-39694.651879709912</v>
      </c>
      <c r="W32">
        <v>-37903.668827221729</v>
      </c>
      <c r="Z32">
        <f t="shared" si="4"/>
        <v>-18635.316024067462</v>
      </c>
      <c r="AA32">
        <v>-32687.856363579864</v>
      </c>
    </row>
    <row r="33" spans="12:27">
      <c r="L33" s="1">
        <v>44245</v>
      </c>
      <c r="M33">
        <v>787.38000499999998</v>
      </c>
      <c r="N33">
        <v>31</v>
      </c>
      <c r="O33">
        <f t="shared" si="0"/>
        <v>1055.8970900698484</v>
      </c>
      <c r="P33">
        <f t="shared" si="1"/>
        <v>-13493.727590240771</v>
      </c>
      <c r="Q33">
        <v>-33996.624691256555</v>
      </c>
      <c r="S33">
        <v>129.71000699999999</v>
      </c>
      <c r="T33">
        <v>31</v>
      </c>
      <c r="U33">
        <f t="shared" ref="U33" si="33">174.199997*S33/S32</f>
        <v>172.69553287260857</v>
      </c>
      <c r="V33">
        <f t="shared" si="3"/>
        <v>-30889.249270814704</v>
      </c>
      <c r="W33">
        <v>-37240.269003649475</v>
      </c>
      <c r="Z33">
        <f t="shared" si="4"/>
        <v>-22191.488430527737</v>
      </c>
      <c r="AA33">
        <v>-31576.010520372191</v>
      </c>
    </row>
    <row r="34" spans="12:27">
      <c r="L34" s="1">
        <v>44246</v>
      </c>
      <c r="M34">
        <v>781.29998799999998</v>
      </c>
      <c r="N34">
        <v>32</v>
      </c>
      <c r="O34">
        <f t="shared" si="0"/>
        <v>1062.0749794017445</v>
      </c>
      <c r="P34">
        <f t="shared" si="1"/>
        <v>-7721.8331191937905</v>
      </c>
      <c r="Q34">
        <v>-33854.358269467833</v>
      </c>
      <c r="S34">
        <v>129.86999499999999</v>
      </c>
      <c r="T34">
        <v>32</v>
      </c>
      <c r="U34">
        <f t="shared" ref="U34" si="34">174.199997*S34/S33</f>
        <v>174.41486021498721</v>
      </c>
      <c r="V34">
        <f t="shared" si="3"/>
        <v>-21240.947523768875</v>
      </c>
      <c r="W34">
        <v>-37234.302615460358</v>
      </c>
      <c r="Z34">
        <f t="shared" si="4"/>
        <v>-14481.390321481274</v>
      </c>
      <c r="AA34">
        <v>-31286.433818639256</v>
      </c>
    </row>
    <row r="35" spans="12:27">
      <c r="L35" s="1">
        <v>44249</v>
      </c>
      <c r="M35">
        <v>714.5</v>
      </c>
      <c r="N35">
        <v>33</v>
      </c>
      <c r="O35">
        <f t="shared" si="0"/>
        <v>978.82748938042994</v>
      </c>
      <c r="P35">
        <f t="shared" si="1"/>
        <v>-85498.51404835796</v>
      </c>
      <c r="Q35">
        <v>-33246.136013754061</v>
      </c>
      <c r="S35">
        <v>126</v>
      </c>
      <c r="T35">
        <v>33</v>
      </c>
      <c r="U35">
        <f t="shared" ref="U35" si="35">174.199997*S35/S34</f>
        <v>169.00901260525961</v>
      </c>
      <c r="V35">
        <f t="shared" si="3"/>
        <v>-51576.793206906528</v>
      </c>
      <c r="W35">
        <v>-37012.561389047303</v>
      </c>
      <c r="Z35">
        <f t="shared" si="4"/>
        <v>-68537.653627632186</v>
      </c>
      <c r="AA35">
        <v>-30715.964594567427</v>
      </c>
    </row>
    <row r="36" spans="12:27">
      <c r="L36" s="1">
        <v>44250</v>
      </c>
      <c r="M36">
        <v>698.84002699999996</v>
      </c>
      <c r="N36">
        <v>34</v>
      </c>
      <c r="O36">
        <f t="shared" si="0"/>
        <v>1046.8809107608383</v>
      </c>
      <c r="P36">
        <f t="shared" si="1"/>
        <v>-21917.386983904871</v>
      </c>
      <c r="Q36">
        <v>-32830.717040468706</v>
      </c>
      <c r="S36">
        <v>125.860001</v>
      </c>
      <c r="T36">
        <v>34</v>
      </c>
      <c r="U36">
        <f t="shared" ref="U36" si="36">174.199997*S36/S35</f>
        <v>174.00644283031744</v>
      </c>
      <c r="V36">
        <f t="shared" si="3"/>
        <v>-23532.852077896241</v>
      </c>
      <c r="W36">
        <v>-36882.305684169522</v>
      </c>
      <c r="Z36">
        <f t="shared" si="4"/>
        <v>-22725.119530900614</v>
      </c>
      <c r="AA36">
        <v>-29207.518011118635</v>
      </c>
    </row>
    <row r="37" spans="12:27">
      <c r="L37" s="1">
        <v>44251</v>
      </c>
      <c r="M37">
        <v>742.02002000000005</v>
      </c>
      <c r="N37">
        <v>35</v>
      </c>
      <c r="O37">
        <f t="shared" si="0"/>
        <v>1136.4742320034845</v>
      </c>
      <c r="P37">
        <f t="shared" si="1"/>
        <v>61788.093600425636</v>
      </c>
      <c r="Q37">
        <v>-30853.231173950131</v>
      </c>
      <c r="S37">
        <v>125.349998</v>
      </c>
      <c r="T37">
        <v>35</v>
      </c>
      <c r="U37">
        <f t="shared" ref="U37" si="37">174.199997*S37/S36</f>
        <v>173.49411331682737</v>
      </c>
      <c r="V37">
        <f t="shared" si="3"/>
        <v>-26407.877454524511</v>
      </c>
      <c r="W37">
        <v>-36206.68101430207</v>
      </c>
      <c r="Z37">
        <f t="shared" si="4"/>
        <v>17690.108072950505</v>
      </c>
      <c r="AA37">
        <v>-29140.091846402152</v>
      </c>
    </row>
    <row r="38" spans="12:27">
      <c r="L38" s="1">
        <v>44252</v>
      </c>
      <c r="M38">
        <v>682.21997099999999</v>
      </c>
      <c r="N38">
        <v>36</v>
      </c>
      <c r="O38">
        <f t="shared" si="0"/>
        <v>984.08032247520885</v>
      </c>
      <c r="P38">
        <f t="shared" si="1"/>
        <v>-80590.883518210263</v>
      </c>
      <c r="Q38">
        <v>-30537.594982078881</v>
      </c>
      <c r="S38">
        <v>120.989998</v>
      </c>
      <c r="T38">
        <v>36</v>
      </c>
      <c r="U38">
        <f t="shared" ref="U38" si="38">174.199997*S38/S37</f>
        <v>168.14086657288982</v>
      </c>
      <c r="V38">
        <f t="shared" si="3"/>
        <v>-56448.544312322047</v>
      </c>
      <c r="W38">
        <v>-35869.032161928713</v>
      </c>
      <c r="Z38">
        <f t="shared" si="4"/>
        <v>-68519.713915266097</v>
      </c>
      <c r="AA38">
        <v>-29082.461051378632</v>
      </c>
    </row>
    <row r="39" spans="12:27">
      <c r="L39" s="1">
        <v>44253</v>
      </c>
      <c r="M39">
        <v>675.5</v>
      </c>
      <c r="N39">
        <v>37</v>
      </c>
      <c r="O39">
        <f t="shared" si="0"/>
        <v>1059.7969537203712</v>
      </c>
      <c r="P39">
        <f t="shared" si="1"/>
        <v>-9850.1528622063342</v>
      </c>
      <c r="Q39">
        <v>-30274.921213436639</v>
      </c>
      <c r="S39">
        <v>121.260002</v>
      </c>
      <c r="T39">
        <v>37</v>
      </c>
      <c r="U39">
        <f t="shared" ref="U39" si="39">174.199997*S39/S38</f>
        <v>174.58874563019657</v>
      </c>
      <c r="V39">
        <f t="shared" si="3"/>
        <v>-20265.159543203772</v>
      </c>
      <c r="W39">
        <v>-35382.696549357846</v>
      </c>
      <c r="Z39">
        <f t="shared" si="4"/>
        <v>-15057.656202705111</v>
      </c>
      <c r="AA39">
        <v>-28268.731728269951</v>
      </c>
    </row>
    <row r="40" spans="12:27">
      <c r="L40" s="1">
        <v>44256</v>
      </c>
      <c r="M40">
        <v>718.42999299999997</v>
      </c>
      <c r="N40">
        <v>38</v>
      </c>
      <c r="O40">
        <f t="shared" si="0"/>
        <v>1138.3631891650632</v>
      </c>
      <c r="P40">
        <f t="shared" si="1"/>
        <v>63552.913397483295</v>
      </c>
      <c r="Q40">
        <v>-30101.023044679314</v>
      </c>
      <c r="S40">
        <v>127.790001</v>
      </c>
      <c r="T40">
        <v>38</v>
      </c>
      <c r="U40">
        <f t="shared" ref="U40" si="40">174.199997*S40/S39</f>
        <v>183.58087929794027</v>
      </c>
      <c r="V40">
        <f t="shared" si="3"/>
        <v>30195.748532702215</v>
      </c>
      <c r="W40">
        <v>-34988.682887727628</v>
      </c>
      <c r="Z40">
        <f t="shared" si="4"/>
        <v>46874.330965092755</v>
      </c>
      <c r="AA40">
        <v>-26931.758984393207</v>
      </c>
    </row>
    <row r="41" spans="12:27">
      <c r="L41" s="1">
        <v>44257</v>
      </c>
      <c r="M41">
        <v>686.44000200000005</v>
      </c>
      <c r="N41">
        <v>39</v>
      </c>
      <c r="O41">
        <f t="shared" si="0"/>
        <v>1022.6802549454809</v>
      </c>
      <c r="P41">
        <f t="shared" si="1"/>
        <v>-44527.638477921719</v>
      </c>
      <c r="Q41">
        <v>-29857.471081355819</v>
      </c>
      <c r="S41">
        <v>125.120003</v>
      </c>
      <c r="T41">
        <v>39</v>
      </c>
      <c r="U41">
        <f t="shared" ref="U41" si="41">174.199997*S41/S40</f>
        <v>170.56032535158982</v>
      </c>
      <c r="V41">
        <f t="shared" si="3"/>
        <v>-42871.334326734999</v>
      </c>
      <c r="W41">
        <v>-34545.686291746097</v>
      </c>
      <c r="Z41">
        <f t="shared" si="4"/>
        <v>-43699.486402328359</v>
      </c>
      <c r="AA41">
        <v>-26694.178227689466</v>
      </c>
    </row>
    <row r="42" spans="12:27">
      <c r="L42" s="1">
        <v>44258</v>
      </c>
      <c r="M42">
        <v>653.20001200000002</v>
      </c>
      <c r="N42">
        <v>40</v>
      </c>
      <c r="O42">
        <f t="shared" si="0"/>
        <v>1018.5101051778149</v>
      </c>
      <c r="P42">
        <f t="shared" si="1"/>
        <v>-48423.736820629099</v>
      </c>
      <c r="Q42">
        <v>-29817.627565908944</v>
      </c>
      <c r="S42">
        <v>122.05999799999999</v>
      </c>
      <c r="T42">
        <v>40</v>
      </c>
      <c r="U42">
        <f t="shared" ref="U42" si="42">174.199997*S42/S41</f>
        <v>169.93966412724595</v>
      </c>
      <c r="V42">
        <f t="shared" si="3"/>
        <v>-46354.28177226102</v>
      </c>
      <c r="W42">
        <v>-34445.63101853081</v>
      </c>
      <c r="Z42">
        <f t="shared" si="4"/>
        <v>-47389.00929644506</v>
      </c>
      <c r="AA42">
        <v>-26214.185555754346</v>
      </c>
    </row>
    <row r="43" spans="12:27">
      <c r="L43" s="1">
        <v>44259</v>
      </c>
      <c r="M43">
        <v>621.44000200000005</v>
      </c>
      <c r="N43">
        <v>41</v>
      </c>
      <c r="O43">
        <f t="shared" si="0"/>
        <v>1018.2977011514812</v>
      </c>
      <c r="P43">
        <f t="shared" si="1"/>
        <v>-48622.182205348858</v>
      </c>
      <c r="Q43">
        <v>-29675.107158363913</v>
      </c>
      <c r="S43">
        <v>120.129997</v>
      </c>
      <c r="T43">
        <v>41</v>
      </c>
      <c r="U43">
        <f t="shared" ref="U43" si="43">174.199997*S43/S42</f>
        <v>171.4455633287001</v>
      </c>
      <c r="V43">
        <f t="shared" si="3"/>
        <v>-37903.668827221729</v>
      </c>
      <c r="W43">
        <v>-34368.936534566688</v>
      </c>
      <c r="Z43">
        <f t="shared" si="4"/>
        <v>-43262.925516285235</v>
      </c>
      <c r="AA43">
        <v>-25744.285255754599</v>
      </c>
    </row>
    <row r="44" spans="12:27">
      <c r="L44" s="1">
        <v>44260</v>
      </c>
      <c r="M44">
        <v>597.95001200000002</v>
      </c>
      <c r="N44">
        <v>42</v>
      </c>
      <c r="O44">
        <f t="shared" si="0"/>
        <v>1029.8818766960862</v>
      </c>
      <c r="P44">
        <f t="shared" si="1"/>
        <v>-37799.288627061993</v>
      </c>
      <c r="Q44">
        <v>-28457.808686128585</v>
      </c>
      <c r="S44">
        <v>121.41999800000001</v>
      </c>
      <c r="T44">
        <v>42</v>
      </c>
      <c r="U44">
        <f t="shared" ref="U44" si="44">174.199997*S44/S43</f>
        <v>176.07062195581346</v>
      </c>
      <c r="V44">
        <f t="shared" si="3"/>
        <v>-11949.355106815929</v>
      </c>
      <c r="W44">
        <v>-34328.011441318318</v>
      </c>
      <c r="Z44">
        <f t="shared" si="4"/>
        <v>-24874.321866938961</v>
      </c>
      <c r="AA44">
        <v>-25697.060565419728</v>
      </c>
    </row>
    <row r="45" spans="12:27">
      <c r="L45" s="1">
        <v>44263</v>
      </c>
      <c r="M45">
        <v>563</v>
      </c>
      <c r="N45">
        <v>43</v>
      </c>
      <c r="O45">
        <f t="shared" si="0"/>
        <v>1007.7788924904312</v>
      </c>
      <c r="P45">
        <f t="shared" si="1"/>
        <v>-58449.722048002877</v>
      </c>
      <c r="Q45">
        <v>-28293.072671690141</v>
      </c>
      <c r="S45">
        <v>116.360001</v>
      </c>
      <c r="T45">
        <v>43</v>
      </c>
      <c r="U45">
        <f t="shared" ref="U45" si="45">174.199997*S45/S44</f>
        <v>166.94047240158901</v>
      </c>
      <c r="V45">
        <f t="shared" si="3"/>
        <v>-63184.763119894895</v>
      </c>
      <c r="W45">
        <v>-33907.983066783287</v>
      </c>
      <c r="Z45">
        <f t="shared" si="4"/>
        <v>-60817.242583948886</v>
      </c>
      <c r="AA45">
        <v>-25637.521121921833</v>
      </c>
    </row>
    <row r="46" spans="12:27">
      <c r="L46" s="1">
        <v>44264</v>
      </c>
      <c r="M46">
        <v>673.580017</v>
      </c>
      <c r="N46">
        <v>44</v>
      </c>
      <c r="O46">
        <f t="shared" si="0"/>
        <v>1280.567695371331</v>
      </c>
      <c r="P46">
        <f t="shared" si="1"/>
        <v>196412.10834813491</v>
      </c>
      <c r="Q46">
        <v>-25057.637382800691</v>
      </c>
      <c r="S46">
        <v>121.089996</v>
      </c>
      <c r="T46">
        <v>44</v>
      </c>
      <c r="U46">
        <f t="shared" ref="U46" si="46">174.199997*S46/S45</f>
        <v>181.28116843115197</v>
      </c>
      <c r="V46">
        <f t="shared" si="3"/>
        <v>17290.524596091709</v>
      </c>
      <c r="W46">
        <v>-33869.76971062494</v>
      </c>
      <c r="Z46">
        <f t="shared" si="4"/>
        <v>106851.31647211337</v>
      </c>
      <c r="AA46">
        <v>-25394.266199236736</v>
      </c>
    </row>
    <row r="47" spans="12:27">
      <c r="L47" s="1">
        <v>44265</v>
      </c>
      <c r="M47">
        <v>668.05999799999995</v>
      </c>
      <c r="N47">
        <v>45</v>
      </c>
      <c r="O47">
        <f t="shared" si="0"/>
        <v>1061.5684810989278</v>
      </c>
      <c r="P47">
        <f t="shared" si="1"/>
        <v>-8195.0456674549496</v>
      </c>
      <c r="Q47">
        <v>-25025.570511438185</v>
      </c>
      <c r="S47">
        <v>119.980003</v>
      </c>
      <c r="T47">
        <v>45</v>
      </c>
      <c r="U47">
        <f t="shared" ref="U47" si="47">174.199997*S47/S46</f>
        <v>172.60316172328547</v>
      </c>
      <c r="V47">
        <f t="shared" si="3"/>
        <v>-31407.605897516012</v>
      </c>
      <c r="W47">
        <v>-33439.995552456588</v>
      </c>
      <c r="Z47">
        <f t="shared" si="4"/>
        <v>-19801.325782485539</v>
      </c>
      <c r="AA47">
        <v>-25146.886673300411</v>
      </c>
    </row>
    <row r="48" spans="12:27">
      <c r="L48" s="1">
        <v>44266</v>
      </c>
      <c r="M48">
        <v>699.59997599999997</v>
      </c>
      <c r="N48">
        <v>46</v>
      </c>
      <c r="O48">
        <f t="shared" si="0"/>
        <v>1120.8721024566432</v>
      </c>
      <c r="P48">
        <f t="shared" si="1"/>
        <v>47211.295533968019</v>
      </c>
      <c r="Q48">
        <v>-24936.357874057838</v>
      </c>
      <c r="S48">
        <v>121.959999</v>
      </c>
      <c r="T48">
        <v>46</v>
      </c>
      <c r="U48">
        <f t="shared" ref="U48" si="48">174.199997*S48/S47</f>
        <v>177.0747702008309</v>
      </c>
      <c r="V48">
        <f t="shared" si="3"/>
        <v>-6314.4041420443682</v>
      </c>
      <c r="W48">
        <v>-32759.857096574386</v>
      </c>
      <c r="Z48">
        <f t="shared" si="4"/>
        <v>20448.445695961826</v>
      </c>
      <c r="AA48">
        <v>-24874.321866938961</v>
      </c>
    </row>
    <row r="49" spans="12:27">
      <c r="L49" s="1">
        <v>44267</v>
      </c>
      <c r="M49">
        <v>693.72997999999995</v>
      </c>
      <c r="N49">
        <v>47</v>
      </c>
      <c r="O49">
        <f t="shared" si="0"/>
        <v>1061.3592748413425</v>
      </c>
      <c r="P49">
        <f t="shared" si="1"/>
        <v>-8390.5034324929584</v>
      </c>
      <c r="Q49">
        <v>-24627.037290895823</v>
      </c>
      <c r="S49">
        <v>121.029999</v>
      </c>
      <c r="T49">
        <v>47</v>
      </c>
      <c r="U49">
        <f t="shared" ref="U49" si="49">174.199997*S49/S48</f>
        <v>172.87164345344084</v>
      </c>
      <c r="V49">
        <f t="shared" si="3"/>
        <v>-29900.974389798357</v>
      </c>
      <c r="W49">
        <v>-32311.871115698479</v>
      </c>
      <c r="Z49">
        <f t="shared" si="4"/>
        <v>-19145.7389111456</v>
      </c>
      <c r="AA49">
        <v>-24503.204181190231</v>
      </c>
    </row>
    <row r="50" spans="12:27">
      <c r="L50" s="1">
        <v>44270</v>
      </c>
      <c r="M50">
        <v>707.94000200000005</v>
      </c>
      <c r="N50">
        <v>48</v>
      </c>
      <c r="O50">
        <f t="shared" si="0"/>
        <v>1092.2642807951302</v>
      </c>
      <c r="P50">
        <f t="shared" si="1"/>
        <v>20483.505700589973</v>
      </c>
      <c r="Q50">
        <v>-24383.69862510229</v>
      </c>
      <c r="S50">
        <v>123.989998</v>
      </c>
      <c r="T50">
        <v>48</v>
      </c>
      <c r="U50">
        <f t="shared" ref="U50" si="50">174.199997*S50/S49</f>
        <v>178.46036072122914</v>
      </c>
      <c r="V50">
        <f t="shared" si="3"/>
        <v>1461.0759013040224</v>
      </c>
      <c r="W50">
        <v>-32303.95663300762</v>
      </c>
      <c r="Z50">
        <f t="shared" si="4"/>
        <v>10972.290800946997</v>
      </c>
      <c r="AA50">
        <v>-24317.893814704963</v>
      </c>
    </row>
    <row r="51" spans="12:27">
      <c r="L51" s="1">
        <v>44271</v>
      </c>
      <c r="M51">
        <v>676.88000499999998</v>
      </c>
      <c r="N51">
        <v>49</v>
      </c>
      <c r="O51">
        <f t="shared" si="0"/>
        <v>1023.3801162401044</v>
      </c>
      <c r="P51">
        <f t="shared" si="1"/>
        <v>-43873.770252073067</v>
      </c>
      <c r="Q51">
        <v>-22676.24001387693</v>
      </c>
      <c r="S51">
        <v>125.57</v>
      </c>
      <c r="T51">
        <v>49</v>
      </c>
      <c r="U51">
        <f t="shared" ref="U51" si="51">174.199997*S51/S50</f>
        <v>176.41982398685093</v>
      </c>
      <c r="V51">
        <f t="shared" si="3"/>
        <v>-9989.7477167133475</v>
      </c>
      <c r="W51">
        <v>-31794.125308108167</v>
      </c>
      <c r="Z51">
        <f t="shared" si="4"/>
        <v>-26931.758984393207</v>
      </c>
      <c r="AA51">
        <v>-24256.456131650601</v>
      </c>
    </row>
    <row r="52" spans="12:27">
      <c r="L52" s="1">
        <v>44272</v>
      </c>
      <c r="M52">
        <v>701.80999799999995</v>
      </c>
      <c r="N52">
        <v>50</v>
      </c>
      <c r="O52">
        <f t="shared" si="0"/>
        <v>1109.7613814102544</v>
      </c>
      <c r="P52">
        <f t="shared" si="1"/>
        <v>36830.742252461612</v>
      </c>
      <c r="Q52">
        <v>-22635.605408282136</v>
      </c>
      <c r="S52">
        <v>124.760002</v>
      </c>
      <c r="T52">
        <v>50</v>
      </c>
      <c r="U52">
        <f t="shared" ref="U52" si="52">174.199997*S52/S51</f>
        <v>173.07630782925852</v>
      </c>
      <c r="V52">
        <f t="shared" si="3"/>
        <v>-28752.464966323576</v>
      </c>
      <c r="W52">
        <v>-31549.453895627172</v>
      </c>
      <c r="Z52">
        <f t="shared" si="4"/>
        <v>4039.1386430689599</v>
      </c>
      <c r="AA52">
        <v>-24123.859619525727</v>
      </c>
    </row>
    <row r="53" spans="12:27">
      <c r="L53" s="1">
        <v>44273</v>
      </c>
      <c r="M53">
        <v>653.15997300000004</v>
      </c>
      <c r="N53">
        <v>51</v>
      </c>
      <c r="O53">
        <f t="shared" si="0"/>
        <v>996.14315168730468</v>
      </c>
      <c r="P53">
        <f t="shared" si="1"/>
        <v>-69320.792149786255</v>
      </c>
      <c r="Q53">
        <v>-22525.753966323915</v>
      </c>
      <c r="S53">
        <v>120.529999</v>
      </c>
      <c r="T53">
        <v>51</v>
      </c>
      <c r="U53">
        <f t="shared" ref="U53" si="53">174.199997*S53/S52</f>
        <v>168.29372497292846</v>
      </c>
      <c r="V53">
        <f t="shared" si="3"/>
        <v>-55590.75305187318</v>
      </c>
      <c r="W53">
        <v>-31497.399052269757</v>
      </c>
      <c r="Z53">
        <f t="shared" si="4"/>
        <v>-62455.772600829718</v>
      </c>
      <c r="AA53">
        <v>-24118.090952022001</v>
      </c>
    </row>
    <row r="54" spans="12:27">
      <c r="L54" s="1">
        <v>44274</v>
      </c>
      <c r="M54">
        <v>654.86999500000002</v>
      </c>
      <c r="N54">
        <v>52</v>
      </c>
      <c r="O54">
        <f t="shared" si="0"/>
        <v>1073.1421966402711</v>
      </c>
      <c r="P54">
        <f t="shared" si="1"/>
        <v>2618.0753118500579</v>
      </c>
      <c r="Q54">
        <v>-22295.889940828434</v>
      </c>
      <c r="S54">
        <v>119.989998</v>
      </c>
      <c r="T54">
        <v>52</v>
      </c>
      <c r="U54">
        <f t="shared" ref="U54" si="54">174.199997*S54/S53</f>
        <v>173.41954256242883</v>
      </c>
      <c r="V54">
        <f t="shared" si="3"/>
        <v>-26826.344096802408</v>
      </c>
      <c r="W54">
        <v>-31439.895516914199</v>
      </c>
      <c r="Z54">
        <f t="shared" si="4"/>
        <v>-12104.134392476175</v>
      </c>
      <c r="AA54">
        <v>-23468.610925529501</v>
      </c>
    </row>
    <row r="55" spans="12:27">
      <c r="L55" s="1">
        <v>44277</v>
      </c>
      <c r="M55">
        <v>670</v>
      </c>
      <c r="N55">
        <v>53</v>
      </c>
      <c r="O55">
        <f t="shared" si="0"/>
        <v>1095.068918556881</v>
      </c>
      <c r="P55">
        <f t="shared" si="1"/>
        <v>23103.829944140278</v>
      </c>
      <c r="Q55">
        <v>-21917.386983904871</v>
      </c>
      <c r="S55">
        <v>123.389999</v>
      </c>
      <c r="T55">
        <v>53</v>
      </c>
      <c r="U55">
        <f t="shared" ref="U55" si="55">174.199997*S55/S54</f>
        <v>179.13607645555595</v>
      </c>
      <c r="V55">
        <f t="shared" si="3"/>
        <v>5252.9712194998283</v>
      </c>
      <c r="W55">
        <v>-31407.605897516012</v>
      </c>
      <c r="Z55">
        <f t="shared" si="4"/>
        <v>14178.400581820053</v>
      </c>
      <c r="AA55">
        <v>-23206.224264507764</v>
      </c>
    </row>
    <row r="56" spans="12:27">
      <c r="L56" s="1">
        <v>44278</v>
      </c>
      <c r="M56">
        <v>662.15997300000004</v>
      </c>
      <c r="N56">
        <v>54</v>
      </c>
      <c r="O56">
        <f t="shared" si="0"/>
        <v>1057.8153477423596</v>
      </c>
      <c r="P56">
        <f t="shared" si="1"/>
        <v>-11701.532835820923</v>
      </c>
      <c r="Q56">
        <v>-21890.957403109176</v>
      </c>
      <c r="S56">
        <v>122.540001</v>
      </c>
      <c r="T56">
        <v>54</v>
      </c>
      <c r="U56">
        <f t="shared" ref="U56" si="56">174.199997*S56/S55</f>
        <v>172.99998362573936</v>
      </c>
      <c r="V56">
        <f t="shared" si="3"/>
        <v>-29180.771390588954</v>
      </c>
      <c r="W56">
        <v>-31345.381838551606</v>
      </c>
      <c r="Z56">
        <f t="shared" si="4"/>
        <v>-20441.152113204938</v>
      </c>
      <c r="AA56">
        <v>-23006.510838654474</v>
      </c>
    </row>
    <row r="57" spans="12:27">
      <c r="L57" s="1">
        <v>44279</v>
      </c>
      <c r="M57">
        <v>630.27002000000005</v>
      </c>
      <c r="N57">
        <v>55</v>
      </c>
      <c r="O57">
        <f t="shared" si="0"/>
        <v>1018.7918619140383</v>
      </c>
      <c r="P57">
        <f t="shared" si="1"/>
        <v>-48160.496406206046</v>
      </c>
      <c r="Q57">
        <v>-21731.565833147382</v>
      </c>
      <c r="S57">
        <v>120.089996</v>
      </c>
      <c r="T57">
        <v>55</v>
      </c>
      <c r="U57">
        <f t="shared" ref="U57" si="57">174.199997*S57/S56</f>
        <v>170.71712724182211</v>
      </c>
      <c r="V57">
        <f t="shared" si="3"/>
        <v>-41991.413491313811</v>
      </c>
      <c r="W57">
        <v>-30889.249270814704</v>
      </c>
      <c r="Z57">
        <f t="shared" si="4"/>
        <v>-45075.954948759871</v>
      </c>
      <c r="AA57">
        <v>-22882.678580773296</v>
      </c>
    </row>
    <row r="58" spans="12:27">
      <c r="L58" s="1">
        <v>44280</v>
      </c>
      <c r="M58">
        <v>640.39001499999995</v>
      </c>
      <c r="N58">
        <v>56</v>
      </c>
      <c r="O58">
        <f t="shared" si="0"/>
        <v>1087.5259890702707</v>
      </c>
      <c r="P58">
        <f t="shared" si="1"/>
        <v>16056.602216300671</v>
      </c>
      <c r="Q58">
        <v>-21436.154209903558</v>
      </c>
      <c r="S58">
        <v>120.589996</v>
      </c>
      <c r="T58">
        <v>56</v>
      </c>
      <c r="U58">
        <f t="shared" ref="U58" si="58">174.199997*S58/S57</f>
        <v>174.92528637797616</v>
      </c>
      <c r="V58">
        <f t="shared" si="3"/>
        <v>-18376.603126563714</v>
      </c>
      <c r="W58">
        <v>-30682.301879315521</v>
      </c>
      <c r="Z58">
        <f t="shared" si="4"/>
        <v>-1160.0004551315214</v>
      </c>
      <c r="AA58">
        <v>-22826.220384689746</v>
      </c>
    </row>
    <row r="59" spans="12:27">
      <c r="L59" s="1">
        <v>44281</v>
      </c>
      <c r="M59">
        <v>618.71002199999998</v>
      </c>
      <c r="N59">
        <v>57</v>
      </c>
      <c r="O59">
        <f t="shared" si="0"/>
        <v>1034.104293320906</v>
      </c>
      <c r="P59">
        <f t="shared" si="1"/>
        <v>-33854.358269467833</v>
      </c>
      <c r="Q59">
        <v>-20738.065807625535</v>
      </c>
      <c r="S59">
        <v>121.209999</v>
      </c>
      <c r="T59">
        <v>57</v>
      </c>
      <c r="U59">
        <f t="shared" ref="U59" si="59">174.199997*S59/S58</f>
        <v>175.09563116802826</v>
      </c>
      <c r="V59">
        <f t="shared" si="3"/>
        <v>-17420.683974375832</v>
      </c>
      <c r="W59">
        <v>-30678.95354072121</v>
      </c>
      <c r="Z59">
        <f t="shared" si="4"/>
        <v>-25637.521121921833</v>
      </c>
      <c r="AA59">
        <v>-22725.119530900614</v>
      </c>
    </row>
    <row r="60" spans="12:27">
      <c r="L60" s="1">
        <v>44284</v>
      </c>
      <c r="M60">
        <v>611.28997800000002</v>
      </c>
      <c r="N60">
        <v>58</v>
      </c>
      <c r="O60">
        <f t="shared" si="0"/>
        <v>1057.503630139453</v>
      </c>
      <c r="P60">
        <f t="shared" si="1"/>
        <v>-11992.765166490222</v>
      </c>
      <c r="Q60">
        <v>-19524.902067492716</v>
      </c>
      <c r="S60">
        <v>121.389999</v>
      </c>
      <c r="T60">
        <v>58</v>
      </c>
      <c r="U60">
        <f t="shared" ref="U60" si="60">174.199997*S60/S59</f>
        <v>174.45868852478088</v>
      </c>
      <c r="V60">
        <f t="shared" si="3"/>
        <v>-20994.99740855291</v>
      </c>
      <c r="W60">
        <v>-30386.37706863042</v>
      </c>
      <c r="Z60">
        <f t="shared" si="4"/>
        <v>-16493.881287521566</v>
      </c>
      <c r="AA60">
        <v>-22520.537202586187</v>
      </c>
    </row>
    <row r="61" spans="12:27">
      <c r="L61" s="1">
        <v>44285</v>
      </c>
      <c r="M61">
        <v>635.61999500000002</v>
      </c>
      <c r="N61">
        <v>59</v>
      </c>
      <c r="O61">
        <f t="shared" si="0"/>
        <v>1112.9406800731488</v>
      </c>
      <c r="P61">
        <f t="shared" si="1"/>
        <v>39801.105654638959</v>
      </c>
      <c r="Q61">
        <v>-19382.272596988594</v>
      </c>
      <c r="S61">
        <v>119.900002</v>
      </c>
      <c r="T61">
        <v>59</v>
      </c>
      <c r="U61">
        <f t="shared" ref="U61" si="61">174.199997*S61/S60</f>
        <v>172.06178565583471</v>
      </c>
      <c r="V61">
        <f t="shared" si="3"/>
        <v>-34445.63101853081</v>
      </c>
      <c r="W61">
        <v>-30289.846024205908</v>
      </c>
      <c r="Z61">
        <f t="shared" si="4"/>
        <v>2677.7373180540744</v>
      </c>
      <c r="AA61">
        <v>-22191.488430527737</v>
      </c>
    </row>
    <row r="62" spans="12:27">
      <c r="L62" s="1">
        <v>44286</v>
      </c>
      <c r="M62">
        <v>667.92999299999997</v>
      </c>
      <c r="N62">
        <v>60</v>
      </c>
      <c r="O62">
        <f t="shared" si="0"/>
        <v>1124.7477606458874</v>
      </c>
      <c r="P62">
        <f t="shared" si="1"/>
        <v>50832.255520847626</v>
      </c>
      <c r="Q62">
        <v>-18822.279050760204</v>
      </c>
      <c r="S62">
        <v>122.150002</v>
      </c>
      <c r="T62">
        <v>60</v>
      </c>
      <c r="U62">
        <f t="shared" ref="U62" si="62">174.199997*S62/S61</f>
        <v>177.46897103429566</v>
      </c>
      <c r="V62">
        <f t="shared" si="3"/>
        <v>-4102.278215550934</v>
      </c>
      <c r="W62">
        <v>-30289.827429459314</v>
      </c>
      <c r="Z62">
        <f t="shared" si="4"/>
        <v>23364.988652648404</v>
      </c>
      <c r="AA62">
        <v>-21734.777946339455</v>
      </c>
    </row>
    <row r="63" spans="12:27">
      <c r="L63" s="1">
        <v>44287</v>
      </c>
      <c r="M63">
        <v>661.75</v>
      </c>
      <c r="N63">
        <v>61</v>
      </c>
      <c r="O63">
        <f t="shared" si="0"/>
        <v>1060.4366923533257</v>
      </c>
      <c r="P63">
        <f t="shared" si="1"/>
        <v>-9252.4561926657334</v>
      </c>
      <c r="Q63">
        <v>-17438.317910400918</v>
      </c>
      <c r="S63">
        <v>123</v>
      </c>
      <c r="T63">
        <v>61</v>
      </c>
      <c r="U63">
        <f t="shared" ref="U63" si="63">174.199997*S63/S62</f>
        <v>175.41219222411476</v>
      </c>
      <c r="V63">
        <f t="shared" si="3"/>
        <v>-15644.247041627183</v>
      </c>
      <c r="W63">
        <v>-30050.46659084782</v>
      </c>
      <c r="Z63">
        <f t="shared" si="4"/>
        <v>-12448.351617146516</v>
      </c>
      <c r="AA63">
        <v>-21505.320018752012</v>
      </c>
    </row>
    <row r="64" spans="12:27">
      <c r="L64" s="1">
        <v>44291</v>
      </c>
      <c r="M64">
        <v>691.04998799999998</v>
      </c>
      <c r="N64">
        <v>62</v>
      </c>
      <c r="O64">
        <f t="shared" si="0"/>
        <v>1117.7308963509188</v>
      </c>
      <c r="P64">
        <f t="shared" si="1"/>
        <v>44276.521344918874</v>
      </c>
      <c r="Q64">
        <v>-16498.828447989654</v>
      </c>
      <c r="S64">
        <v>125.900002</v>
      </c>
      <c r="T64">
        <v>62</v>
      </c>
      <c r="U64">
        <f t="shared" ref="U64" si="64">174.199997*S64/S63</f>
        <v>178.30715423333328</v>
      </c>
      <c r="V64">
        <f t="shared" si="3"/>
        <v>601.33128584339283</v>
      </c>
      <c r="W64">
        <v>-29957.966920935782</v>
      </c>
      <c r="Z64">
        <f t="shared" si="4"/>
        <v>22438.926315381192</v>
      </c>
      <c r="AA64">
        <v>-21350.787822359591</v>
      </c>
    </row>
    <row r="65" spans="12:27">
      <c r="L65" s="1">
        <v>44292</v>
      </c>
      <c r="M65">
        <v>691.61999500000002</v>
      </c>
      <c r="N65">
        <v>63</v>
      </c>
      <c r="O65">
        <f t="shared" si="0"/>
        <v>1071.2228272742843</v>
      </c>
      <c r="P65">
        <f t="shared" si="1"/>
        <v>824.84192156605422</v>
      </c>
      <c r="Q65">
        <v>-16168.216250329744</v>
      </c>
      <c r="S65">
        <v>126.209999</v>
      </c>
      <c r="T65">
        <v>63</v>
      </c>
      <c r="U65">
        <f t="shared" ref="U65" si="65">174.199997*S65/S64</f>
        <v>174.62892055529912</v>
      </c>
      <c r="V65">
        <f t="shared" si="3"/>
        <v>-20039.711025926052</v>
      </c>
      <c r="W65">
        <v>-29900.974389798357</v>
      </c>
      <c r="Z65">
        <f t="shared" si="4"/>
        <v>-9607.4345521799987</v>
      </c>
      <c r="AA65">
        <v>-20983.406690924661</v>
      </c>
    </row>
    <row r="66" spans="12:27">
      <c r="L66" s="1">
        <v>44293</v>
      </c>
      <c r="M66">
        <v>670.96997099999999</v>
      </c>
      <c r="N66">
        <v>64</v>
      </c>
      <c r="O66">
        <f t="shared" si="0"/>
        <v>1038.3823214179356</v>
      </c>
      <c r="P66">
        <f t="shared" si="1"/>
        <v>-29857.471081355819</v>
      </c>
      <c r="Q66">
        <v>-14672.029609104386</v>
      </c>
      <c r="S66">
        <v>127.900002</v>
      </c>
      <c r="T66">
        <v>64</v>
      </c>
      <c r="U66">
        <f t="shared" ref="U66" si="66">174.199997*S66/S65</f>
        <v>176.53260550853815</v>
      </c>
      <c r="V66">
        <f t="shared" si="3"/>
        <v>-9356.8547672973946</v>
      </c>
      <c r="W66">
        <v>-29690.633212541114</v>
      </c>
      <c r="Z66">
        <f t="shared" si="4"/>
        <v>-19607.162924326607</v>
      </c>
      <c r="AA66">
        <v>-20881.910056008724</v>
      </c>
    </row>
    <row r="67" spans="12:27">
      <c r="L67" s="1">
        <v>44294</v>
      </c>
      <c r="M67">
        <v>683.79998799999998</v>
      </c>
      <c r="N67">
        <v>65</v>
      </c>
      <c r="O67">
        <f t="shared" si="0"/>
        <v>1090.8065748693848</v>
      </c>
      <c r="P67">
        <f t="shared" si="1"/>
        <v>19121.596426854143</v>
      </c>
      <c r="Q67">
        <v>-14592.26825964509</v>
      </c>
      <c r="S67">
        <v>130.36000100000001</v>
      </c>
      <c r="T67">
        <v>65</v>
      </c>
      <c r="U67">
        <f t="shared" ref="U67" si="67">174.199997*S67/S66</f>
        <v>177.55051937465956</v>
      </c>
      <c r="V67">
        <f t="shared" si="3"/>
        <v>-3644.6556468821364</v>
      </c>
      <c r="W67">
        <v>-29180.771390588954</v>
      </c>
      <c r="Z67">
        <f t="shared" si="4"/>
        <v>7738.4703899859451</v>
      </c>
      <c r="AA67">
        <v>-20441.152113204938</v>
      </c>
    </row>
    <row r="68" spans="12:27">
      <c r="L68" s="1">
        <v>44295</v>
      </c>
      <c r="M68">
        <v>677.02002000000005</v>
      </c>
      <c r="N68">
        <v>66</v>
      </c>
      <c r="O68">
        <f t="shared" ref="O68:O131" si="68">1070.339966*M68/M67</f>
        <v>1059.7274026101904</v>
      </c>
      <c r="P68">
        <f t="shared" ref="P68:P131" si="69">(1000000*O68/1070.339966)-1000000</f>
        <v>-9915.133253848413</v>
      </c>
      <c r="Q68">
        <v>-14117.039975528023</v>
      </c>
      <c r="S68">
        <v>133</v>
      </c>
      <c r="T68">
        <v>66</v>
      </c>
      <c r="U68">
        <f t="shared" ref="U68" si="70">174.199997*S68/S67</f>
        <v>177.72782619877393</v>
      </c>
      <c r="V68">
        <f t="shared" ref="V68:V131" si="71">(1000000*U68/178.199997)-1000000</f>
        <v>-2649.6678404886043</v>
      </c>
      <c r="W68">
        <v>-29001.067487860681</v>
      </c>
      <c r="Z68">
        <f t="shared" ref="Z68:Z131" si="72">(500000*O68/1070.339966+500000*U68/178.199997)-1000000</f>
        <v>-6282.4005471684504</v>
      </c>
      <c r="AA68">
        <v>-19880.040740350261</v>
      </c>
    </row>
    <row r="69" spans="12:27">
      <c r="L69" s="1">
        <v>44298</v>
      </c>
      <c r="M69">
        <v>701.97997999999995</v>
      </c>
      <c r="N69">
        <v>67</v>
      </c>
      <c r="O69">
        <f t="shared" si="68"/>
        <v>1109.8006051961072</v>
      </c>
      <c r="P69">
        <f t="shared" si="69"/>
        <v>36867.388352858252</v>
      </c>
      <c r="Q69">
        <v>-13493.727590240771</v>
      </c>
      <c r="S69">
        <v>131.240005</v>
      </c>
      <c r="T69">
        <v>67</v>
      </c>
      <c r="U69">
        <f t="shared" ref="U69" si="73">174.199997*S69/S68</f>
        <v>171.89480058105252</v>
      </c>
      <c r="V69">
        <f t="shared" si="71"/>
        <v>-35382.696549357846</v>
      </c>
      <c r="W69">
        <v>-28877.287633033702</v>
      </c>
      <c r="Z69">
        <f t="shared" si="72"/>
        <v>742.34590175026096</v>
      </c>
      <c r="AA69">
        <v>-19801.325782485539</v>
      </c>
    </row>
    <row r="70" spans="12:27">
      <c r="L70" s="1">
        <v>44299</v>
      </c>
      <c r="M70">
        <v>762.32000700000003</v>
      </c>
      <c r="N70">
        <v>68</v>
      </c>
      <c r="O70">
        <f t="shared" si="68"/>
        <v>1162.3430776095636</v>
      </c>
      <c r="P70">
        <f t="shared" si="69"/>
        <v>85956.905779563822</v>
      </c>
      <c r="Q70">
        <v>-11992.765166490222</v>
      </c>
      <c r="S70">
        <v>134.429993</v>
      </c>
      <c r="T70">
        <v>68</v>
      </c>
      <c r="U70">
        <f t="shared" ref="U70" si="74">174.199997*S70/S69</f>
        <v>178.43419296814275</v>
      </c>
      <c r="V70">
        <f t="shared" si="71"/>
        <v>1314.2310442505404</v>
      </c>
      <c r="W70">
        <v>-28872.85815484263</v>
      </c>
      <c r="Z70">
        <f t="shared" si="72"/>
        <v>43635.568411907181</v>
      </c>
      <c r="AA70">
        <v>-19607.162924326607</v>
      </c>
    </row>
    <row r="71" spans="12:27">
      <c r="L71" s="1">
        <v>44300</v>
      </c>
      <c r="M71">
        <v>732.22997999999995</v>
      </c>
      <c r="N71">
        <v>69</v>
      </c>
      <c r="O71">
        <f t="shared" si="68"/>
        <v>1028.0918835931595</v>
      </c>
      <c r="P71">
        <f t="shared" si="69"/>
        <v>-39471.648026679875</v>
      </c>
      <c r="Q71">
        <v>-11701.532835820923</v>
      </c>
      <c r="S71">
        <v>132.029999</v>
      </c>
      <c r="T71">
        <v>69</v>
      </c>
      <c r="U71">
        <f t="shared" ref="U71" si="75">174.199997*S71/S70</f>
        <v>171.08998458186338</v>
      </c>
      <c r="V71">
        <f t="shared" si="71"/>
        <v>-39899.060257204343</v>
      </c>
      <c r="W71">
        <v>-28802.522704619798</v>
      </c>
      <c r="Z71">
        <f t="shared" si="72"/>
        <v>-39685.354141942109</v>
      </c>
      <c r="AA71">
        <v>-19505.65194232529</v>
      </c>
    </row>
    <row r="72" spans="12:27">
      <c r="L72" s="1">
        <v>44301</v>
      </c>
      <c r="M72">
        <v>738.84997599999997</v>
      </c>
      <c r="N72">
        <v>70</v>
      </c>
      <c r="O72">
        <f t="shared" si="68"/>
        <v>1080.0167704017538</v>
      </c>
      <c r="P72">
        <f t="shared" si="69"/>
        <v>9040.8699190381449</v>
      </c>
      <c r="Q72">
        <v>-11694.289544497035</v>
      </c>
      <c r="S72">
        <v>134.5</v>
      </c>
      <c r="T72">
        <v>70</v>
      </c>
      <c r="U72">
        <f t="shared" ref="U72" si="76">174.199997*S72/S71</f>
        <v>177.45890914155046</v>
      </c>
      <c r="V72">
        <f t="shared" si="71"/>
        <v>-4158.7422610874055</v>
      </c>
      <c r="W72">
        <v>-28752.464966323576</v>
      </c>
      <c r="Z72">
        <f t="shared" si="72"/>
        <v>2441.0638289754279</v>
      </c>
      <c r="AA72">
        <v>-19232.186828994192</v>
      </c>
    </row>
    <row r="73" spans="12:27">
      <c r="L73" s="1">
        <v>44302</v>
      </c>
      <c r="M73">
        <v>739.78002900000001</v>
      </c>
      <c r="N73">
        <v>71</v>
      </c>
      <c r="O73">
        <f t="shared" si="68"/>
        <v>1071.6872935072533</v>
      </c>
      <c r="P73">
        <f t="shared" si="69"/>
        <v>1258.7846385745797</v>
      </c>
      <c r="Q73">
        <v>-11557.616063379915</v>
      </c>
      <c r="S73">
        <v>134.16000399999999</v>
      </c>
      <c r="T73">
        <v>71</v>
      </c>
      <c r="U73">
        <f t="shared" ref="U73" si="77">174.199997*S73/S72</f>
        <v>173.75964531092927</v>
      </c>
      <c r="V73">
        <f t="shared" si="71"/>
        <v>-24917.798899125308</v>
      </c>
      <c r="W73">
        <v>-28739.928863873356</v>
      </c>
      <c r="Z73">
        <f t="shared" si="72"/>
        <v>-11829.507130275364</v>
      </c>
      <c r="AA73">
        <v>-19180.159225334646</v>
      </c>
    </row>
    <row r="74" spans="12:27">
      <c r="L74" s="1">
        <v>44305</v>
      </c>
      <c r="M74">
        <v>714.63000499999998</v>
      </c>
      <c r="N74">
        <v>72</v>
      </c>
      <c r="O74">
        <f t="shared" si="68"/>
        <v>1033.9520198838457</v>
      </c>
      <c r="P74">
        <f t="shared" si="69"/>
        <v>-33996.624691256555</v>
      </c>
      <c r="Q74">
        <v>-11029.337910903152</v>
      </c>
      <c r="S74">
        <v>134.83999600000001</v>
      </c>
      <c r="T74">
        <v>72</v>
      </c>
      <c r="U74">
        <f t="shared" ref="U74" si="78">174.199997*S74/S73</f>
        <v>175.08293230730683</v>
      </c>
      <c r="V74">
        <f t="shared" si="71"/>
        <v>-17491.945820252527</v>
      </c>
      <c r="W74">
        <v>-28562.207513453439</v>
      </c>
      <c r="Z74">
        <f t="shared" si="72"/>
        <v>-25744.285255754599</v>
      </c>
      <c r="AA74">
        <v>-19145.7389111456</v>
      </c>
    </row>
    <row r="75" spans="12:27">
      <c r="L75" s="1">
        <v>44306</v>
      </c>
      <c r="M75">
        <v>718.98999000000003</v>
      </c>
      <c r="N75">
        <v>73</v>
      </c>
      <c r="O75">
        <f t="shared" si="68"/>
        <v>1076.8701510804046</v>
      </c>
      <c r="P75">
        <f t="shared" si="69"/>
        <v>6101.038256853004</v>
      </c>
      <c r="Q75">
        <v>-11013.41662359098</v>
      </c>
      <c r="S75">
        <v>133.11000100000001</v>
      </c>
      <c r="T75">
        <v>73</v>
      </c>
      <c r="U75">
        <f t="shared" ref="U75" si="79">174.199997*S75/S74</f>
        <v>171.96501381437298</v>
      </c>
      <c r="V75">
        <f t="shared" si="71"/>
        <v>-34988.682887727628</v>
      </c>
      <c r="W75">
        <v>-28462.556126895361</v>
      </c>
      <c r="Z75">
        <f t="shared" si="72"/>
        <v>-14443.822315437254</v>
      </c>
      <c r="AA75">
        <v>-18968.322720398195</v>
      </c>
    </row>
    <row r="76" spans="12:27">
      <c r="L76" s="1">
        <v>44307</v>
      </c>
      <c r="M76">
        <v>744.11999500000002</v>
      </c>
      <c r="N76">
        <v>74</v>
      </c>
      <c r="O76">
        <f t="shared" si="68"/>
        <v>1107.7502903040697</v>
      </c>
      <c r="P76">
        <f t="shared" si="69"/>
        <v>34951.814836810227</v>
      </c>
      <c r="Q76">
        <v>-10231.719803777407</v>
      </c>
      <c r="S76">
        <v>133.5</v>
      </c>
      <c r="T76">
        <v>74</v>
      </c>
      <c r="U76">
        <f t="shared" ref="U76" si="80">174.199997*S76/S75</f>
        <v>174.71038558177156</v>
      </c>
      <c r="V76">
        <f t="shared" si="71"/>
        <v>-19582.55598752026</v>
      </c>
      <c r="W76">
        <v>-28438.906628011144</v>
      </c>
      <c r="Z76">
        <f t="shared" si="72"/>
        <v>7684.6294246449834</v>
      </c>
      <c r="AA76">
        <v>-18635.316024067462</v>
      </c>
    </row>
    <row r="77" spans="12:27">
      <c r="L77" s="1">
        <v>44308</v>
      </c>
      <c r="M77">
        <v>719.69000200000005</v>
      </c>
      <c r="N77">
        <v>75</v>
      </c>
      <c r="O77">
        <f t="shared" si="68"/>
        <v>1035.1999374391492</v>
      </c>
      <c r="P77">
        <f t="shared" si="69"/>
        <v>-32830.717040468706</v>
      </c>
      <c r="Q77">
        <v>-10054.916166889481</v>
      </c>
      <c r="S77">
        <v>131.94000199999999</v>
      </c>
      <c r="T77">
        <v>75</v>
      </c>
      <c r="U77">
        <f t="shared" ref="U77" si="81">174.199997*S77/S76</f>
        <v>172.16440413917596</v>
      </c>
      <c r="V77">
        <f t="shared" si="71"/>
        <v>-33869.76971062494</v>
      </c>
      <c r="W77">
        <v>-28338.610428399756</v>
      </c>
      <c r="Z77">
        <f t="shared" si="72"/>
        <v>-33350.243375546765</v>
      </c>
      <c r="AA77">
        <v>-18540.129571893602</v>
      </c>
    </row>
    <row r="78" spans="12:27">
      <c r="L78" s="1">
        <v>44309</v>
      </c>
      <c r="M78">
        <v>729.40002400000003</v>
      </c>
      <c r="N78">
        <v>76</v>
      </c>
      <c r="O78">
        <f t="shared" si="68"/>
        <v>1084.780940014447</v>
      </c>
      <c r="P78">
        <f t="shared" si="69"/>
        <v>13491.950663502561</v>
      </c>
      <c r="Q78">
        <v>-9915.133253848413</v>
      </c>
      <c r="S78">
        <v>134.320007</v>
      </c>
      <c r="T78">
        <v>76</v>
      </c>
      <c r="U78">
        <f t="shared" ref="U78" si="82">174.199997*S78/S77</f>
        <v>177.34231060902954</v>
      </c>
      <c r="V78">
        <f t="shared" si="71"/>
        <v>-4813.0550247454084</v>
      </c>
      <c r="W78">
        <v>-28084.488136137719</v>
      </c>
      <c r="Z78">
        <f t="shared" si="72"/>
        <v>4339.4478193785762</v>
      </c>
      <c r="AA78">
        <v>-18362.297177067259</v>
      </c>
    </row>
    <row r="79" spans="12:27">
      <c r="L79" s="1">
        <v>44312</v>
      </c>
      <c r="M79">
        <v>738.20001200000002</v>
      </c>
      <c r="N79">
        <v>77</v>
      </c>
      <c r="O79">
        <f t="shared" si="68"/>
        <v>1083.2532900290657</v>
      </c>
      <c r="P79">
        <f t="shared" si="69"/>
        <v>12064.693872288684</v>
      </c>
      <c r="Q79">
        <v>-9850.1528622063342</v>
      </c>
      <c r="S79">
        <v>134.720001</v>
      </c>
      <c r="T79">
        <v>77</v>
      </c>
      <c r="U79">
        <f t="shared" ref="U79" si="83">174.199997*S79/S78</f>
        <v>174.71875034997575</v>
      </c>
      <c r="V79">
        <f t="shared" si="71"/>
        <v>-19535.615648883861</v>
      </c>
      <c r="W79">
        <v>-27928.270627223304</v>
      </c>
      <c r="Z79">
        <f t="shared" si="72"/>
        <v>-3735.4608882975299</v>
      </c>
      <c r="AA79">
        <v>-18299.562130773673</v>
      </c>
    </row>
    <row r="80" spans="12:27">
      <c r="L80" s="1">
        <v>44313</v>
      </c>
      <c r="M80">
        <v>704.73999000000003</v>
      </c>
      <c r="N80">
        <v>78</v>
      </c>
      <c r="O80">
        <f t="shared" si="68"/>
        <v>1021.8252027547248</v>
      </c>
      <c r="P80">
        <f t="shared" si="69"/>
        <v>-45326.498856789549</v>
      </c>
      <c r="Q80">
        <v>-9806.3406630068785</v>
      </c>
      <c r="S80">
        <v>134.38999899999999</v>
      </c>
      <c r="T80">
        <v>78</v>
      </c>
      <c r="U80">
        <f t="shared" ref="U80" si="84">174.199997*S80/S79</f>
        <v>173.7732871797559</v>
      </c>
      <c r="V80">
        <f t="shared" si="71"/>
        <v>-24841.245200717356</v>
      </c>
      <c r="W80">
        <v>-27874.649919560412</v>
      </c>
      <c r="Z80">
        <f t="shared" si="72"/>
        <v>-35083.872028753394</v>
      </c>
      <c r="AA80">
        <v>-18258.20512515679</v>
      </c>
    </row>
    <row r="81" spans="12:27">
      <c r="L81" s="1">
        <v>44314</v>
      </c>
      <c r="M81">
        <v>694.40002400000003</v>
      </c>
      <c r="N81">
        <v>79</v>
      </c>
      <c r="O81">
        <f t="shared" si="68"/>
        <v>1054.6359063270402</v>
      </c>
      <c r="P81">
        <f t="shared" si="69"/>
        <v>-14672.029609104386</v>
      </c>
      <c r="Q81">
        <v>-9497.7388127853628</v>
      </c>
      <c r="S81">
        <v>133.58000200000001</v>
      </c>
      <c r="T81">
        <v>79</v>
      </c>
      <c r="U81">
        <f t="shared" ref="U81" si="85">174.199997*S81/S80</f>
        <v>173.150056706675</v>
      </c>
      <c r="V81">
        <f t="shared" si="71"/>
        <v>-28338.610428399756</v>
      </c>
      <c r="W81">
        <v>-27849.773406321416</v>
      </c>
      <c r="Z81">
        <f t="shared" si="72"/>
        <v>-21505.320018752012</v>
      </c>
      <c r="AA81">
        <v>-18169.615958991111</v>
      </c>
    </row>
    <row r="82" spans="12:27">
      <c r="L82" s="1">
        <v>44315</v>
      </c>
      <c r="M82">
        <v>677</v>
      </c>
      <c r="N82">
        <v>80</v>
      </c>
      <c r="O82">
        <f t="shared" si="68"/>
        <v>1043.5197752556528</v>
      </c>
      <c r="P82">
        <f t="shared" si="69"/>
        <v>-25057.637382800691</v>
      </c>
      <c r="Q82">
        <v>-9252.4561926657334</v>
      </c>
      <c r="S82">
        <v>133.479996</v>
      </c>
      <c r="T82">
        <v>80</v>
      </c>
      <c r="U82">
        <f t="shared" ref="U82" si="86">174.199997*S82/S81</f>
        <v>174.06958043585004</v>
      </c>
      <c r="V82">
        <f t="shared" si="71"/>
        <v>-23178.544521243428</v>
      </c>
      <c r="W82">
        <v>-27674.64900722797</v>
      </c>
      <c r="Z82">
        <f t="shared" si="72"/>
        <v>-24118.090952022001</v>
      </c>
      <c r="AA82">
        <v>-17891.219411017373</v>
      </c>
    </row>
    <row r="83" spans="12:27">
      <c r="L83" s="1">
        <v>44316</v>
      </c>
      <c r="M83">
        <v>709.44000200000005</v>
      </c>
      <c r="N83">
        <v>81</v>
      </c>
      <c r="O83">
        <f t="shared" si="68"/>
        <v>1121.6277512846675</v>
      </c>
      <c r="P83">
        <f t="shared" si="69"/>
        <v>47917.285081240698</v>
      </c>
      <c r="Q83">
        <v>-9201.9841634143377</v>
      </c>
      <c r="S83">
        <v>131.46000699999999</v>
      </c>
      <c r="T83">
        <v>81</v>
      </c>
      <c r="U83">
        <f t="shared" ref="U83" si="87">174.199997*S83/S82</f>
        <v>171.56378117527046</v>
      </c>
      <c r="V83">
        <f t="shared" si="71"/>
        <v>-37240.269003649475</v>
      </c>
      <c r="W83">
        <v>-27613.007865927299</v>
      </c>
      <c r="Z83">
        <f t="shared" si="72"/>
        <v>5338.5080387955531</v>
      </c>
      <c r="AA83">
        <v>-17675.605335555389</v>
      </c>
    </row>
    <row r="84" spans="12:27">
      <c r="L84" s="1">
        <v>44319</v>
      </c>
      <c r="M84">
        <v>684.90002400000003</v>
      </c>
      <c r="N84">
        <v>82</v>
      </c>
      <c r="O84">
        <f t="shared" si="68"/>
        <v>1033.3162301744005</v>
      </c>
      <c r="P84">
        <f t="shared" si="69"/>
        <v>-34590.631950297044</v>
      </c>
      <c r="Q84">
        <v>-9056.4718439998105</v>
      </c>
      <c r="S84">
        <v>132.53999300000001</v>
      </c>
      <c r="T84">
        <v>82</v>
      </c>
      <c r="U84">
        <f t="shared" ref="U84" si="88">174.199997*S84/S83</f>
        <v>175.63110568661406</v>
      </c>
      <c r="V84">
        <f t="shared" si="71"/>
        <v>-14415.776412083418</v>
      </c>
      <c r="W84">
        <v>-27463.213699119748</v>
      </c>
      <c r="Z84">
        <f t="shared" si="72"/>
        <v>-24503.204181190231</v>
      </c>
      <c r="AA84">
        <v>-17669.530672250781</v>
      </c>
    </row>
    <row r="85" spans="12:27">
      <c r="L85" s="1">
        <v>44320</v>
      </c>
      <c r="M85">
        <v>673.59997599999997</v>
      </c>
      <c r="N85">
        <v>83</v>
      </c>
      <c r="O85">
        <f t="shared" si="68"/>
        <v>1052.6806105199389</v>
      </c>
      <c r="P85">
        <f t="shared" si="69"/>
        <v>-16498.828447989654</v>
      </c>
      <c r="Q85">
        <v>-8924.4752543193754</v>
      </c>
      <c r="S85">
        <v>127.849998</v>
      </c>
      <c r="T85">
        <v>83</v>
      </c>
      <c r="U85">
        <f t="shared" ref="U85" si="89">174.199997*S85/S84</f>
        <v>168.03584158971552</v>
      </c>
      <c r="V85">
        <f t="shared" si="71"/>
        <v>-57037.910108856391</v>
      </c>
      <c r="W85">
        <v>-26929.275562403724</v>
      </c>
      <c r="Z85">
        <f t="shared" si="72"/>
        <v>-36768.369278423022</v>
      </c>
      <c r="AA85">
        <v>-16542.367610043148</v>
      </c>
    </row>
    <row r="86" spans="12:27">
      <c r="L86" s="1">
        <v>44321</v>
      </c>
      <c r="M86">
        <v>670.94000200000005</v>
      </c>
      <c r="N86">
        <v>84</v>
      </c>
      <c r="O86">
        <f t="shared" si="68"/>
        <v>1066.1133083661512</v>
      </c>
      <c r="P86">
        <f t="shared" si="69"/>
        <v>-3948.8926585114095</v>
      </c>
      <c r="Q86">
        <v>-8390.5034324929584</v>
      </c>
      <c r="S86">
        <v>128.10000600000001</v>
      </c>
      <c r="T86">
        <v>84</v>
      </c>
      <c r="U86">
        <f t="shared" ref="U86" si="90">174.199997*S86/S85</f>
        <v>174.54064145468334</v>
      </c>
      <c r="V86">
        <f t="shared" si="71"/>
        <v>-20535.10441594827</v>
      </c>
      <c r="W86">
        <v>-26902.826279591769</v>
      </c>
      <c r="Z86">
        <f t="shared" si="72"/>
        <v>-12241.99853722984</v>
      </c>
      <c r="AA86">
        <v>-16493.881287521566</v>
      </c>
    </row>
    <row r="87" spans="12:27">
      <c r="L87" s="1">
        <v>44322</v>
      </c>
      <c r="M87">
        <v>663.53997800000002</v>
      </c>
      <c r="N87">
        <v>85</v>
      </c>
      <c r="O87">
        <f t="shared" si="68"/>
        <v>1058.5348248354414</v>
      </c>
      <c r="P87">
        <f t="shared" si="69"/>
        <v>-11029.337910903152</v>
      </c>
      <c r="Q87">
        <v>-8195.0456674549496</v>
      </c>
      <c r="S87">
        <v>129.740005</v>
      </c>
      <c r="T87">
        <v>85</v>
      </c>
      <c r="U87">
        <f t="shared" ref="U87" si="91">174.199997*S87/S86</f>
        <v>176.43019065728993</v>
      </c>
      <c r="V87">
        <f t="shared" si="71"/>
        <v>-9931.5733586127171</v>
      </c>
      <c r="W87">
        <v>-26837.965316133108</v>
      </c>
      <c r="Z87">
        <f t="shared" si="72"/>
        <v>-10480.455634757876</v>
      </c>
      <c r="AA87">
        <v>-15818.538100630394</v>
      </c>
    </row>
    <row r="88" spans="12:27">
      <c r="L88" s="1">
        <v>44323</v>
      </c>
      <c r="M88">
        <v>672.36999500000002</v>
      </c>
      <c r="N88">
        <v>86</v>
      </c>
      <c r="O88">
        <f t="shared" si="68"/>
        <v>1084.583448546517</v>
      </c>
      <c r="P88">
        <f t="shared" si="69"/>
        <v>13307.437822533073</v>
      </c>
      <c r="Q88">
        <v>-8174.5462285290705</v>
      </c>
      <c r="S88">
        <v>130.21000699999999</v>
      </c>
      <c r="T88">
        <v>86</v>
      </c>
      <c r="U88">
        <f t="shared" ref="U88" si="92">174.199997*S88/S87</f>
        <v>174.83106177443094</v>
      </c>
      <c r="V88">
        <f t="shared" si="71"/>
        <v>-18905.360731117544</v>
      </c>
      <c r="W88">
        <v>-26826.344096802408</v>
      </c>
      <c r="Z88">
        <f t="shared" si="72"/>
        <v>-2798.9614542922936</v>
      </c>
      <c r="AA88">
        <v>-15546.403897410957</v>
      </c>
    </row>
    <row r="89" spans="12:27">
      <c r="L89" s="1">
        <v>44326</v>
      </c>
      <c r="M89">
        <v>629.03997800000002</v>
      </c>
      <c r="N89">
        <v>87</v>
      </c>
      <c r="O89">
        <f t="shared" si="68"/>
        <v>1001.3632875826958</v>
      </c>
      <c r="P89">
        <f t="shared" si="69"/>
        <v>-64443.710043902276</v>
      </c>
      <c r="Q89">
        <v>-7968.981899696053</v>
      </c>
      <c r="S89">
        <v>126.849998</v>
      </c>
      <c r="T89">
        <v>87</v>
      </c>
      <c r="U89">
        <f t="shared" ref="U89" si="93">174.199997*S89/S88</f>
        <v>169.70484665629431</v>
      </c>
      <c r="V89">
        <f t="shared" si="71"/>
        <v>-47672.000486653647</v>
      </c>
      <c r="W89">
        <v>-26591.436922870926</v>
      </c>
      <c r="Z89">
        <f t="shared" si="72"/>
        <v>-56057.855265277904</v>
      </c>
      <c r="AA89">
        <v>-15521.093214866123</v>
      </c>
    </row>
    <row r="90" spans="12:27">
      <c r="L90" s="1">
        <v>44327</v>
      </c>
      <c r="M90">
        <v>617.20001200000002</v>
      </c>
      <c r="N90">
        <v>88</v>
      </c>
      <c r="O90">
        <f t="shared" si="68"/>
        <v>1050.1937284807668</v>
      </c>
      <c r="P90">
        <f t="shared" si="69"/>
        <v>-18822.279050760204</v>
      </c>
      <c r="Q90">
        <v>-7887.9969719910296</v>
      </c>
      <c r="S90">
        <v>125.910004</v>
      </c>
      <c r="T90">
        <v>88</v>
      </c>
      <c r="U90">
        <f t="shared" ref="U90" si="94">174.199997*S90/S89</f>
        <v>172.90912625059707</v>
      </c>
      <c r="V90">
        <f t="shared" si="71"/>
        <v>-29690.633212541114</v>
      </c>
      <c r="W90">
        <v>-26556.044414093019</v>
      </c>
      <c r="Z90">
        <f t="shared" si="72"/>
        <v>-24256.456131650601</v>
      </c>
      <c r="AA90">
        <v>-15503.673251425149</v>
      </c>
    </row>
    <row r="91" spans="12:27">
      <c r="L91" s="1">
        <v>44328</v>
      </c>
      <c r="M91">
        <v>589.89001499999995</v>
      </c>
      <c r="N91">
        <v>89</v>
      </c>
      <c r="O91">
        <f t="shared" si="68"/>
        <v>1022.9793362331294</v>
      </c>
      <c r="P91">
        <f t="shared" si="69"/>
        <v>-44248.212036651792</v>
      </c>
      <c r="Q91">
        <v>-7721.8331191937905</v>
      </c>
      <c r="S91">
        <v>122.769997</v>
      </c>
      <c r="T91">
        <v>89</v>
      </c>
      <c r="U91">
        <f t="shared" ref="U91" si="95">174.199997*S91/S90</f>
        <v>169.8557098694875</v>
      </c>
      <c r="V91">
        <f t="shared" si="71"/>
        <v>-46825.405561103951</v>
      </c>
      <c r="W91">
        <v>-26407.877454524511</v>
      </c>
      <c r="Z91">
        <f t="shared" si="72"/>
        <v>-45536.808798877872</v>
      </c>
      <c r="AA91">
        <v>-15478.498090592446</v>
      </c>
    </row>
    <row r="92" spans="12:27">
      <c r="L92" s="1">
        <v>44329</v>
      </c>
      <c r="M92">
        <v>571.69000200000005</v>
      </c>
      <c r="N92">
        <v>90</v>
      </c>
      <c r="O92">
        <f t="shared" si="68"/>
        <v>1037.316519594284</v>
      </c>
      <c r="P92">
        <f t="shared" si="69"/>
        <v>-30853.231173950131</v>
      </c>
      <c r="Q92">
        <v>-7461.8499890232924</v>
      </c>
      <c r="S92">
        <v>124.970001</v>
      </c>
      <c r="T92">
        <v>90</v>
      </c>
      <c r="U92">
        <f t="shared" ref="U92" si="96">174.199997*S92/S91</f>
        <v>177.32161221189892</v>
      </c>
      <c r="V92">
        <f t="shared" si="71"/>
        <v>-4929.2076480847318</v>
      </c>
      <c r="W92">
        <v>-25866.725680848467</v>
      </c>
      <c r="Z92">
        <f t="shared" si="72"/>
        <v>-17891.219411017373</v>
      </c>
      <c r="AA92">
        <v>-15057.656202705111</v>
      </c>
    </row>
    <row r="93" spans="12:27">
      <c r="L93" s="1">
        <v>44330</v>
      </c>
      <c r="M93">
        <v>589.73999000000003</v>
      </c>
      <c r="N93">
        <v>91</v>
      </c>
      <c r="O93">
        <f t="shared" si="68"/>
        <v>1104.1338463803331</v>
      </c>
      <c r="P93">
        <f t="shared" si="69"/>
        <v>31573.034226335934</v>
      </c>
      <c r="Q93">
        <v>-7033.5991692625685</v>
      </c>
      <c r="S93">
        <v>127.449997</v>
      </c>
      <c r="T93">
        <v>91</v>
      </c>
      <c r="U93">
        <f t="shared" ref="U93" si="97">174.199997*S93/S92</f>
        <v>177.65694900690613</v>
      </c>
      <c r="V93">
        <f t="shared" si="71"/>
        <v>-3047.4074199555907</v>
      </c>
      <c r="W93">
        <v>-25725.431087051285</v>
      </c>
      <c r="Z93">
        <f t="shared" si="72"/>
        <v>14262.813403190114</v>
      </c>
      <c r="AA93">
        <v>-14894.377593488665</v>
      </c>
    </row>
    <row r="94" spans="12:27">
      <c r="L94" s="1">
        <v>44333</v>
      </c>
      <c r="M94">
        <v>576.830017</v>
      </c>
      <c r="N94">
        <v>92</v>
      </c>
      <c r="O94">
        <f t="shared" si="68"/>
        <v>1046.9091993974487</v>
      </c>
      <c r="P94">
        <f t="shared" si="69"/>
        <v>-21890.957403109176</v>
      </c>
      <c r="Q94">
        <v>-6711.7549513006816</v>
      </c>
      <c r="S94">
        <v>126.269997</v>
      </c>
      <c r="T94">
        <v>92</v>
      </c>
      <c r="U94">
        <f t="shared" ref="U94" si="98">174.199997*S94/S93</f>
        <v>172.58716058337771</v>
      </c>
      <c r="V94">
        <f t="shared" si="71"/>
        <v>-31497.399052269757</v>
      </c>
      <c r="W94">
        <v>-25581.004479832831</v>
      </c>
      <c r="Z94">
        <f t="shared" si="72"/>
        <v>-26694.178227689466</v>
      </c>
      <c r="AA94">
        <v>-14481.390321481274</v>
      </c>
    </row>
    <row r="95" spans="12:27">
      <c r="L95" s="1">
        <v>44334</v>
      </c>
      <c r="M95">
        <v>577.86999500000002</v>
      </c>
      <c r="N95">
        <v>93</v>
      </c>
      <c r="O95">
        <f t="shared" si="68"/>
        <v>1072.2697026370597</v>
      </c>
      <c r="P95">
        <f t="shared" si="69"/>
        <v>1802.9193511958001</v>
      </c>
      <c r="Q95">
        <v>-6420.1562972051324</v>
      </c>
      <c r="S95">
        <v>124.849998</v>
      </c>
      <c r="T95">
        <v>93</v>
      </c>
      <c r="U95">
        <f t="shared" ref="U95" si="99">174.199997*S95/S94</f>
        <v>172.24098989287222</v>
      </c>
      <c r="V95">
        <f t="shared" si="71"/>
        <v>-33439.995552456588</v>
      </c>
      <c r="W95">
        <v>-25523.645103044459</v>
      </c>
      <c r="Z95">
        <f t="shared" si="72"/>
        <v>-15818.538100630394</v>
      </c>
      <c r="AA95">
        <v>-14443.822315437254</v>
      </c>
    </row>
    <row r="96" spans="12:27">
      <c r="L96" s="1">
        <v>44335</v>
      </c>
      <c r="M96">
        <v>563.46002199999998</v>
      </c>
      <c r="N96">
        <v>94</v>
      </c>
      <c r="O96">
        <f t="shared" si="68"/>
        <v>1043.6495855609171</v>
      </c>
      <c r="P96">
        <f t="shared" si="69"/>
        <v>-24936.357874057838</v>
      </c>
      <c r="Q96">
        <v>-6358.2439233924961</v>
      </c>
      <c r="S96">
        <v>124.69000200000001</v>
      </c>
      <c r="T96">
        <v>94</v>
      </c>
      <c r="U96">
        <f t="shared" ref="U96" si="100">174.199997*S96/S95</f>
        <v>173.97675868869453</v>
      </c>
      <c r="V96">
        <f t="shared" si="71"/>
        <v>-23699.429755352088</v>
      </c>
      <c r="W96">
        <v>-25350.114359140513</v>
      </c>
      <c r="Z96">
        <f t="shared" si="72"/>
        <v>-24317.893814704963</v>
      </c>
      <c r="AA96">
        <v>-14050.7325515626</v>
      </c>
    </row>
    <row r="97" spans="12:27">
      <c r="L97" s="1">
        <v>44336</v>
      </c>
      <c r="M97">
        <v>586.78002900000001</v>
      </c>
      <c r="N97">
        <v>95</v>
      </c>
      <c r="O97">
        <f t="shared" si="68"/>
        <v>1114.6382915686945</v>
      </c>
      <c r="P97">
        <f t="shared" si="69"/>
        <v>41387.154526466154</v>
      </c>
      <c r="Q97">
        <v>-6274.0199579555774</v>
      </c>
      <c r="S97">
        <v>127.30999799999999</v>
      </c>
      <c r="T97">
        <v>95</v>
      </c>
      <c r="U97">
        <f t="shared" ref="U97" si="101">174.199997*S97/S96</f>
        <v>177.86030085772236</v>
      </c>
      <c r="V97">
        <f t="shared" si="71"/>
        <v>-1906.2634567699861</v>
      </c>
      <c r="W97">
        <v>-25166.564388110768</v>
      </c>
      <c r="Z97">
        <f t="shared" si="72"/>
        <v>19740.445534848142</v>
      </c>
      <c r="AA97">
        <v>-13843.928489333484</v>
      </c>
    </row>
    <row r="98" spans="12:27">
      <c r="L98" s="1">
        <v>44337</v>
      </c>
      <c r="M98">
        <v>580.88000499999998</v>
      </c>
      <c r="N98">
        <v>96</v>
      </c>
      <c r="O98">
        <f t="shared" si="68"/>
        <v>1059.5777873717986</v>
      </c>
      <c r="P98">
        <f t="shared" si="69"/>
        <v>-10054.916166889481</v>
      </c>
      <c r="Q98">
        <v>-5872.0564847134519</v>
      </c>
      <c r="S98">
        <v>125.43</v>
      </c>
      <c r="T98">
        <v>96</v>
      </c>
      <c r="U98">
        <f t="shared" ref="U98" si="102">174.199997*S98/S97</f>
        <v>171.62757023772792</v>
      </c>
      <c r="V98">
        <f t="shared" si="71"/>
        <v>-36882.305684169522</v>
      </c>
      <c r="W98">
        <v>-25107.341540724155</v>
      </c>
      <c r="Z98">
        <f t="shared" si="72"/>
        <v>-23468.610925529501</v>
      </c>
      <c r="AA98">
        <v>-13765.046181462239</v>
      </c>
    </row>
    <row r="99" spans="12:27">
      <c r="L99" s="1">
        <v>44340</v>
      </c>
      <c r="M99">
        <v>606.44000200000005</v>
      </c>
      <c r="N99">
        <v>97</v>
      </c>
      <c r="O99">
        <f t="shared" si="68"/>
        <v>1117.4372771218386</v>
      </c>
      <c r="P99">
        <f t="shared" si="69"/>
        <v>44002.19800989714</v>
      </c>
      <c r="Q99">
        <v>-5499.0838654972613</v>
      </c>
      <c r="S99">
        <v>127.099998</v>
      </c>
      <c r="T99">
        <v>97</v>
      </c>
      <c r="U99">
        <f t="shared" ref="U99" si="103">174.199997*S99/S98</f>
        <v>176.51932767519736</v>
      </c>
      <c r="V99">
        <f t="shared" si="71"/>
        <v>-9431.3656178268138</v>
      </c>
      <c r="W99">
        <v>-25035.523011715501</v>
      </c>
      <c r="Z99">
        <f t="shared" si="72"/>
        <v>17285.416196035221</v>
      </c>
      <c r="AA99">
        <v>-13703.792695781682</v>
      </c>
    </row>
    <row r="100" spans="12:27">
      <c r="L100" s="1">
        <v>44341</v>
      </c>
      <c r="M100">
        <v>604.69000200000005</v>
      </c>
      <c r="N100">
        <v>98</v>
      </c>
      <c r="O100">
        <f t="shared" si="68"/>
        <v>1067.2512928677484</v>
      </c>
      <c r="P100">
        <f t="shared" si="69"/>
        <v>-2885.6935463172849</v>
      </c>
      <c r="Q100">
        <v>-5281.9154157990124</v>
      </c>
      <c r="S100">
        <v>126.900002</v>
      </c>
      <c r="T100">
        <v>98</v>
      </c>
      <c r="U100">
        <f t="shared" ref="U100" si="104">174.199997*S100/S99</f>
        <v>173.92588761252375</v>
      </c>
      <c r="V100">
        <f t="shared" si="71"/>
        <v>-23984.901568074827</v>
      </c>
      <c r="W100">
        <v>-24917.798899125308</v>
      </c>
      <c r="Z100">
        <f t="shared" si="72"/>
        <v>-13435.297557196114</v>
      </c>
      <c r="AA100">
        <v>-13573.347588535864</v>
      </c>
    </row>
    <row r="101" spans="12:27">
      <c r="L101" s="1">
        <v>44342</v>
      </c>
      <c r="M101">
        <v>619.13000499999998</v>
      </c>
      <c r="N101">
        <v>99</v>
      </c>
      <c r="O101">
        <f t="shared" si="68"/>
        <v>1095.8996945699125</v>
      </c>
      <c r="P101">
        <f t="shared" si="69"/>
        <v>23880.009512708872</v>
      </c>
      <c r="Q101">
        <v>-5000.2470839485759</v>
      </c>
      <c r="S101">
        <v>126.849998</v>
      </c>
      <c r="T101">
        <v>99</v>
      </c>
      <c r="U101">
        <f t="shared" ref="U101" si="105">174.199997*S101/S100</f>
        <v>174.131354789498</v>
      </c>
      <c r="V101">
        <f t="shared" si="71"/>
        <v>-22831.887087528943</v>
      </c>
      <c r="W101">
        <v>-24841.245200717356</v>
      </c>
      <c r="Z101">
        <f t="shared" si="72"/>
        <v>524.06121258996427</v>
      </c>
      <c r="AA101">
        <v>-13481.163893208839</v>
      </c>
    </row>
    <row r="102" spans="12:27">
      <c r="L102" s="1">
        <v>44343</v>
      </c>
      <c r="M102">
        <v>630.84997599999997</v>
      </c>
      <c r="N102">
        <v>100</v>
      </c>
      <c r="O102">
        <f t="shared" si="68"/>
        <v>1090.6012249607265</v>
      </c>
      <c r="P102">
        <f t="shared" si="69"/>
        <v>18929.741581495386</v>
      </c>
      <c r="Q102">
        <v>-4254.8424786889227</v>
      </c>
      <c r="S102">
        <v>125.279999</v>
      </c>
      <c r="T102">
        <v>100</v>
      </c>
      <c r="U102">
        <f t="shared" ref="U102" si="106">174.199997*S102/S101</f>
        <v>172.04395580644788</v>
      </c>
      <c r="V102">
        <f t="shared" si="71"/>
        <v>-34545.686291746097</v>
      </c>
      <c r="W102">
        <v>-24725.34841510735</v>
      </c>
      <c r="Z102">
        <f t="shared" si="72"/>
        <v>-7807.9723551253555</v>
      </c>
      <c r="AA102">
        <v>-13467.292692956515</v>
      </c>
    </row>
    <row r="103" spans="12:27">
      <c r="L103" s="1">
        <v>44344</v>
      </c>
      <c r="M103">
        <v>625.21997099999999</v>
      </c>
      <c r="N103">
        <v>101</v>
      </c>
      <c r="O103">
        <f t="shared" si="68"/>
        <v>1060.787743459724</v>
      </c>
      <c r="P103">
        <f t="shared" si="69"/>
        <v>-8924.4752543193754</v>
      </c>
      <c r="Q103">
        <v>-4157.44295492745</v>
      </c>
      <c r="S103">
        <v>124.610001</v>
      </c>
      <c r="T103">
        <v>101</v>
      </c>
      <c r="U103">
        <f t="shared" ref="U103" si="107">174.199997*S103/S102</f>
        <v>173.26837462993592</v>
      </c>
      <c r="V103">
        <f t="shared" si="71"/>
        <v>-27674.64900722797</v>
      </c>
      <c r="W103">
        <v>-24644.942373485188</v>
      </c>
      <c r="Z103">
        <f t="shared" si="72"/>
        <v>-18299.562130773673</v>
      </c>
      <c r="AA103">
        <v>-13435.297557196114</v>
      </c>
    </row>
    <row r="104" spans="12:27">
      <c r="L104" s="1">
        <v>44348</v>
      </c>
      <c r="M104">
        <v>623.90002400000003</v>
      </c>
      <c r="N104">
        <v>102</v>
      </c>
      <c r="O104">
        <f t="shared" si="68"/>
        <v>1068.0802940563126</v>
      </c>
      <c r="P104">
        <f t="shared" si="69"/>
        <v>-2111.1721653561108</v>
      </c>
      <c r="Q104">
        <v>-3978.7280934967566</v>
      </c>
      <c r="S104">
        <v>124.279999</v>
      </c>
      <c r="T104">
        <v>102</v>
      </c>
      <c r="U104">
        <f t="shared" ref="U104" si="108">174.199997*S104/S103</f>
        <v>173.73866687441887</v>
      </c>
      <c r="V104">
        <f t="shared" si="71"/>
        <v>-25035.523011715501</v>
      </c>
      <c r="W104">
        <v>-24566.985852766316</v>
      </c>
      <c r="Z104">
        <f t="shared" si="72"/>
        <v>-13573.347588535864</v>
      </c>
      <c r="AA104">
        <v>-13426.943044936983</v>
      </c>
    </row>
    <row r="105" spans="12:27">
      <c r="L105" s="1">
        <v>44349</v>
      </c>
      <c r="M105">
        <v>605.11999500000002</v>
      </c>
      <c r="N105">
        <v>103</v>
      </c>
      <c r="O105">
        <f t="shared" si="68"/>
        <v>1038.1216380177927</v>
      </c>
      <c r="P105">
        <f t="shared" si="69"/>
        <v>-30101.023044679314</v>
      </c>
      <c r="Q105">
        <v>-3948.8926585114095</v>
      </c>
      <c r="S105">
        <v>125.05999799999999</v>
      </c>
      <c r="T105">
        <v>103</v>
      </c>
      <c r="U105">
        <f t="shared" ref="U105" si="109">174.199997*S105/S104</f>
        <v>175.29330102762557</v>
      </c>
      <c r="V105">
        <f t="shared" si="71"/>
        <v>-16311.425484336214</v>
      </c>
      <c r="W105">
        <v>-24489.635882953298</v>
      </c>
      <c r="Z105">
        <f t="shared" si="72"/>
        <v>-23206.224264507764</v>
      </c>
      <c r="AA105">
        <v>-13366.400118715013</v>
      </c>
    </row>
    <row r="106" spans="12:27">
      <c r="L106" s="1">
        <v>44350</v>
      </c>
      <c r="M106">
        <v>572.84002699999996</v>
      </c>
      <c r="N106">
        <v>104</v>
      </c>
      <c r="O106">
        <f t="shared" si="68"/>
        <v>1013.2429602208387</v>
      </c>
      <c r="P106">
        <f t="shared" si="69"/>
        <v>-53344.738674516906</v>
      </c>
      <c r="Q106">
        <v>-3056.3571748386603</v>
      </c>
      <c r="S106">
        <v>123.540001</v>
      </c>
      <c r="T106">
        <v>104</v>
      </c>
      <c r="U106">
        <f t="shared" ref="U106" si="110">174.199997*S106/S105</f>
        <v>172.08274546414111</v>
      </c>
      <c r="V106">
        <f t="shared" si="71"/>
        <v>-34328.011441318318</v>
      </c>
      <c r="W106">
        <v>-24323.918217811035</v>
      </c>
      <c r="Z106">
        <f t="shared" si="72"/>
        <v>-43836.375057917554</v>
      </c>
      <c r="AA106">
        <v>-12448.351617146516</v>
      </c>
    </row>
    <row r="107" spans="12:27">
      <c r="L107" s="1">
        <v>44351</v>
      </c>
      <c r="M107">
        <v>599.04998799999998</v>
      </c>
      <c r="N107">
        <v>105</v>
      </c>
      <c r="O107">
        <f t="shared" si="68"/>
        <v>1119.3127462585996</v>
      </c>
      <c r="P107">
        <f t="shared" si="69"/>
        <v>45754.416180138942</v>
      </c>
      <c r="Q107">
        <v>-2885.6935463172849</v>
      </c>
      <c r="S107">
        <v>125.889999</v>
      </c>
      <c r="T107">
        <v>105</v>
      </c>
      <c r="U107">
        <f t="shared" ref="U107" si="111">174.199997*S107/S106</f>
        <v>177.51365768671155</v>
      </c>
      <c r="V107">
        <f t="shared" si="71"/>
        <v>-3851.5113627552055</v>
      </c>
      <c r="W107">
        <v>-24020.99440580199</v>
      </c>
      <c r="Z107">
        <f t="shared" si="72"/>
        <v>20951.452408691868</v>
      </c>
      <c r="AA107">
        <v>-12241.99853722984</v>
      </c>
    </row>
    <row r="108" spans="12:27">
      <c r="L108" s="1">
        <v>44354</v>
      </c>
      <c r="M108">
        <v>605.13000499999998</v>
      </c>
      <c r="N108">
        <v>106</v>
      </c>
      <c r="O108">
        <f t="shared" si="68"/>
        <v>1081.2033084913105</v>
      </c>
      <c r="P108">
        <f t="shared" si="69"/>
        <v>10149.43180334405</v>
      </c>
      <c r="Q108">
        <v>-2618.8450324758887</v>
      </c>
      <c r="S108">
        <v>125.900002</v>
      </c>
      <c r="T108">
        <v>106</v>
      </c>
      <c r="U108">
        <f t="shared" ref="U108" si="112">174.199997*S108/S107</f>
        <v>174.21383862827733</v>
      </c>
      <c r="V108">
        <f t="shared" si="71"/>
        <v>-22369.014808247564</v>
      </c>
      <c r="W108">
        <v>-23984.901568074827</v>
      </c>
      <c r="Z108">
        <f t="shared" si="72"/>
        <v>-6109.791502451757</v>
      </c>
      <c r="AA108">
        <v>-12146.981087386026</v>
      </c>
    </row>
    <row r="109" spans="12:27">
      <c r="L109" s="1">
        <v>44355</v>
      </c>
      <c r="M109">
        <v>603.59002699999996</v>
      </c>
      <c r="N109">
        <v>107</v>
      </c>
      <c r="O109">
        <f t="shared" si="68"/>
        <v>1067.6160885083182</v>
      </c>
      <c r="P109">
        <f t="shared" si="69"/>
        <v>-2544.8713289304869</v>
      </c>
      <c r="Q109">
        <v>-2544.8713289304869</v>
      </c>
      <c r="S109">
        <v>126.739998</v>
      </c>
      <c r="T109">
        <v>107</v>
      </c>
      <c r="U109">
        <f t="shared" ref="U109" si="113">174.199997*S109/S108</f>
        <v>175.36224718550844</v>
      </c>
      <c r="V109">
        <f t="shared" si="71"/>
        <v>-15924.522234933451</v>
      </c>
      <c r="W109">
        <v>-23810.875864909845</v>
      </c>
      <c r="Z109">
        <f t="shared" si="72"/>
        <v>-9234.6967819319107</v>
      </c>
      <c r="AA109">
        <v>-12124.267278272193</v>
      </c>
    </row>
    <row r="110" spans="12:27">
      <c r="L110" s="1">
        <v>44356</v>
      </c>
      <c r="M110">
        <v>598.78002900000001</v>
      </c>
      <c r="N110">
        <v>108</v>
      </c>
      <c r="O110">
        <f t="shared" si="68"/>
        <v>1061.8104461844248</v>
      </c>
      <c r="P110">
        <f t="shared" si="69"/>
        <v>-7968.981899696053</v>
      </c>
      <c r="Q110">
        <v>-2315.8086031320272</v>
      </c>
      <c r="S110">
        <v>127.129997</v>
      </c>
      <c r="T110">
        <v>108</v>
      </c>
      <c r="U110">
        <f t="shared" ref="U110" si="114">174.199997*S110/S109</f>
        <v>174.73603791606507</v>
      </c>
      <c r="V110">
        <f t="shared" si="71"/>
        <v>-19438.603491867194</v>
      </c>
      <c r="W110">
        <v>-23699.429755352088</v>
      </c>
      <c r="Z110">
        <f t="shared" si="72"/>
        <v>-13703.792695781682</v>
      </c>
      <c r="AA110">
        <v>-12104.134392476175</v>
      </c>
    </row>
    <row r="111" spans="12:27">
      <c r="L111" s="1">
        <v>44357</v>
      </c>
      <c r="M111">
        <v>610.11999500000002</v>
      </c>
      <c r="N111">
        <v>109</v>
      </c>
      <c r="O111">
        <f t="shared" si="68"/>
        <v>1090.6105465722208</v>
      </c>
      <c r="P111">
        <f t="shared" si="69"/>
        <v>18938.450600863434</v>
      </c>
      <c r="Q111">
        <v>-2215.4407440979267</v>
      </c>
      <c r="S111">
        <v>126.110001</v>
      </c>
      <c r="T111">
        <v>109</v>
      </c>
      <c r="U111">
        <f t="shared" ref="U111" si="115">174.199997*S111/S110</f>
        <v>172.80234652935604</v>
      </c>
      <c r="V111">
        <f t="shared" si="71"/>
        <v>-30289.846024205908</v>
      </c>
      <c r="W111">
        <v>-23532.852077896241</v>
      </c>
      <c r="Z111">
        <f t="shared" si="72"/>
        <v>-5675.6977116712369</v>
      </c>
      <c r="AA111">
        <v>-12050.733393254923</v>
      </c>
    </row>
    <row r="112" spans="12:27">
      <c r="L112" s="1">
        <v>44358</v>
      </c>
      <c r="M112">
        <v>609.89001499999995</v>
      </c>
      <c r="N112">
        <v>110</v>
      </c>
      <c r="O112">
        <f t="shared" si="68"/>
        <v>1069.9365096514161</v>
      </c>
      <c r="P112">
        <f t="shared" si="69"/>
        <v>-376.94224395975471</v>
      </c>
      <c r="Q112">
        <v>-2111.1721653561108</v>
      </c>
      <c r="S112">
        <v>127.349998</v>
      </c>
      <c r="T112">
        <v>110</v>
      </c>
      <c r="U112">
        <f t="shared" ref="U112" si="116">174.199997*S112/S111</f>
        <v>175.91284667066182</v>
      </c>
      <c r="V112">
        <f t="shared" si="71"/>
        <v>-12834.73831561394</v>
      </c>
      <c r="W112">
        <v>-23178.544521243428</v>
      </c>
      <c r="Z112">
        <f t="shared" si="72"/>
        <v>-6605.8402797868475</v>
      </c>
      <c r="AA112">
        <v>-12025.311390835326</v>
      </c>
    </row>
    <row r="113" spans="12:27">
      <c r="L113" s="1">
        <v>44361</v>
      </c>
      <c r="M113">
        <v>617.69000200000005</v>
      </c>
      <c r="N113">
        <v>111</v>
      </c>
      <c r="O113">
        <f t="shared" si="68"/>
        <v>1084.0287256370643</v>
      </c>
      <c r="P113">
        <f t="shared" si="69"/>
        <v>12789.169863684452</v>
      </c>
      <c r="Q113">
        <v>-2094.7109803177882</v>
      </c>
      <c r="S113">
        <v>130.479996</v>
      </c>
      <c r="T113">
        <v>111</v>
      </c>
      <c r="U113">
        <f t="shared" ref="U113" si="117">174.199997*S113/S112</f>
        <v>178.48147050430273</v>
      </c>
      <c r="V113">
        <f t="shared" si="71"/>
        <v>1579.537087774137</v>
      </c>
      <c r="W113">
        <v>-23062.336037267232</v>
      </c>
      <c r="Z113">
        <f t="shared" si="72"/>
        <v>7184.3534757292364</v>
      </c>
      <c r="AA113">
        <v>-11878.7246981106</v>
      </c>
    </row>
    <row r="114" spans="12:27">
      <c r="L114" s="1">
        <v>44362</v>
      </c>
      <c r="M114">
        <v>599.35998500000005</v>
      </c>
      <c r="N114">
        <v>112</v>
      </c>
      <c r="O114">
        <f t="shared" si="68"/>
        <v>1038.5775128130704</v>
      </c>
      <c r="P114">
        <f t="shared" si="69"/>
        <v>-29675.107158363913</v>
      </c>
      <c r="Q114">
        <v>-1557.08029912028</v>
      </c>
      <c r="S114">
        <v>129.63999899999999</v>
      </c>
      <c r="T114">
        <v>112</v>
      </c>
      <c r="U114">
        <f t="shared" ref="U114" si="118">174.199997*S114/S113</f>
        <v>173.07854176267756</v>
      </c>
      <c r="V114">
        <f t="shared" si="71"/>
        <v>-28739.928863873356</v>
      </c>
      <c r="W114">
        <v>-23034.43596423592</v>
      </c>
      <c r="Z114">
        <f t="shared" si="72"/>
        <v>-29207.518011118635</v>
      </c>
      <c r="AA114">
        <v>-11829.507130275364</v>
      </c>
    </row>
    <row r="115" spans="12:27">
      <c r="L115" s="1">
        <v>44363</v>
      </c>
      <c r="M115">
        <v>604.86999500000002</v>
      </c>
      <c r="N115">
        <v>113</v>
      </c>
      <c r="O115">
        <f t="shared" si="68"/>
        <v>1080.1797685621607</v>
      </c>
      <c r="P115">
        <f t="shared" si="69"/>
        <v>9193.1562631762354</v>
      </c>
      <c r="Q115">
        <v>-1202.7714420683915</v>
      </c>
      <c r="S115">
        <v>130.14999399999999</v>
      </c>
      <c r="T115">
        <v>113</v>
      </c>
      <c r="U115">
        <f t="shared" ref="U115" si="119">174.199997*S115/S114</f>
        <v>174.88528802248771</v>
      </c>
      <c r="V115">
        <f t="shared" si="71"/>
        <v>-18601.060793016106</v>
      </c>
      <c r="W115">
        <v>-22831.887087528943</v>
      </c>
      <c r="Z115">
        <f t="shared" si="72"/>
        <v>-4703.9522649198771</v>
      </c>
      <c r="AA115">
        <v>-11751.996782055357</v>
      </c>
    </row>
    <row r="116" spans="12:27">
      <c r="L116" s="1">
        <v>44364</v>
      </c>
      <c r="M116">
        <v>616.59997599999997</v>
      </c>
      <c r="N116">
        <v>114</v>
      </c>
      <c r="O116">
        <f t="shared" si="68"/>
        <v>1091.0966039031921</v>
      </c>
      <c r="P116">
        <f t="shared" si="69"/>
        <v>19392.565504922997</v>
      </c>
      <c r="Q116">
        <v>-376.94224395975471</v>
      </c>
      <c r="S116">
        <v>131.78999300000001</v>
      </c>
      <c r="T116">
        <v>114</v>
      </c>
      <c r="U116">
        <f t="shared" ref="U116" si="120">174.199997*S116/S115</f>
        <v>176.39506295505493</v>
      </c>
      <c r="V116">
        <f t="shared" si="71"/>
        <v>-10128.698514765128</v>
      </c>
      <c r="W116">
        <v>-22781.16737902374</v>
      </c>
      <c r="Z116">
        <f t="shared" si="72"/>
        <v>4631.9334950789344</v>
      </c>
      <c r="AA116">
        <v>-11426.46404154296</v>
      </c>
    </row>
    <row r="117" spans="12:27">
      <c r="L117" s="1">
        <v>44365</v>
      </c>
      <c r="M117">
        <v>623.30999799999995</v>
      </c>
      <c r="N117">
        <v>115</v>
      </c>
      <c r="O117">
        <f t="shared" si="68"/>
        <v>1081.987719809415</v>
      </c>
      <c r="P117">
        <f t="shared" si="69"/>
        <v>10882.293644461664</v>
      </c>
      <c r="Q117">
        <v>-335.28783038351685</v>
      </c>
      <c r="S117">
        <v>130.46000699999999</v>
      </c>
      <c r="T117">
        <v>115</v>
      </c>
      <c r="U117">
        <f t="shared" ref="U117" si="121">174.199997*S117/S116</f>
        <v>172.44202166411813</v>
      </c>
      <c r="V117">
        <f t="shared" si="71"/>
        <v>-32311.871115698479</v>
      </c>
      <c r="W117">
        <v>-22777.142430985579</v>
      </c>
      <c r="Z117">
        <f t="shared" si="72"/>
        <v>-10714.788735618349</v>
      </c>
      <c r="AA117">
        <v>-11381.101526420447</v>
      </c>
    </row>
    <row r="118" spans="12:27">
      <c r="L118" s="1">
        <v>44368</v>
      </c>
      <c r="M118">
        <v>620.830017</v>
      </c>
      <c r="N118">
        <v>116</v>
      </c>
      <c r="O118">
        <f t="shared" si="68"/>
        <v>1066.0813743076835</v>
      </c>
      <c r="P118">
        <f t="shared" si="69"/>
        <v>-3978.7280934967566</v>
      </c>
      <c r="Q118">
        <v>98.64726094820071</v>
      </c>
      <c r="S118">
        <v>132.300003</v>
      </c>
      <c r="T118">
        <v>116</v>
      </c>
      <c r="U118">
        <f t="shared" ref="U118" si="122">174.199997*S118/S117</f>
        <v>176.65689781620199</v>
      </c>
      <c r="V118">
        <f t="shared" si="71"/>
        <v>-8659.3670582273044</v>
      </c>
      <c r="W118">
        <v>-22775.431151935365</v>
      </c>
      <c r="Z118">
        <f t="shared" si="72"/>
        <v>-6319.0475758620305</v>
      </c>
      <c r="AA118">
        <v>-11353.520391049329</v>
      </c>
    </row>
    <row r="119" spans="12:27">
      <c r="L119" s="1">
        <v>44369</v>
      </c>
      <c r="M119">
        <v>623.71002199999998</v>
      </c>
      <c r="N119">
        <v>117</v>
      </c>
      <c r="O119">
        <f t="shared" si="68"/>
        <v>1075.3052292272446</v>
      </c>
      <c r="P119">
        <f t="shared" si="69"/>
        <v>4638.9590083237272</v>
      </c>
      <c r="Q119">
        <v>824.84192156605422</v>
      </c>
      <c r="S119">
        <v>133.979996</v>
      </c>
      <c r="T119">
        <v>117</v>
      </c>
      <c r="U119">
        <f t="shared" ref="U119" si="123">174.199997*S119/S118</f>
        <v>176.41205118687722</v>
      </c>
      <c r="V119">
        <f t="shared" si="71"/>
        <v>-10033.366123585147</v>
      </c>
      <c r="W119">
        <v>-22381.547515028971</v>
      </c>
      <c r="Z119">
        <f t="shared" si="72"/>
        <v>-2697.203557630768</v>
      </c>
      <c r="AA119">
        <v>-11243.146757754614</v>
      </c>
    </row>
    <row r="120" spans="12:27">
      <c r="L120" s="1">
        <v>44370</v>
      </c>
      <c r="M120">
        <v>656.57000700000003</v>
      </c>
      <c r="N120">
        <v>118</v>
      </c>
      <c r="O120">
        <f t="shared" si="68"/>
        <v>1126.7305224879003</v>
      </c>
      <c r="P120">
        <f t="shared" si="69"/>
        <v>52684.715398079716</v>
      </c>
      <c r="Q120">
        <v>1258.7846385745797</v>
      </c>
      <c r="S120">
        <v>133.699997</v>
      </c>
      <c r="T120">
        <v>118</v>
      </c>
      <c r="U120">
        <f t="shared" ref="U120" si="124">174.199997*S120/S119</f>
        <v>173.83594395912661</v>
      </c>
      <c r="V120">
        <f t="shared" si="71"/>
        <v>-24489.635882953298</v>
      </c>
      <c r="W120">
        <v>-22369.014808247564</v>
      </c>
      <c r="Z120">
        <f t="shared" si="72"/>
        <v>14097.539757563267</v>
      </c>
      <c r="AA120">
        <v>-11118.066231844248</v>
      </c>
    </row>
    <row r="121" spans="12:27">
      <c r="L121" s="1">
        <v>44371</v>
      </c>
      <c r="M121">
        <v>679.82000700000003</v>
      </c>
      <c r="N121">
        <v>119</v>
      </c>
      <c r="O121">
        <f t="shared" si="68"/>
        <v>1108.2420997316433</v>
      </c>
      <c r="P121">
        <f t="shared" si="69"/>
        <v>35411.303824604838</v>
      </c>
      <c r="Q121">
        <v>1261.7702032753732</v>
      </c>
      <c r="S121">
        <v>133.41000399999999</v>
      </c>
      <c r="T121">
        <v>119</v>
      </c>
      <c r="U121">
        <f t="shared" ref="U121" si="125">174.199997*S121/S120</f>
        <v>173.82216019473799</v>
      </c>
      <c r="V121">
        <f t="shared" si="71"/>
        <v>-24566.985852766316</v>
      </c>
      <c r="W121">
        <v>-21955.911801352981</v>
      </c>
      <c r="Z121">
        <f t="shared" si="72"/>
        <v>5422.1589859193191</v>
      </c>
      <c r="AA121">
        <v>-10781.708999750903</v>
      </c>
    </row>
    <row r="122" spans="12:27">
      <c r="L122" s="1">
        <v>44372</v>
      </c>
      <c r="M122">
        <v>671.86999500000002</v>
      </c>
      <c r="N122">
        <v>120</v>
      </c>
      <c r="O122">
        <f t="shared" si="68"/>
        <v>1057.8231005265488</v>
      </c>
      <c r="P122">
        <f t="shared" si="69"/>
        <v>-11694.289544497035</v>
      </c>
      <c r="Q122">
        <v>1313.2105091938283</v>
      </c>
      <c r="S122">
        <v>133.11000100000001</v>
      </c>
      <c r="T122">
        <v>120</v>
      </c>
      <c r="U122">
        <f t="shared" ref="U122" si="126">174.199997*S122/S121</f>
        <v>173.80826834297974</v>
      </c>
      <c r="V122">
        <f t="shared" si="71"/>
        <v>-24644.942373485188</v>
      </c>
      <c r="W122">
        <v>-21847.521156885428</v>
      </c>
      <c r="Z122">
        <f t="shared" si="72"/>
        <v>-18169.615958991111</v>
      </c>
      <c r="AA122">
        <v>-10714.788735618349</v>
      </c>
    </row>
    <row r="123" spans="12:27">
      <c r="L123" s="1">
        <v>44375</v>
      </c>
      <c r="M123">
        <v>688.71997099999999</v>
      </c>
      <c r="N123">
        <v>121</v>
      </c>
      <c r="O123">
        <f t="shared" si="68"/>
        <v>1097.1832584124566</v>
      </c>
      <c r="P123">
        <f t="shared" si="69"/>
        <v>25079.22086920985</v>
      </c>
      <c r="Q123">
        <v>1445.6588160492247</v>
      </c>
      <c r="S123">
        <v>134.779999</v>
      </c>
      <c r="T123">
        <v>121</v>
      </c>
      <c r="U123">
        <f t="shared" ref="U123" si="127">174.199997*S123/S122</f>
        <v>176.38551006742162</v>
      </c>
      <c r="V123">
        <f t="shared" si="71"/>
        <v>-10182.306190377683</v>
      </c>
      <c r="W123">
        <v>-21714.931451745913</v>
      </c>
      <c r="Z123">
        <f t="shared" si="72"/>
        <v>7448.4573394160252</v>
      </c>
      <c r="AA123">
        <v>-10480.455634757876</v>
      </c>
    </row>
    <row r="124" spans="12:27">
      <c r="L124" s="1">
        <v>44376</v>
      </c>
      <c r="M124">
        <v>680.76000999999997</v>
      </c>
      <c r="N124">
        <v>122</v>
      </c>
      <c r="O124">
        <f t="shared" si="68"/>
        <v>1057.9693876156809</v>
      </c>
      <c r="P124">
        <f t="shared" si="69"/>
        <v>-11557.616063379915</v>
      </c>
      <c r="Q124">
        <v>1534.7008902927628</v>
      </c>
      <c r="S124">
        <v>136.33000200000001</v>
      </c>
      <c r="T124">
        <v>122</v>
      </c>
      <c r="U124">
        <f t="shared" ref="U124" si="128">174.199997*S124/S123</f>
        <v>176.20333963209183</v>
      </c>
      <c r="V124">
        <f t="shared" si="71"/>
        <v>-11204.586989460979</v>
      </c>
      <c r="W124">
        <v>-21374.432984099607</v>
      </c>
      <c r="Z124">
        <f t="shared" si="72"/>
        <v>-11381.101526420447</v>
      </c>
      <c r="AA124">
        <v>-10142.006962114712</v>
      </c>
    </row>
    <row r="125" spans="12:27">
      <c r="L125" s="1">
        <v>44377</v>
      </c>
      <c r="M125">
        <v>679.70001200000002</v>
      </c>
      <c r="N125">
        <v>123</v>
      </c>
      <c r="O125">
        <f t="shared" si="68"/>
        <v>1068.6733607255803</v>
      </c>
      <c r="P125">
        <f t="shared" si="69"/>
        <v>-1557.08029912028</v>
      </c>
      <c r="Q125">
        <v>1611.1524950271705</v>
      </c>
      <c r="S125">
        <v>136.96000699999999</v>
      </c>
      <c r="T125">
        <v>123</v>
      </c>
      <c r="U125">
        <f t="shared" ref="U125" si="129">174.199997*S125/S124</f>
        <v>175.00500593053593</v>
      </c>
      <c r="V125">
        <f t="shared" si="71"/>
        <v>-17929.243115891004</v>
      </c>
      <c r="W125">
        <v>-21240.947523768875</v>
      </c>
      <c r="Z125">
        <f t="shared" si="72"/>
        <v>-9743.1617075055838</v>
      </c>
      <c r="AA125">
        <v>-9969.4722512618173</v>
      </c>
    </row>
    <row r="126" spans="12:27">
      <c r="L126" s="1">
        <v>44378</v>
      </c>
      <c r="M126">
        <v>677.919983</v>
      </c>
      <c r="N126">
        <v>124</v>
      </c>
      <c r="O126">
        <f t="shared" si="68"/>
        <v>1067.5369114969806</v>
      </c>
      <c r="P126">
        <f t="shared" si="69"/>
        <v>-2618.8450324758887</v>
      </c>
      <c r="Q126">
        <v>1662.5708239999367</v>
      </c>
      <c r="S126">
        <v>137.270004</v>
      </c>
      <c r="T126">
        <v>124</v>
      </c>
      <c r="U126">
        <f t="shared" ref="U126" si="130">174.199997*S126/S125</f>
        <v>174.59428346108356</v>
      </c>
      <c r="V126">
        <f t="shared" si="71"/>
        <v>-20234.083050609916</v>
      </c>
      <c r="W126">
        <v>-21067.865933862515</v>
      </c>
      <c r="Z126">
        <f t="shared" si="72"/>
        <v>-11426.46404154296</v>
      </c>
      <c r="AA126">
        <v>-9966.8838201414328</v>
      </c>
    </row>
    <row r="127" spans="12:27">
      <c r="L127" s="1">
        <v>44379</v>
      </c>
      <c r="M127">
        <v>678.90002400000003</v>
      </c>
      <c r="N127">
        <v>125</v>
      </c>
      <c r="O127">
        <f t="shared" si="68"/>
        <v>1071.8873124080178</v>
      </c>
      <c r="P127">
        <f t="shared" si="69"/>
        <v>1445.6588160492247</v>
      </c>
      <c r="Q127">
        <v>1770.2430543638766</v>
      </c>
      <c r="S127">
        <v>139.96000699999999</v>
      </c>
      <c r="T127">
        <v>125</v>
      </c>
      <c r="U127">
        <f t="shared" ref="U127" si="131">174.199997*S127/S126</f>
        <v>177.61369628516931</v>
      </c>
      <c r="V127">
        <f t="shared" si="71"/>
        <v>-3290.1275235750945</v>
      </c>
      <c r="W127">
        <v>-21005.829829785973</v>
      </c>
      <c r="Z127">
        <f t="shared" si="72"/>
        <v>-922.23435376293492</v>
      </c>
      <c r="AA127">
        <v>-9891.6048380283173</v>
      </c>
    </row>
    <row r="128" spans="12:27">
      <c r="L128" s="1">
        <v>44383</v>
      </c>
      <c r="M128">
        <v>659.580017</v>
      </c>
      <c r="N128">
        <v>126</v>
      </c>
      <c r="O128">
        <f t="shared" si="68"/>
        <v>1039.8804360184547</v>
      </c>
      <c r="P128">
        <f t="shared" si="69"/>
        <v>-28457.808686128585</v>
      </c>
      <c r="Q128">
        <v>1802.9193511958001</v>
      </c>
      <c r="S128">
        <v>142.020004</v>
      </c>
      <c r="T128">
        <v>126</v>
      </c>
      <c r="U128">
        <f t="shared" ref="U128" si="132">174.199997*S128/S127</f>
        <v>176.76395422543806</v>
      </c>
      <c r="V128">
        <f t="shared" si="71"/>
        <v>-8058.601564184879</v>
      </c>
      <c r="W128">
        <v>-20994.99740855291</v>
      </c>
      <c r="Z128">
        <f t="shared" si="72"/>
        <v>-18258.20512515679</v>
      </c>
      <c r="AA128">
        <v>-9743.1617075055838</v>
      </c>
    </row>
    <row r="129" spans="12:27">
      <c r="L129" s="1">
        <v>44384</v>
      </c>
      <c r="M129">
        <v>644.65002400000003</v>
      </c>
      <c r="N129">
        <v>127</v>
      </c>
      <c r="O129">
        <f t="shared" si="68"/>
        <v>1046.1121728769099</v>
      </c>
      <c r="P129">
        <f t="shared" si="69"/>
        <v>-22635.605408282136</v>
      </c>
      <c r="Q129">
        <v>1952.7154398595449</v>
      </c>
      <c r="S129">
        <v>144.570007</v>
      </c>
      <c r="T129">
        <v>127</v>
      </c>
      <c r="U129">
        <f t="shared" ref="U129" si="133">174.199997*S129/S128</f>
        <v>177.32779943936617</v>
      </c>
      <c r="V129">
        <f t="shared" si="71"/>
        <v>-4894.4869546424598</v>
      </c>
      <c r="W129">
        <v>-20970.009424676304</v>
      </c>
      <c r="Z129">
        <f t="shared" si="72"/>
        <v>-13765.046181462239</v>
      </c>
      <c r="AA129">
        <v>-9607.4345521799987</v>
      </c>
    </row>
    <row r="130" spans="12:27">
      <c r="L130" s="1">
        <v>44385</v>
      </c>
      <c r="M130">
        <v>652.80999799999995</v>
      </c>
      <c r="N130">
        <v>128</v>
      </c>
      <c r="O130">
        <f t="shared" si="68"/>
        <v>1083.8883193212757</v>
      </c>
      <c r="P130">
        <f t="shared" si="69"/>
        <v>12657.990686742007</v>
      </c>
      <c r="Q130">
        <v>2005.3701211307198</v>
      </c>
      <c r="S130">
        <v>143.240005</v>
      </c>
      <c r="T130">
        <v>128</v>
      </c>
      <c r="U130">
        <f t="shared" ref="U130" si="134">174.199997*S130/S129</f>
        <v>172.59740771320557</v>
      </c>
      <c r="V130">
        <f t="shared" si="71"/>
        <v>-31439.895516914199</v>
      </c>
      <c r="W130">
        <v>-20805.081157036941</v>
      </c>
      <c r="Z130">
        <f t="shared" si="72"/>
        <v>-9390.9524150860962</v>
      </c>
      <c r="AA130">
        <v>-9390.9524150860962</v>
      </c>
    </row>
    <row r="131" spans="12:27">
      <c r="L131" s="1">
        <v>44386</v>
      </c>
      <c r="M131">
        <v>656.95001200000002</v>
      </c>
      <c r="N131">
        <v>129</v>
      </c>
      <c r="O131">
        <f t="shared" si="68"/>
        <v>1077.1278866163746</v>
      </c>
      <c r="P131">
        <f t="shared" si="69"/>
        <v>6341.836081989808</v>
      </c>
      <c r="Q131">
        <v>2260.8359649416525</v>
      </c>
      <c r="S131">
        <v>145.11000100000001</v>
      </c>
      <c r="T131">
        <v>129</v>
      </c>
      <c r="U131">
        <f t="shared" ref="U131" si="135">174.199997*S131/S130</f>
        <v>176.47417520594195</v>
      </c>
      <c r="V131">
        <f t="shared" si="71"/>
        <v>-9684.74648211163</v>
      </c>
      <c r="W131">
        <v>-20710.56124209112</v>
      </c>
      <c r="Z131">
        <f t="shared" si="72"/>
        <v>-1671.4552000609692</v>
      </c>
      <c r="AA131">
        <v>-9234.6967819319107</v>
      </c>
    </row>
    <row r="132" spans="12:27">
      <c r="L132" s="1">
        <v>44389</v>
      </c>
      <c r="M132">
        <v>685.70001200000002</v>
      </c>
      <c r="N132">
        <v>130</v>
      </c>
      <c r="O132">
        <f t="shared" ref="O132:O195" si="136">1070.339966*M132/M131</f>
        <v>1117.1810855074307</v>
      </c>
      <c r="P132">
        <f t="shared" ref="P132:P195" si="137">(1000000*O132/1070.339966)-1000000</f>
        <v>43762.842643802403</v>
      </c>
      <c r="Q132">
        <v>2424.0198315749876</v>
      </c>
      <c r="S132">
        <v>144.5</v>
      </c>
      <c r="T132">
        <v>130</v>
      </c>
      <c r="U132">
        <f t="shared" ref="U132" si="138">174.199997*S132/S131</f>
        <v>173.46770996507675</v>
      </c>
      <c r="V132">
        <f t="shared" ref="V132:V195" si="139">(1000000*U132/178.199997)-1000000</f>
        <v>-26556.044414093019</v>
      </c>
      <c r="W132">
        <v>-20701.09222138254</v>
      </c>
      <c r="Z132">
        <f t="shared" ref="Z132:Z195" si="140">(500000*O132/1070.339966+500000*U132/178.199997)-1000000</f>
        <v>8603.3991148546338</v>
      </c>
      <c r="AA132">
        <v>-9102.5638351036469</v>
      </c>
    </row>
    <row r="133" spans="12:27">
      <c r="L133" s="1">
        <v>44390</v>
      </c>
      <c r="M133">
        <v>668.53997800000002</v>
      </c>
      <c r="N133">
        <v>131</v>
      </c>
      <c r="O133">
        <f t="shared" si="136"/>
        <v>1043.5540977096566</v>
      </c>
      <c r="P133">
        <f t="shared" si="137"/>
        <v>-25025.570511438185</v>
      </c>
      <c r="Q133">
        <v>2599.9534868296469</v>
      </c>
      <c r="S133">
        <v>145.63999899999999</v>
      </c>
      <c r="T133">
        <v>131</v>
      </c>
      <c r="U133">
        <f t="shared" ref="U133" si="141">174.199997*S133/S132</f>
        <v>175.57430718948098</v>
      </c>
      <c r="V133">
        <f t="shared" si="139"/>
        <v>-14734.510969262337</v>
      </c>
      <c r="W133">
        <v>-20535.10441594827</v>
      </c>
      <c r="Z133">
        <f t="shared" si="140"/>
        <v>-19880.040740350261</v>
      </c>
      <c r="AA133">
        <v>-8727.6858940769453</v>
      </c>
    </row>
    <row r="134" spans="12:27">
      <c r="L134" s="1">
        <v>44391</v>
      </c>
      <c r="M134">
        <v>653.38000499999998</v>
      </c>
      <c r="N134">
        <v>132</v>
      </c>
      <c r="O134">
        <f t="shared" si="136"/>
        <v>1046.0686800345391</v>
      </c>
      <c r="P134">
        <f t="shared" si="137"/>
        <v>-22676.24001387693</v>
      </c>
      <c r="Q134">
        <v>2618.0753118500579</v>
      </c>
      <c r="S134">
        <v>149.14999399999999</v>
      </c>
      <c r="T134">
        <v>132</v>
      </c>
      <c r="U134">
        <f t="shared" ref="U134" si="142">174.199997*S134/S133</f>
        <v>178.3983018796232</v>
      </c>
      <c r="V134">
        <f t="shared" si="139"/>
        <v>1112.8220143752405</v>
      </c>
      <c r="W134">
        <v>-20374.556314037531</v>
      </c>
      <c r="Z134">
        <f t="shared" si="140"/>
        <v>-10781.708999750903</v>
      </c>
      <c r="AA134">
        <v>-8695.3868656489067</v>
      </c>
    </row>
    <row r="135" spans="12:27">
      <c r="L135" s="1">
        <v>44392</v>
      </c>
      <c r="M135">
        <v>650.59997599999997</v>
      </c>
      <c r="N135">
        <v>133</v>
      </c>
      <c r="O135">
        <f t="shared" si="136"/>
        <v>1065.7858380460248</v>
      </c>
      <c r="P135">
        <f t="shared" si="137"/>
        <v>-4254.8424786889227</v>
      </c>
      <c r="Q135">
        <v>2635.3133876316715</v>
      </c>
      <c r="S135">
        <v>148.479996</v>
      </c>
      <c r="T135">
        <v>133</v>
      </c>
      <c r="U135">
        <f t="shared" ref="U135" si="143">174.199997*S135/S134</f>
        <v>173.41747166117898</v>
      </c>
      <c r="V135">
        <f t="shared" si="139"/>
        <v>-26837.965316133108</v>
      </c>
      <c r="W135">
        <v>-20265.159543203772</v>
      </c>
      <c r="Z135">
        <f t="shared" si="140"/>
        <v>-15546.403897410957</v>
      </c>
      <c r="AA135">
        <v>-8350.0220788987353</v>
      </c>
    </row>
    <row r="136" spans="12:27">
      <c r="L136" s="1">
        <v>44393</v>
      </c>
      <c r="M136">
        <v>644.21997099999999</v>
      </c>
      <c r="N136">
        <v>134</v>
      </c>
      <c r="O136">
        <f t="shared" si="136"/>
        <v>1059.8438476681729</v>
      </c>
      <c r="P136">
        <f t="shared" si="137"/>
        <v>-9806.3406630068785</v>
      </c>
      <c r="Q136">
        <v>2767.1029929774813</v>
      </c>
      <c r="S136">
        <v>146.38999899999999</v>
      </c>
      <c r="T136">
        <v>134</v>
      </c>
      <c r="U136">
        <f t="shared" ref="U136" si="144">174.199997*S136/S135</f>
        <v>171.74796655187143</v>
      </c>
      <c r="V136">
        <f t="shared" si="139"/>
        <v>-36206.68101430207</v>
      </c>
      <c r="W136">
        <v>-20234.083050609916</v>
      </c>
      <c r="Z136">
        <f t="shared" si="140"/>
        <v>-23006.510838654474</v>
      </c>
      <c r="AA136">
        <v>-8248.155192538281</v>
      </c>
    </row>
    <row r="137" spans="12:27">
      <c r="L137" s="1">
        <v>44396</v>
      </c>
      <c r="M137">
        <v>646.21997099999999</v>
      </c>
      <c r="N137">
        <v>135</v>
      </c>
      <c r="O137">
        <f t="shared" si="136"/>
        <v>1073.6628681582133</v>
      </c>
      <c r="P137">
        <f t="shared" si="137"/>
        <v>3104.529648305499</v>
      </c>
      <c r="Q137">
        <v>3100.6683239529375</v>
      </c>
      <c r="S137">
        <v>142.449997</v>
      </c>
      <c r="T137">
        <v>135</v>
      </c>
      <c r="U137">
        <f t="shared" ref="U137" si="145">174.199997*S137/S136</f>
        <v>169.51150501783943</v>
      </c>
      <c r="V137">
        <f t="shared" si="139"/>
        <v>-48756.970417684992</v>
      </c>
      <c r="W137">
        <v>-20175.821678395267</v>
      </c>
      <c r="Z137">
        <f t="shared" si="140"/>
        <v>-22826.220384689746</v>
      </c>
      <c r="AA137">
        <v>-7912.5828878195025</v>
      </c>
    </row>
    <row r="138" spans="12:27">
      <c r="L138" s="1">
        <v>44397</v>
      </c>
      <c r="M138">
        <v>660.5</v>
      </c>
      <c r="N138">
        <v>136</v>
      </c>
      <c r="O138">
        <f t="shared" si="136"/>
        <v>1093.9921068193046</v>
      </c>
      <c r="P138">
        <f t="shared" si="137"/>
        <v>22097.783480603481</v>
      </c>
      <c r="Q138">
        <v>3104.529648305499</v>
      </c>
      <c r="S138">
        <v>146.14999399999999</v>
      </c>
      <c r="T138">
        <v>136</v>
      </c>
      <c r="U138">
        <f t="shared" ref="U138" si="146">174.199997*S138/S137</f>
        <v>178.7246686733873</v>
      </c>
      <c r="V138">
        <f t="shared" si="139"/>
        <v>2944.2855343442643</v>
      </c>
      <c r="W138">
        <v>-20078.997393198428</v>
      </c>
      <c r="Z138">
        <f t="shared" si="140"/>
        <v>12521.034507473931</v>
      </c>
      <c r="AA138">
        <v>-7807.9723551253555</v>
      </c>
    </row>
    <row r="139" spans="12:27">
      <c r="L139" s="1">
        <v>44398</v>
      </c>
      <c r="M139">
        <v>655.28997800000002</v>
      </c>
      <c r="N139">
        <v>137</v>
      </c>
      <c r="O139">
        <f t="shared" si="136"/>
        <v>1061.8971275891911</v>
      </c>
      <c r="P139">
        <f t="shared" si="137"/>
        <v>-7887.9969719910296</v>
      </c>
      <c r="Q139">
        <v>3302.5535780203063</v>
      </c>
      <c r="S139">
        <v>145.39999399999999</v>
      </c>
      <c r="T139">
        <v>137</v>
      </c>
      <c r="U139">
        <f t="shared" ref="U139" si="147">174.199997*S139/S138</f>
        <v>173.3060524012065</v>
      </c>
      <c r="V139">
        <f t="shared" si="139"/>
        <v>-27463.213699119748</v>
      </c>
      <c r="W139">
        <v>-20042.469803220592</v>
      </c>
      <c r="Z139">
        <f t="shared" si="140"/>
        <v>-17675.605335555389</v>
      </c>
      <c r="AA139">
        <v>-7607.8111459184438</v>
      </c>
    </row>
    <row r="140" spans="12:27">
      <c r="L140" s="1">
        <v>44399</v>
      </c>
      <c r="M140">
        <v>649.26000999999997</v>
      </c>
      <c r="N140">
        <v>138</v>
      </c>
      <c r="O140">
        <f t="shared" si="136"/>
        <v>1060.4907145833986</v>
      </c>
      <c r="P140">
        <f t="shared" si="137"/>
        <v>-9201.9841634143377</v>
      </c>
      <c r="Q140">
        <v>3411.9403533819132</v>
      </c>
      <c r="S140">
        <v>146.800003</v>
      </c>
      <c r="T140">
        <v>138</v>
      </c>
      <c r="U140">
        <f t="shared" ref="U140" si="148">174.199997*S140/S139</f>
        <v>175.87731181199356</v>
      </c>
      <c r="V140">
        <f t="shared" si="139"/>
        <v>-13034.148300274275</v>
      </c>
      <c r="W140">
        <v>-20039.711025926052</v>
      </c>
      <c r="Z140">
        <f t="shared" si="140"/>
        <v>-11118.066231844248</v>
      </c>
      <c r="AA140">
        <v>-7425.4428775657434</v>
      </c>
    </row>
    <row r="141" spans="12:27">
      <c r="L141" s="1">
        <v>44400</v>
      </c>
      <c r="M141">
        <v>643.38000499999998</v>
      </c>
      <c r="N141">
        <v>139</v>
      </c>
      <c r="O141">
        <f t="shared" si="136"/>
        <v>1060.6464622344133</v>
      </c>
      <c r="P141">
        <f t="shared" si="137"/>
        <v>-9056.4718439998105</v>
      </c>
      <c r="Q141">
        <v>3825.0674508472439</v>
      </c>
      <c r="S141">
        <v>148.55999800000001</v>
      </c>
      <c r="T141">
        <v>139</v>
      </c>
      <c r="U141">
        <f t="shared" ref="U141" si="149">174.199997*S141/S140</f>
        <v>176.28849235050768</v>
      </c>
      <c r="V141">
        <f t="shared" si="139"/>
        <v>-10726.737832056824</v>
      </c>
      <c r="W141">
        <v>-19617.160869470565</v>
      </c>
      <c r="Z141">
        <f t="shared" si="140"/>
        <v>-9891.6048380283173</v>
      </c>
      <c r="AA141">
        <v>-7418.61960864102</v>
      </c>
    </row>
    <row r="142" spans="12:27">
      <c r="L142" s="1">
        <v>44403</v>
      </c>
      <c r="M142">
        <v>657.61999500000002</v>
      </c>
      <c r="N142">
        <v>140</v>
      </c>
      <c r="O142">
        <f t="shared" si="136"/>
        <v>1094.0299008658503</v>
      </c>
      <c r="P142">
        <f t="shared" si="137"/>
        <v>22133.093800451607</v>
      </c>
      <c r="Q142">
        <v>4638.9590083237272</v>
      </c>
      <c r="S142">
        <v>148.990005</v>
      </c>
      <c r="T142">
        <v>140</v>
      </c>
      <c r="U142">
        <f t="shared" ref="U142" si="150">174.199997*S142/S141</f>
        <v>174.70421899191183</v>
      </c>
      <c r="V142">
        <f t="shared" si="139"/>
        <v>-19617.160869470565</v>
      </c>
      <c r="W142">
        <v>-19584.957788304891</v>
      </c>
      <c r="Z142">
        <f t="shared" si="140"/>
        <v>1257.9664654905209</v>
      </c>
      <c r="AA142">
        <v>-7208.4103769438807</v>
      </c>
    </row>
    <row r="143" spans="12:27">
      <c r="L143" s="1">
        <v>44404</v>
      </c>
      <c r="M143">
        <v>644.78002900000001</v>
      </c>
      <c r="N143">
        <v>141</v>
      </c>
      <c r="O143">
        <f t="shared" si="136"/>
        <v>1049.4416829849265</v>
      </c>
      <c r="P143">
        <f t="shared" si="137"/>
        <v>-19524.902067492716</v>
      </c>
      <c r="Q143">
        <v>4822.7789619391551</v>
      </c>
      <c r="S143">
        <v>146.770004</v>
      </c>
      <c r="T143">
        <v>141</v>
      </c>
      <c r="U143">
        <f t="shared" ref="U143" si="151">174.199997*S143/S142</f>
        <v>171.60435867150946</v>
      </c>
      <c r="V143">
        <f t="shared" si="139"/>
        <v>-37012.561389047303</v>
      </c>
      <c r="W143">
        <v>-19582.55598752026</v>
      </c>
      <c r="Z143">
        <f t="shared" si="140"/>
        <v>-28268.731728269951</v>
      </c>
      <c r="AA143">
        <v>-6972.5564613626339</v>
      </c>
    </row>
    <row r="144" spans="12:27">
      <c r="L144" s="1">
        <v>44405</v>
      </c>
      <c r="M144">
        <v>646.97997999999995</v>
      </c>
      <c r="N144">
        <v>142</v>
      </c>
      <c r="O144">
        <f t="shared" si="136"/>
        <v>1073.9919021218329</v>
      </c>
      <c r="P144">
        <f t="shared" si="137"/>
        <v>3411.9403533819132</v>
      </c>
      <c r="Q144">
        <v>5218.6210666693514</v>
      </c>
      <c r="S144">
        <v>144.979996</v>
      </c>
      <c r="T144">
        <v>142</v>
      </c>
      <c r="U144">
        <f t="shared" ref="U144" si="152">174.199997*S144/S143</f>
        <v>172.07545261264701</v>
      </c>
      <c r="V144">
        <f t="shared" si="139"/>
        <v>-34368.936534566688</v>
      </c>
      <c r="W144">
        <v>-19535.615648883861</v>
      </c>
      <c r="Z144">
        <f t="shared" si="140"/>
        <v>-15478.498090592446</v>
      </c>
      <c r="AA144">
        <v>-6808.736517437268</v>
      </c>
    </row>
    <row r="145" spans="12:27">
      <c r="L145" s="1">
        <v>44406</v>
      </c>
      <c r="M145">
        <v>677.34997599999997</v>
      </c>
      <c r="N145">
        <v>143</v>
      </c>
      <c r="O145">
        <f t="shared" si="136"/>
        <v>1120.5829742706117</v>
      </c>
      <c r="P145">
        <f t="shared" si="137"/>
        <v>46941.168102295953</v>
      </c>
      <c r="Q145">
        <v>5494.9389502542326</v>
      </c>
      <c r="S145">
        <v>145.63999899999999</v>
      </c>
      <c r="T145">
        <v>143</v>
      </c>
      <c r="U145">
        <f t="shared" ref="U145" si="153">174.199997*S145/S144</f>
        <v>174.99302033971637</v>
      </c>
      <c r="V145">
        <f t="shared" si="139"/>
        <v>-17996.502324765082</v>
      </c>
      <c r="W145">
        <v>-19438.603491867194</v>
      </c>
      <c r="Z145">
        <f t="shared" si="140"/>
        <v>14472.332888765493</v>
      </c>
      <c r="AA145">
        <v>-6757.0157612386392</v>
      </c>
    </row>
    <row r="146" spans="12:27">
      <c r="L146" s="1">
        <v>44407</v>
      </c>
      <c r="M146">
        <v>687.20001200000002</v>
      </c>
      <c r="N146">
        <v>144</v>
      </c>
      <c r="O146">
        <f t="shared" si="136"/>
        <v>1085.9048697733765</v>
      </c>
      <c r="P146">
        <f t="shared" si="137"/>
        <v>14542.018674257793</v>
      </c>
      <c r="Q146">
        <v>5850.8793891249225</v>
      </c>
      <c r="S146">
        <v>145.86000100000001</v>
      </c>
      <c r="T146">
        <v>144</v>
      </c>
      <c r="U146">
        <f t="shared" ref="U146" si="154">174.199997*S146/S145</f>
        <v>174.46314138343271</v>
      </c>
      <c r="V146">
        <f t="shared" si="139"/>
        <v>-20970.009424676304</v>
      </c>
      <c r="W146">
        <v>-19236.843220112845</v>
      </c>
      <c r="Z146">
        <f t="shared" si="140"/>
        <v>-3213.9953752092551</v>
      </c>
      <c r="AA146">
        <v>-6605.8402797868475</v>
      </c>
    </row>
    <row r="147" spans="12:27">
      <c r="L147" s="1">
        <v>44410</v>
      </c>
      <c r="M147">
        <v>709.669983</v>
      </c>
      <c r="N147">
        <v>145</v>
      </c>
      <c r="O147">
        <f t="shared" si="136"/>
        <v>1105.3377942540556</v>
      </c>
      <c r="P147">
        <f t="shared" si="137"/>
        <v>32697.86176895455</v>
      </c>
      <c r="Q147">
        <v>6095.4819225211395</v>
      </c>
      <c r="S147">
        <v>145.520004</v>
      </c>
      <c r="T147">
        <v>145</v>
      </c>
      <c r="U147">
        <f t="shared" ref="U147" si="155">174.199997*S147/S146</f>
        <v>173.7939399866039</v>
      </c>
      <c r="V147">
        <f t="shared" si="139"/>
        <v>-24725.34841510735</v>
      </c>
      <c r="W147">
        <v>-19161.01678566169</v>
      </c>
      <c r="Z147">
        <f t="shared" si="140"/>
        <v>3986.2566769236</v>
      </c>
      <c r="AA147">
        <v>-6476.0490783203859</v>
      </c>
    </row>
    <row r="148" spans="12:27">
      <c r="L148" s="1">
        <v>44411</v>
      </c>
      <c r="M148">
        <v>709.73999000000003</v>
      </c>
      <c r="N148">
        <v>146</v>
      </c>
      <c r="O148">
        <f t="shared" si="136"/>
        <v>1070.4455521059292</v>
      </c>
      <c r="P148">
        <f t="shared" si="137"/>
        <v>98.64726094820071</v>
      </c>
      <c r="Q148">
        <v>6101.038256853004</v>
      </c>
      <c r="S148">
        <v>147.36000100000001</v>
      </c>
      <c r="T148">
        <v>146</v>
      </c>
      <c r="U148">
        <f t="shared" ref="U148" si="156">174.199997*S148/S147</f>
        <v>176.40263212279737</v>
      </c>
      <c r="V148">
        <f t="shared" si="139"/>
        <v>-10086.222825259785</v>
      </c>
      <c r="W148">
        <v>-19095.686850505299</v>
      </c>
      <c r="Z148">
        <f t="shared" si="140"/>
        <v>-4993.7877821557922</v>
      </c>
      <c r="AA148">
        <v>-6322.2012574019609</v>
      </c>
    </row>
    <row r="149" spans="12:27">
      <c r="L149" s="1">
        <v>44412</v>
      </c>
      <c r="M149">
        <v>710.919983</v>
      </c>
      <c r="N149">
        <v>147</v>
      </c>
      <c r="O149">
        <f t="shared" si="136"/>
        <v>1072.1194819992327</v>
      </c>
      <c r="P149">
        <f t="shared" si="137"/>
        <v>1662.5708239999367</v>
      </c>
      <c r="Q149">
        <v>6284.7450634719571</v>
      </c>
      <c r="S149">
        <v>146.949997</v>
      </c>
      <c r="T149">
        <v>147</v>
      </c>
      <c r="U149">
        <f t="shared" ref="U149" si="157">174.199997*S149/S148</f>
        <v>173.71531530153834</v>
      </c>
      <c r="V149">
        <f t="shared" si="139"/>
        <v>-25166.564388110768</v>
      </c>
      <c r="W149">
        <v>-18905.360731117544</v>
      </c>
      <c r="Z149">
        <f t="shared" si="140"/>
        <v>-11751.996782055357</v>
      </c>
      <c r="AA149">
        <v>-6319.0475758620305</v>
      </c>
    </row>
    <row r="150" spans="12:27">
      <c r="L150" s="1">
        <v>44413</v>
      </c>
      <c r="M150">
        <v>714.63000499999998</v>
      </c>
      <c r="N150">
        <v>148</v>
      </c>
      <c r="O150">
        <f t="shared" si="136"/>
        <v>1075.9256646950657</v>
      </c>
      <c r="P150">
        <f t="shared" si="137"/>
        <v>5218.6210666693514</v>
      </c>
      <c r="Q150">
        <v>6341.836081989808</v>
      </c>
      <c r="S150">
        <v>147.05999800000001</v>
      </c>
      <c r="T150">
        <v>148</v>
      </c>
      <c r="U150">
        <f t="shared" ref="U150" si="158">174.199997*S150/S149</f>
        <v>174.33039628044367</v>
      </c>
      <c r="V150">
        <f t="shared" si="139"/>
        <v>-21714.931451745913</v>
      </c>
      <c r="W150">
        <v>-18884.664199241903</v>
      </c>
      <c r="Z150">
        <f t="shared" si="140"/>
        <v>-8248.155192538281</v>
      </c>
      <c r="AA150">
        <v>-6282.4005471684504</v>
      </c>
    </row>
    <row r="151" spans="12:27">
      <c r="L151" s="1">
        <v>44414</v>
      </c>
      <c r="M151">
        <v>699.09997599999997</v>
      </c>
      <c r="N151">
        <v>149</v>
      </c>
      <c r="O151">
        <f t="shared" si="136"/>
        <v>1047.0798025650222</v>
      </c>
      <c r="P151">
        <f t="shared" si="137"/>
        <v>-21731.565833147382</v>
      </c>
      <c r="Q151">
        <v>6580.8350928056752</v>
      </c>
      <c r="S151">
        <v>146.13999899999999</v>
      </c>
      <c r="T151">
        <v>149</v>
      </c>
      <c r="U151">
        <f t="shared" ref="U151" si="159">174.199997*S151/S150</f>
        <v>173.11021170678922</v>
      </c>
      <c r="V151">
        <f t="shared" si="139"/>
        <v>-28562.207513453439</v>
      </c>
      <c r="W151">
        <v>-18640.669007956283</v>
      </c>
      <c r="Z151">
        <f t="shared" si="140"/>
        <v>-25146.886673300411</v>
      </c>
      <c r="AA151">
        <v>-6202.5904798724223</v>
      </c>
    </row>
    <row r="152" spans="12:27">
      <c r="L152" s="1">
        <v>44417</v>
      </c>
      <c r="M152">
        <v>713.76000999999997</v>
      </c>
      <c r="N152">
        <v>150</v>
      </c>
      <c r="O152">
        <f t="shared" si="136"/>
        <v>1092.7848534721729</v>
      </c>
      <c r="P152">
        <f t="shared" si="137"/>
        <v>20969.867691713385</v>
      </c>
      <c r="Q152">
        <v>6652.4924203471746</v>
      </c>
      <c r="S152">
        <v>146.08999600000001</v>
      </c>
      <c r="T152">
        <v>150</v>
      </c>
      <c r="U152">
        <f t="shared" ref="U152" si="160">174.199997*S152/S151</f>
        <v>174.14039304140147</v>
      </c>
      <c r="V152">
        <f t="shared" si="139"/>
        <v>-22781.16737902374</v>
      </c>
      <c r="W152">
        <v>-18601.060793016106</v>
      </c>
      <c r="Z152">
        <f t="shared" si="140"/>
        <v>-905.64984365517739</v>
      </c>
      <c r="AA152">
        <v>-6109.791502451757</v>
      </c>
    </row>
    <row r="153" spans="12:27">
      <c r="L153" s="1">
        <v>44418</v>
      </c>
      <c r="M153">
        <v>709.98999000000003</v>
      </c>
      <c r="N153">
        <v>151</v>
      </c>
      <c r="O153">
        <f t="shared" si="136"/>
        <v>1064.6865208334389</v>
      </c>
      <c r="P153">
        <f t="shared" si="137"/>
        <v>-5281.9154157990124</v>
      </c>
      <c r="Q153">
        <v>6767.609968984616</v>
      </c>
      <c r="S153">
        <v>145.60000600000001</v>
      </c>
      <c r="T153">
        <v>151</v>
      </c>
      <c r="U153">
        <f t="shared" ref="U153" si="161">174.199997*S153/S152</f>
        <v>173.61572525746377</v>
      </c>
      <c r="V153">
        <f t="shared" si="139"/>
        <v>-25725.431087051285</v>
      </c>
      <c r="W153">
        <v>-18376.603126563714</v>
      </c>
      <c r="Z153">
        <f t="shared" si="140"/>
        <v>-15503.673251425149</v>
      </c>
      <c r="AA153">
        <v>-5675.6977116712369</v>
      </c>
    </row>
    <row r="154" spans="12:27">
      <c r="L154" s="1">
        <v>44419</v>
      </c>
      <c r="M154">
        <v>707.82000700000003</v>
      </c>
      <c r="N154">
        <v>152</v>
      </c>
      <c r="O154">
        <f t="shared" si="136"/>
        <v>1067.0686247653994</v>
      </c>
      <c r="P154">
        <f t="shared" si="137"/>
        <v>-3056.3571748386603</v>
      </c>
      <c r="Q154">
        <v>6833.8508415539982</v>
      </c>
      <c r="S154">
        <v>145.86000100000001</v>
      </c>
      <c r="T154">
        <v>152</v>
      </c>
      <c r="U154">
        <f t="shared" ref="U154" si="162">174.199997*S154/S153</f>
        <v>174.5110624282529</v>
      </c>
      <c r="V154">
        <f t="shared" si="139"/>
        <v>-20701.09222138254</v>
      </c>
      <c r="W154">
        <v>-18311.196652824758</v>
      </c>
      <c r="Z154">
        <f t="shared" si="140"/>
        <v>-11878.7246981106</v>
      </c>
      <c r="AA154">
        <v>-5643.2319005083991</v>
      </c>
    </row>
    <row r="155" spans="12:27">
      <c r="L155" s="1">
        <v>44420</v>
      </c>
      <c r="M155">
        <v>722.25</v>
      </c>
      <c r="N155">
        <v>153</v>
      </c>
      <c r="O155">
        <f t="shared" si="136"/>
        <v>1092.1604826062794</v>
      </c>
      <c r="P155">
        <f t="shared" si="137"/>
        <v>20386.528859447804</v>
      </c>
      <c r="Q155">
        <v>6985.9973759184359</v>
      </c>
      <c r="S155">
        <v>148.88999899999999</v>
      </c>
      <c r="T155">
        <v>153</v>
      </c>
      <c r="U155">
        <f t="shared" ref="U155" si="163">174.199997*S155/S154</f>
        <v>177.81871110181876</v>
      </c>
      <c r="V155">
        <f t="shared" si="139"/>
        <v>-2139.6515409662388</v>
      </c>
      <c r="W155">
        <v>-18068.573180131498</v>
      </c>
      <c r="Z155">
        <f t="shared" si="140"/>
        <v>9123.4386592407245</v>
      </c>
      <c r="AA155">
        <v>-5422.9368055668892</v>
      </c>
    </row>
    <row r="156" spans="12:27">
      <c r="L156" s="1">
        <v>44421</v>
      </c>
      <c r="M156">
        <v>717.169983</v>
      </c>
      <c r="N156">
        <v>154</v>
      </c>
      <c r="O156">
        <f t="shared" si="136"/>
        <v>1062.8116237043139</v>
      </c>
      <c r="P156">
        <f t="shared" si="137"/>
        <v>-7033.5991692625685</v>
      </c>
      <c r="Q156">
        <v>7317.3258062863024</v>
      </c>
      <c r="S156">
        <v>149.10000600000001</v>
      </c>
      <c r="T156">
        <v>154</v>
      </c>
      <c r="U156">
        <f t="shared" ref="U156" si="164">174.199997*S156/S155</f>
        <v>174.4457033537893</v>
      </c>
      <c r="V156">
        <f t="shared" si="139"/>
        <v>-21067.865933862515</v>
      </c>
      <c r="W156">
        <v>-17996.502324765082</v>
      </c>
      <c r="Z156">
        <f t="shared" si="140"/>
        <v>-14050.7325515626</v>
      </c>
      <c r="AA156">
        <v>-5036.9329038809519</v>
      </c>
    </row>
    <row r="157" spans="12:27">
      <c r="L157" s="1">
        <v>44424</v>
      </c>
      <c r="M157">
        <v>686.169983</v>
      </c>
      <c r="N157">
        <v>155</v>
      </c>
      <c r="O157">
        <f t="shared" si="136"/>
        <v>1024.0740322150941</v>
      </c>
      <c r="P157">
        <f t="shared" si="137"/>
        <v>-43225.456634874339</v>
      </c>
      <c r="Q157">
        <v>8139.7000026461901</v>
      </c>
      <c r="S157">
        <v>151.11999499999999</v>
      </c>
      <c r="T157">
        <v>155</v>
      </c>
      <c r="U157">
        <f t="shared" ref="U157" si="165">174.199997*S157/S156</f>
        <v>176.56003766787248</v>
      </c>
      <c r="V157">
        <f t="shared" si="139"/>
        <v>-9202.9144766343525</v>
      </c>
      <c r="W157">
        <v>-17974.514598588692</v>
      </c>
      <c r="Z157">
        <f t="shared" si="140"/>
        <v>-26214.185555754346</v>
      </c>
      <c r="AA157">
        <v>-4993.7877821557922</v>
      </c>
    </row>
    <row r="158" spans="12:27">
      <c r="L158" s="1">
        <v>44425</v>
      </c>
      <c r="M158">
        <v>665.71002199999998</v>
      </c>
      <c r="N158">
        <v>156</v>
      </c>
      <c r="O158">
        <f t="shared" si="136"/>
        <v>1038.4249675249043</v>
      </c>
      <c r="P158">
        <f t="shared" si="137"/>
        <v>-29817.627565908944</v>
      </c>
      <c r="Q158">
        <v>8211.4502821356291</v>
      </c>
      <c r="S158">
        <v>150.19000199999999</v>
      </c>
      <c r="T158">
        <v>156</v>
      </c>
      <c r="U158">
        <f t="shared" ref="U158" si="166">174.199997*S158/S157</f>
        <v>173.12796958357492</v>
      </c>
      <c r="V158">
        <f t="shared" si="139"/>
        <v>-28462.556126895361</v>
      </c>
      <c r="W158">
        <v>-17929.243115891004</v>
      </c>
      <c r="Z158">
        <f t="shared" si="140"/>
        <v>-29140.091846402152</v>
      </c>
      <c r="AA158">
        <v>-4904.4272086096462</v>
      </c>
    </row>
    <row r="159" spans="12:27">
      <c r="L159" s="1">
        <v>44426</v>
      </c>
      <c r="M159">
        <v>688.98999000000003</v>
      </c>
      <c r="N159">
        <v>157</v>
      </c>
      <c r="O159">
        <f t="shared" si="136"/>
        <v>1107.7698969521302</v>
      </c>
      <c r="P159">
        <f t="shared" si="137"/>
        <v>34970.132986821816</v>
      </c>
      <c r="Q159">
        <v>8498.7524421719136</v>
      </c>
      <c r="S159">
        <v>146.36000100000001</v>
      </c>
      <c r="T159">
        <v>157</v>
      </c>
      <c r="U159">
        <f t="shared" ref="U159" si="167">174.199997*S159/S158</f>
        <v>169.75771619684775</v>
      </c>
      <c r="V159">
        <f t="shared" si="139"/>
        <v>-47375.313946566661</v>
      </c>
      <c r="W159">
        <v>-17491.945820252527</v>
      </c>
      <c r="Z159">
        <f t="shared" si="140"/>
        <v>-6202.5904798724223</v>
      </c>
      <c r="AA159">
        <v>-4750.0139577200171</v>
      </c>
    </row>
    <row r="160" spans="12:27">
      <c r="L160" s="1">
        <v>44427</v>
      </c>
      <c r="M160">
        <v>673.46997099999999</v>
      </c>
      <c r="N160">
        <v>158</v>
      </c>
      <c r="O160">
        <f t="shared" si="136"/>
        <v>1046.2297512655605</v>
      </c>
      <c r="P160">
        <f t="shared" si="137"/>
        <v>-22525.753966323915</v>
      </c>
      <c r="Q160">
        <v>8926.3572622330394</v>
      </c>
      <c r="S160">
        <v>146.699997</v>
      </c>
      <c r="T160">
        <v>158</v>
      </c>
      <c r="U160">
        <f t="shared" ref="U160" si="168">174.199997*S160/S159</f>
        <v>174.60466563743742</v>
      </c>
      <c r="V160">
        <f t="shared" si="139"/>
        <v>-20175.821678395267</v>
      </c>
      <c r="W160">
        <v>-17420.683974375832</v>
      </c>
      <c r="Z160">
        <f t="shared" si="140"/>
        <v>-21350.787822359591</v>
      </c>
      <c r="AA160">
        <v>-4703.9522649198771</v>
      </c>
    </row>
    <row r="161" spans="12:27">
      <c r="L161" s="1">
        <v>44428</v>
      </c>
      <c r="M161">
        <v>680.26000999999997</v>
      </c>
      <c r="N161">
        <v>159</v>
      </c>
      <c r="O161">
        <f t="shared" si="136"/>
        <v>1081.131315912168</v>
      </c>
      <c r="P161">
        <f t="shared" si="137"/>
        <v>10082.170389747014</v>
      </c>
      <c r="Q161">
        <v>9040.8699190381449</v>
      </c>
      <c r="S161">
        <v>148.19000199999999</v>
      </c>
      <c r="T161">
        <v>159</v>
      </c>
      <c r="U161">
        <f t="shared" ref="U161" si="169">174.199997*S161/S160</f>
        <v>175.96931446310793</v>
      </c>
      <c r="V161">
        <f t="shared" si="139"/>
        <v>-12517.859564790269</v>
      </c>
      <c r="W161">
        <v>-17141.398298732121</v>
      </c>
      <c r="Z161">
        <f t="shared" si="140"/>
        <v>-1217.8445875216275</v>
      </c>
      <c r="AA161">
        <v>-4122.085446084966</v>
      </c>
    </row>
    <row r="162" spans="12:27">
      <c r="L162" s="1">
        <v>44431</v>
      </c>
      <c r="M162">
        <v>706.29998799999998</v>
      </c>
      <c r="N162">
        <v>160</v>
      </c>
      <c r="O162">
        <f t="shared" si="136"/>
        <v>1111.3119895754571</v>
      </c>
      <c r="P162">
        <f t="shared" si="137"/>
        <v>38279.448471474811</v>
      </c>
      <c r="Q162">
        <v>9140.6410925163655</v>
      </c>
      <c r="S162">
        <v>149.71000699999999</v>
      </c>
      <c r="T162">
        <v>160</v>
      </c>
      <c r="U162">
        <f t="shared" ref="U162" si="170">174.199997*S162/S161</f>
        <v>175.98679005531005</v>
      </c>
      <c r="V162">
        <f t="shared" si="139"/>
        <v>-12419.792266831268</v>
      </c>
      <c r="W162">
        <v>-16440.900584919029</v>
      </c>
      <c r="Z162">
        <f t="shared" si="140"/>
        <v>12929.82810232183</v>
      </c>
      <c r="AA162">
        <v>-3735.4608882975299</v>
      </c>
    </row>
    <row r="163" spans="12:27">
      <c r="L163" s="1">
        <v>44432</v>
      </c>
      <c r="M163">
        <v>708.48999000000003</v>
      </c>
      <c r="N163">
        <v>161</v>
      </c>
      <c r="O163">
        <f t="shared" si="136"/>
        <v>1073.6587352284371</v>
      </c>
      <c r="P163">
        <f t="shared" si="137"/>
        <v>3100.6683239529375</v>
      </c>
      <c r="Q163">
        <v>9193.1562631762354</v>
      </c>
      <c r="S163">
        <v>149.61999499999999</v>
      </c>
      <c r="T163">
        <v>161</v>
      </c>
      <c r="U163">
        <f t="shared" ref="U163" si="171">174.199997*S163/S162</f>
        <v>174.09526058027646</v>
      </c>
      <c r="V163">
        <f t="shared" si="139"/>
        <v>-23034.43596423592</v>
      </c>
      <c r="W163">
        <v>-16311.425484336214</v>
      </c>
      <c r="Z163">
        <f t="shared" si="140"/>
        <v>-9966.8838201414328</v>
      </c>
      <c r="AA163">
        <v>-3649.3125649157446</v>
      </c>
    </row>
    <row r="164" spans="12:27">
      <c r="L164" s="1">
        <v>44433</v>
      </c>
      <c r="M164">
        <v>711.20001200000002</v>
      </c>
      <c r="N164">
        <v>162</v>
      </c>
      <c r="O164">
        <f t="shared" si="136"/>
        <v>1074.4340885652875</v>
      </c>
      <c r="P164">
        <f t="shared" si="137"/>
        <v>3825.0674508472439</v>
      </c>
      <c r="Q164">
        <v>10082.170389747014</v>
      </c>
      <c r="S164">
        <v>148.36000100000001</v>
      </c>
      <c r="T164">
        <v>162</v>
      </c>
      <c r="U164">
        <f t="shared" ref="U164" si="172">174.199997*S164/S163</f>
        <v>172.73300757108032</v>
      </c>
      <c r="V164">
        <f t="shared" si="139"/>
        <v>-30678.95354072121</v>
      </c>
      <c r="W164">
        <v>-16281.13451545476</v>
      </c>
      <c r="Z164">
        <f t="shared" si="140"/>
        <v>-13426.943044936983</v>
      </c>
      <c r="AA164">
        <v>-3241.0777306677774</v>
      </c>
    </row>
    <row r="165" spans="12:27">
      <c r="L165" s="1">
        <v>44434</v>
      </c>
      <c r="M165">
        <v>701.15997300000004</v>
      </c>
      <c r="N165">
        <v>163</v>
      </c>
      <c r="O165">
        <f t="shared" si="136"/>
        <v>1055.2299339125727</v>
      </c>
      <c r="P165">
        <f t="shared" si="137"/>
        <v>-14117.039975528023</v>
      </c>
      <c r="Q165">
        <v>10149.43180334405</v>
      </c>
      <c r="S165">
        <v>147.53999300000001</v>
      </c>
      <c r="T165">
        <v>163</v>
      </c>
      <c r="U165">
        <f t="shared" ref="U165" si="173">174.199997*S165/S164</f>
        <v>173.23716746254283</v>
      </c>
      <c r="V165">
        <f t="shared" si="139"/>
        <v>-27849.773406321416</v>
      </c>
      <c r="W165">
        <v>-16252.219642977347</v>
      </c>
      <c r="Z165">
        <f t="shared" si="140"/>
        <v>-20983.406690924661</v>
      </c>
      <c r="AA165">
        <v>-3222.6337346429937</v>
      </c>
    </row>
    <row r="166" spans="12:27">
      <c r="L166" s="1">
        <v>44435</v>
      </c>
      <c r="M166">
        <v>711.919983</v>
      </c>
      <c r="N166">
        <v>164</v>
      </c>
      <c r="O166">
        <f t="shared" si="136"/>
        <v>1086.7654169399377</v>
      </c>
      <c r="P166">
        <f t="shared" si="137"/>
        <v>15346.012913375394</v>
      </c>
      <c r="Q166">
        <v>10882.293644461664</v>
      </c>
      <c r="S166">
        <v>148.60000600000001</v>
      </c>
      <c r="T166">
        <v>164</v>
      </c>
      <c r="U166">
        <f t="shared" ref="U166" si="174">174.199997*S166/S165</f>
        <v>175.45155095269646</v>
      </c>
      <c r="V166">
        <f t="shared" si="139"/>
        <v>-15423.378751816228</v>
      </c>
      <c r="W166">
        <v>-16109.242762955953</v>
      </c>
      <c r="Z166">
        <f t="shared" si="140"/>
        <v>-38.682919220416807</v>
      </c>
      <c r="AA166">
        <v>-3213.9953752092551</v>
      </c>
    </row>
    <row r="167" spans="12:27">
      <c r="L167" s="1">
        <v>44438</v>
      </c>
      <c r="M167">
        <v>730.90997300000004</v>
      </c>
      <c r="N167">
        <v>165</v>
      </c>
      <c r="O167">
        <f t="shared" si="136"/>
        <v>1098.8905696300437</v>
      </c>
      <c r="P167">
        <f t="shared" si="137"/>
        <v>26674.332022507791</v>
      </c>
      <c r="Q167">
        <v>12064.693872288684</v>
      </c>
      <c r="S167">
        <v>153.11999499999999</v>
      </c>
      <c r="T167">
        <v>165</v>
      </c>
      <c r="U167">
        <f t="shared" ref="U167" si="175">174.199997*S167/S166</f>
        <v>179.49866482266503</v>
      </c>
      <c r="V167">
        <f t="shared" si="139"/>
        <v>7287.6983419087483</v>
      </c>
      <c r="W167">
        <v>-15929.667421187856</v>
      </c>
      <c r="Z167">
        <f t="shared" si="140"/>
        <v>16981.01518220827</v>
      </c>
      <c r="AA167">
        <v>-2939.2725510306191</v>
      </c>
    </row>
    <row r="168" spans="12:27">
      <c r="L168" s="1">
        <v>44439</v>
      </c>
      <c r="M168">
        <v>735.71997099999999</v>
      </c>
      <c r="N168">
        <v>166</v>
      </c>
      <c r="O168">
        <f t="shared" si="136"/>
        <v>1077.3836968094852</v>
      </c>
      <c r="P168">
        <f t="shared" si="137"/>
        <v>6580.8350928056752</v>
      </c>
      <c r="Q168">
        <v>12613.531389169628</v>
      </c>
      <c r="S168">
        <v>151.83000200000001</v>
      </c>
      <c r="T168">
        <v>166</v>
      </c>
      <c r="U168">
        <f t="shared" ref="U168" si="176">174.199997*S168/S167</f>
        <v>172.73241089715287</v>
      </c>
      <c r="V168">
        <f t="shared" si="139"/>
        <v>-30682.301879315521</v>
      </c>
      <c r="W168">
        <v>-15924.522234933451</v>
      </c>
      <c r="Z168">
        <f t="shared" si="140"/>
        <v>-12050.733393254923</v>
      </c>
      <c r="AA168">
        <v>-2798.9614542922936</v>
      </c>
    </row>
    <row r="169" spans="12:27">
      <c r="L169" s="1">
        <v>44440</v>
      </c>
      <c r="M169">
        <v>734.09002699999996</v>
      </c>
      <c r="N169">
        <v>167</v>
      </c>
      <c r="O169">
        <f t="shared" si="136"/>
        <v>1067.9686912292873</v>
      </c>
      <c r="P169">
        <f t="shared" si="137"/>
        <v>-2215.4407440979267</v>
      </c>
      <c r="Q169">
        <v>12657.990686742007</v>
      </c>
      <c r="S169">
        <v>152.509995</v>
      </c>
      <c r="T169">
        <v>167</v>
      </c>
      <c r="U169">
        <f t="shared" ref="U169" si="177">174.199997*S169/S168</f>
        <v>174.98017731350629</v>
      </c>
      <c r="V169">
        <f t="shared" si="139"/>
        <v>-18068.573180131498</v>
      </c>
      <c r="W169">
        <v>-15878.308999816305</v>
      </c>
      <c r="Z169">
        <f t="shared" si="140"/>
        <v>-10142.006962114712</v>
      </c>
      <c r="AA169">
        <v>-2697.203557630768</v>
      </c>
    </row>
    <row r="170" spans="12:27">
      <c r="L170" s="1">
        <v>44441</v>
      </c>
      <c r="M170">
        <v>732.39001499999995</v>
      </c>
      <c r="N170">
        <v>168</v>
      </c>
      <c r="O170">
        <f t="shared" si="136"/>
        <v>1067.8612634984611</v>
      </c>
      <c r="P170">
        <f t="shared" si="137"/>
        <v>-2315.8086031320272</v>
      </c>
      <c r="Q170">
        <v>12789.169863684452</v>
      </c>
      <c r="S170">
        <v>153.64999399999999</v>
      </c>
      <c r="T170">
        <v>168</v>
      </c>
      <c r="U170">
        <f t="shared" ref="U170" si="178">174.199997*S170/S169</f>
        <v>175.50212688584782</v>
      </c>
      <c r="V170">
        <f t="shared" si="139"/>
        <v>-15139.563185021747</v>
      </c>
      <c r="W170">
        <v>-15644.247041627183</v>
      </c>
      <c r="Z170">
        <f t="shared" si="140"/>
        <v>-8727.6858940769453</v>
      </c>
      <c r="AA170">
        <v>-2390.5206988004502</v>
      </c>
    </row>
    <row r="171" spans="12:27">
      <c r="L171" s="1">
        <v>44442</v>
      </c>
      <c r="M171">
        <v>733.57000700000003</v>
      </c>
      <c r="N171">
        <v>169</v>
      </c>
      <c r="O171">
        <f t="shared" si="136"/>
        <v>1072.0644469067481</v>
      </c>
      <c r="P171">
        <f t="shared" si="137"/>
        <v>1611.1524950271705</v>
      </c>
      <c r="Q171">
        <v>13130.262091929675</v>
      </c>
      <c r="S171">
        <v>154.300003</v>
      </c>
      <c r="T171">
        <v>169</v>
      </c>
      <c r="U171">
        <f t="shared" ref="U171" si="179">174.199997*S171/S170</f>
        <v>174.9369418114002</v>
      </c>
      <c r="V171">
        <f t="shared" si="139"/>
        <v>-18311.196652824758</v>
      </c>
      <c r="W171">
        <v>-15490.435948110069</v>
      </c>
      <c r="Z171">
        <f t="shared" si="140"/>
        <v>-8350.0220788987353</v>
      </c>
      <c r="AA171">
        <v>-1671.4552000609692</v>
      </c>
    </row>
    <row r="172" spans="12:27">
      <c r="L172" s="1">
        <v>44446</v>
      </c>
      <c r="M172">
        <v>752.919983</v>
      </c>
      <c r="N172">
        <v>170</v>
      </c>
      <c r="O172">
        <f t="shared" si="136"/>
        <v>1098.5731986244368</v>
      </c>
      <c r="P172">
        <f t="shared" si="137"/>
        <v>26377.817816098337</v>
      </c>
      <c r="Q172">
        <v>13179.957320341957</v>
      </c>
      <c r="S172">
        <v>156.69000199999999</v>
      </c>
      <c r="T172">
        <v>170</v>
      </c>
      <c r="U172">
        <f t="shared" ref="U172" si="180">174.199997*S172/S171</f>
        <v>176.89823297236094</v>
      </c>
      <c r="V172">
        <f t="shared" si="139"/>
        <v>-7305.0732298219809</v>
      </c>
      <c r="W172">
        <v>-15423.378751816228</v>
      </c>
      <c r="Z172">
        <f t="shared" si="140"/>
        <v>9536.3722931381781</v>
      </c>
      <c r="AA172">
        <v>-1521.5767868838739</v>
      </c>
    </row>
    <row r="173" spans="12:27">
      <c r="L173" s="1">
        <v>44447</v>
      </c>
      <c r="M173">
        <v>753.86999500000002</v>
      </c>
      <c r="N173">
        <v>171</v>
      </c>
      <c r="O173">
        <f t="shared" si="136"/>
        <v>1071.6904890764736</v>
      </c>
      <c r="P173">
        <f t="shared" si="137"/>
        <v>1261.7702032753732</v>
      </c>
      <c r="Q173">
        <v>13222.323166044545</v>
      </c>
      <c r="S173">
        <v>155.11000100000001</v>
      </c>
      <c r="T173">
        <v>171</v>
      </c>
      <c r="U173">
        <f t="shared" ref="U173" si="181">174.199997*S173/S172</f>
        <v>172.44343202490992</v>
      </c>
      <c r="V173">
        <f t="shared" si="139"/>
        <v>-32303.95663300762</v>
      </c>
      <c r="W173">
        <v>-15139.563185021747</v>
      </c>
      <c r="Z173">
        <f t="shared" si="140"/>
        <v>-15521.093214866123</v>
      </c>
      <c r="AA173">
        <v>-1383.0855053239502</v>
      </c>
    </row>
    <row r="174" spans="12:27">
      <c r="L174" s="1">
        <v>44448</v>
      </c>
      <c r="M174">
        <v>754.85998500000005</v>
      </c>
      <c r="N174">
        <v>172</v>
      </c>
      <c r="O174">
        <f t="shared" si="136"/>
        <v>1071.7455476917614</v>
      </c>
      <c r="P174">
        <f t="shared" si="137"/>
        <v>1313.2105091938283</v>
      </c>
      <c r="Q174">
        <v>13307.437822533073</v>
      </c>
      <c r="S174">
        <v>154.070007</v>
      </c>
      <c r="T174">
        <v>172</v>
      </c>
      <c r="U174">
        <f t="shared" ref="U174" si="182">174.199997*S174/S173</f>
        <v>173.03200686066643</v>
      </c>
      <c r="V174">
        <f t="shared" si="139"/>
        <v>-29001.067487860681</v>
      </c>
      <c r="W174">
        <v>-15102.792791035608</v>
      </c>
      <c r="Z174">
        <f t="shared" si="140"/>
        <v>-13843.928489333484</v>
      </c>
      <c r="AA174">
        <v>-1217.8445875216275</v>
      </c>
    </row>
    <row r="175" spans="12:27">
      <c r="L175" s="1">
        <v>44449</v>
      </c>
      <c r="M175">
        <v>736.27002000000005</v>
      </c>
      <c r="N175">
        <v>173</v>
      </c>
      <c r="O175">
        <f t="shared" si="136"/>
        <v>1043.9806637433819</v>
      </c>
      <c r="P175">
        <f t="shared" si="137"/>
        <v>-24627.037290895823</v>
      </c>
      <c r="Q175">
        <v>13491.950663502561</v>
      </c>
      <c r="S175">
        <v>148.970001</v>
      </c>
      <c r="T175">
        <v>173</v>
      </c>
      <c r="U175">
        <f t="shared" ref="U175" si="183">174.199997*S175/S174</f>
        <v>168.43365060202791</v>
      </c>
      <c r="V175">
        <f t="shared" si="139"/>
        <v>-54805.536264807452</v>
      </c>
      <c r="W175">
        <v>-14734.510969262337</v>
      </c>
      <c r="Z175">
        <f t="shared" si="140"/>
        <v>-39716.286777851637</v>
      </c>
      <c r="AA175">
        <v>-1160.0004551315214</v>
      </c>
    </row>
    <row r="176" spans="12:27">
      <c r="L176" s="1">
        <v>44452</v>
      </c>
      <c r="M176">
        <v>743</v>
      </c>
      <c r="N176">
        <v>174</v>
      </c>
      <c r="O176">
        <f t="shared" si="136"/>
        <v>1080.1235594761822</v>
      </c>
      <c r="P176">
        <f t="shared" si="137"/>
        <v>9140.6410925163655</v>
      </c>
      <c r="Q176">
        <v>13874.14244650281</v>
      </c>
      <c r="S176">
        <v>149.550003</v>
      </c>
      <c r="T176">
        <v>174</v>
      </c>
      <c r="U176">
        <f t="shared" ref="U176" si="184">174.199997*S176/S175</f>
        <v>174.87822983870419</v>
      </c>
      <c r="V176">
        <f t="shared" si="139"/>
        <v>-18640.669007956283</v>
      </c>
      <c r="W176">
        <v>-14501.951386898523</v>
      </c>
      <c r="Z176">
        <f t="shared" si="140"/>
        <v>-4750.0139577200171</v>
      </c>
      <c r="AA176">
        <v>-1081.4456276148558</v>
      </c>
    </row>
    <row r="177" spans="12:27">
      <c r="L177" s="1">
        <v>44453</v>
      </c>
      <c r="M177">
        <v>744.48999000000003</v>
      </c>
      <c r="N177">
        <v>175</v>
      </c>
      <c r="O177">
        <f t="shared" si="136"/>
        <v>1072.4863937872685</v>
      </c>
      <c r="P177">
        <f t="shared" si="137"/>
        <v>2005.3701211307198</v>
      </c>
      <c r="Q177">
        <v>14542.018674257793</v>
      </c>
      <c r="S177">
        <v>148.11999499999999</v>
      </c>
      <c r="T177">
        <v>175</v>
      </c>
      <c r="U177">
        <f t="shared" ref="U177" si="185">174.199997*S177/S176</f>
        <v>172.5342839654775</v>
      </c>
      <c r="V177">
        <f t="shared" si="139"/>
        <v>-31794.125308108167</v>
      </c>
      <c r="W177">
        <v>-14415.776412083418</v>
      </c>
      <c r="Z177">
        <f t="shared" si="140"/>
        <v>-14894.377593488665</v>
      </c>
      <c r="AA177">
        <v>-922.23435376293492</v>
      </c>
    </row>
    <row r="178" spans="12:27">
      <c r="L178" s="1">
        <v>44454</v>
      </c>
      <c r="M178">
        <v>755.830017</v>
      </c>
      <c r="N178">
        <v>176</v>
      </c>
      <c r="O178">
        <f t="shared" si="136"/>
        <v>1086.6433203454615</v>
      </c>
      <c r="P178">
        <f t="shared" si="137"/>
        <v>15231.940190357622</v>
      </c>
      <c r="Q178">
        <v>15231.940190357622</v>
      </c>
      <c r="S178">
        <v>149.029999</v>
      </c>
      <c r="T178">
        <v>176</v>
      </c>
      <c r="U178">
        <f t="shared" ref="U178" si="186">174.199997*S178/S177</f>
        <v>175.27022856509012</v>
      </c>
      <c r="V178">
        <f t="shared" si="139"/>
        <v>-16440.900584919029</v>
      </c>
      <c r="W178">
        <v>-14009.169284123578</v>
      </c>
      <c r="Z178">
        <f t="shared" si="140"/>
        <v>-604.48019728064537</v>
      </c>
      <c r="AA178">
        <v>-905.64984365517739</v>
      </c>
    </row>
    <row r="179" spans="12:27">
      <c r="L179" s="1">
        <v>44455</v>
      </c>
      <c r="M179">
        <v>756.98999000000003</v>
      </c>
      <c r="N179">
        <v>177</v>
      </c>
      <c r="O179">
        <f t="shared" si="136"/>
        <v>1071.9826176987362</v>
      </c>
      <c r="P179">
        <f t="shared" si="137"/>
        <v>1534.7008902927628</v>
      </c>
      <c r="Q179">
        <v>15346.012913375394</v>
      </c>
      <c r="S179">
        <v>148.78999300000001</v>
      </c>
      <c r="T179">
        <v>177</v>
      </c>
      <c r="U179">
        <f t="shared" ref="U179" si="187">174.199997*S179/S178</f>
        <v>173.91945586894906</v>
      </c>
      <c r="V179">
        <f t="shared" si="139"/>
        <v>-24020.99440580199</v>
      </c>
      <c r="W179">
        <v>-13566.147746998817</v>
      </c>
      <c r="Z179">
        <f t="shared" si="140"/>
        <v>-11243.146757754614</v>
      </c>
      <c r="AA179">
        <v>-604.48019728064537</v>
      </c>
    </row>
    <row r="180" spans="12:27">
      <c r="L180" s="1">
        <v>44456</v>
      </c>
      <c r="M180">
        <v>759.48999000000003</v>
      </c>
      <c r="N180">
        <v>178</v>
      </c>
      <c r="O180">
        <f t="shared" si="136"/>
        <v>1073.8748210844115</v>
      </c>
      <c r="P180">
        <f t="shared" si="137"/>
        <v>3302.5535780203063</v>
      </c>
      <c r="Q180">
        <v>16056.602216300671</v>
      </c>
      <c r="S180">
        <v>146.05999800000001</v>
      </c>
      <c r="T180">
        <v>178</v>
      </c>
      <c r="U180">
        <f t="shared" ref="U180" si="188">174.199997*S180/S179</f>
        <v>171.00377989412235</v>
      </c>
      <c r="V180">
        <f t="shared" si="139"/>
        <v>-40382.81272180751</v>
      </c>
      <c r="W180">
        <v>-13034.148300274275</v>
      </c>
      <c r="Z180">
        <f t="shared" si="140"/>
        <v>-18540.129571893602</v>
      </c>
      <c r="AA180">
        <v>-366.68431673338637</v>
      </c>
    </row>
    <row r="181" spans="12:27">
      <c r="L181" s="1">
        <v>44459</v>
      </c>
      <c r="M181">
        <v>730.169983</v>
      </c>
      <c r="N181">
        <v>179</v>
      </c>
      <c r="O181">
        <f t="shared" si="136"/>
        <v>1029.0196382686236</v>
      </c>
      <c r="P181">
        <f t="shared" si="137"/>
        <v>-38604.862981801853</v>
      </c>
      <c r="Q181">
        <v>16363.167102448293</v>
      </c>
      <c r="S181">
        <v>142.94000199999999</v>
      </c>
      <c r="T181">
        <v>179</v>
      </c>
      <c r="U181">
        <f t="shared" ref="U181" si="189">174.199997*S181/S180</f>
        <v>170.47890086634118</v>
      </c>
      <c r="V181">
        <f t="shared" si="139"/>
        <v>-43328.261861075298</v>
      </c>
      <c r="W181">
        <v>-12867.937953543384</v>
      </c>
      <c r="Z181">
        <f t="shared" si="140"/>
        <v>-40966.562421438517</v>
      </c>
      <c r="AA181">
        <v>-38.682919220416807</v>
      </c>
    </row>
    <row r="182" spans="12:27">
      <c r="L182" s="1">
        <v>44460</v>
      </c>
      <c r="M182">
        <v>739.38000499999998</v>
      </c>
      <c r="N182">
        <v>180</v>
      </c>
      <c r="O182">
        <f t="shared" si="136"/>
        <v>1083.8407327582238</v>
      </c>
      <c r="P182">
        <f t="shared" si="137"/>
        <v>12613.531389169628</v>
      </c>
      <c r="Q182">
        <v>16987.201324169058</v>
      </c>
      <c r="S182">
        <v>143.429993</v>
      </c>
      <c r="T182">
        <v>180</v>
      </c>
      <c r="U182">
        <f t="shared" ref="U182" si="190">174.199997*S182/S181</f>
        <v>174.79714566052701</v>
      </c>
      <c r="V182">
        <f t="shared" si="139"/>
        <v>-19095.686850505299</v>
      </c>
      <c r="W182">
        <v>-12834.73831561394</v>
      </c>
      <c r="Z182">
        <f t="shared" si="140"/>
        <v>-3241.0777306677774</v>
      </c>
      <c r="AA182">
        <v>153.99734975199681</v>
      </c>
    </row>
    <row r="183" spans="12:27">
      <c r="L183" s="1">
        <v>44461</v>
      </c>
      <c r="M183">
        <v>751.94000200000005</v>
      </c>
      <c r="N183">
        <v>181</v>
      </c>
      <c r="O183">
        <f t="shared" si="136"/>
        <v>1088.5220464877461</v>
      </c>
      <c r="P183">
        <f t="shared" si="137"/>
        <v>16987.201324169058</v>
      </c>
      <c r="Q183">
        <v>17400.268915826222</v>
      </c>
      <c r="S183">
        <v>145.85000600000001</v>
      </c>
      <c r="T183">
        <v>181</v>
      </c>
      <c r="U183">
        <f t="shared" ref="U183" si="191">174.199997*S183/S182</f>
        <v>177.139174842252</v>
      </c>
      <c r="V183">
        <f t="shared" si="139"/>
        <v>-5952.9863951007137</v>
      </c>
      <c r="W183">
        <v>-12517.859564790269</v>
      </c>
      <c r="Z183">
        <f t="shared" si="140"/>
        <v>5517.1074645342305</v>
      </c>
      <c r="AA183">
        <v>524.06121258996427</v>
      </c>
    </row>
    <row r="184" spans="12:27">
      <c r="L184" s="1">
        <v>44462</v>
      </c>
      <c r="M184">
        <v>753.64001499999995</v>
      </c>
      <c r="N184">
        <v>182</v>
      </c>
      <c r="O184">
        <f t="shared" si="136"/>
        <v>1072.7598290898472</v>
      </c>
      <c r="P184">
        <f t="shared" si="137"/>
        <v>2260.8359649416525</v>
      </c>
      <c r="Q184">
        <v>17422.066533075063</v>
      </c>
      <c r="S184">
        <v>146.83000200000001</v>
      </c>
      <c r="T184">
        <v>182</v>
      </c>
      <c r="U184">
        <f t="shared" ref="U184" si="192">174.199997*S184/S183</f>
        <v>175.37048238386765</v>
      </c>
      <c r="V184">
        <f t="shared" si="139"/>
        <v>-15878.308999816305</v>
      </c>
      <c r="W184">
        <v>-12419.792266831268</v>
      </c>
      <c r="Z184">
        <f t="shared" si="140"/>
        <v>-6808.736517437268</v>
      </c>
      <c r="AA184">
        <v>742.34590175026096</v>
      </c>
    </row>
    <row r="185" spans="12:27">
      <c r="L185" s="1">
        <v>44463</v>
      </c>
      <c r="M185">
        <v>774.39001499999995</v>
      </c>
      <c r="N185">
        <v>183</v>
      </c>
      <c r="O185">
        <f t="shared" si="136"/>
        <v>1099.8096781337167</v>
      </c>
      <c r="P185">
        <f t="shared" si="137"/>
        <v>27533.039099575952</v>
      </c>
      <c r="Q185">
        <v>17539.142058165395</v>
      </c>
      <c r="S185">
        <v>146.91999799999999</v>
      </c>
      <c r="T185">
        <v>183</v>
      </c>
      <c r="U185">
        <f t="shared" ref="U185" si="193">174.199997*S185/S184</f>
        <v>174.30676879538558</v>
      </c>
      <c r="V185">
        <f t="shared" si="139"/>
        <v>-21847.521156885428</v>
      </c>
      <c r="W185">
        <v>-11949.355106815929</v>
      </c>
      <c r="Z185">
        <f t="shared" si="140"/>
        <v>2842.7589713452617</v>
      </c>
      <c r="AA185">
        <v>1124.8179425435374</v>
      </c>
    </row>
    <row r="186" spans="12:27">
      <c r="L186" s="1">
        <v>44466</v>
      </c>
      <c r="M186">
        <v>791.35998500000005</v>
      </c>
      <c r="N186">
        <v>184</v>
      </c>
      <c r="O186">
        <f t="shared" si="136"/>
        <v>1093.7953783387311</v>
      </c>
      <c r="P186">
        <f t="shared" si="137"/>
        <v>21913.983485440607</v>
      </c>
      <c r="Q186">
        <v>18236.617059429642</v>
      </c>
      <c r="S186">
        <v>145.36999499999999</v>
      </c>
      <c r="T186">
        <v>184</v>
      </c>
      <c r="U186">
        <f t="shared" ref="U186" si="194">174.199997*S186/S185</f>
        <v>172.36219056367</v>
      </c>
      <c r="V186">
        <f t="shared" si="139"/>
        <v>-32759.857096574386</v>
      </c>
      <c r="W186">
        <v>-11204.586989460979</v>
      </c>
      <c r="Z186">
        <f t="shared" si="140"/>
        <v>-5422.9368055668892</v>
      </c>
      <c r="AA186">
        <v>1257.9664654905209</v>
      </c>
    </row>
    <row r="187" spans="12:27">
      <c r="L187" s="1">
        <v>44467</v>
      </c>
      <c r="M187">
        <v>777.55999799999995</v>
      </c>
      <c r="N187">
        <v>185</v>
      </c>
      <c r="O187">
        <f t="shared" si="136"/>
        <v>1051.6750374006842</v>
      </c>
      <c r="P187">
        <f t="shared" si="137"/>
        <v>-17438.317910400918</v>
      </c>
      <c r="Q187">
        <v>18929.741581495386</v>
      </c>
      <c r="S187">
        <v>141.91000399999999</v>
      </c>
      <c r="T187">
        <v>185</v>
      </c>
      <c r="U187">
        <f t="shared" ref="U187" si="195">174.199997*S187/S186</f>
        <v>170.05381523931391</v>
      </c>
      <c r="V187">
        <f t="shared" si="139"/>
        <v>-45713.703130343463</v>
      </c>
      <c r="W187">
        <v>-10905.519579565735</v>
      </c>
      <c r="Z187">
        <f t="shared" si="140"/>
        <v>-31576.010520372191</v>
      </c>
      <c r="AA187">
        <v>2441.0638289754279</v>
      </c>
    </row>
    <row r="188" spans="12:27">
      <c r="L188" s="1">
        <v>44468</v>
      </c>
      <c r="M188">
        <v>781.30999799999995</v>
      </c>
      <c r="N188">
        <v>186</v>
      </c>
      <c r="O188">
        <f t="shared" si="136"/>
        <v>1075.5019790701476</v>
      </c>
      <c r="P188">
        <f t="shared" si="137"/>
        <v>4822.7789619391551</v>
      </c>
      <c r="Q188">
        <v>18938.450600863434</v>
      </c>
      <c r="S188">
        <v>142.83000200000001</v>
      </c>
      <c r="T188">
        <v>186</v>
      </c>
      <c r="U188">
        <f t="shared" ref="U188" si="196">174.199997*S188/S187</f>
        <v>175.32932998796898</v>
      </c>
      <c r="V188">
        <f t="shared" si="139"/>
        <v>-16109.242762955953</v>
      </c>
      <c r="W188">
        <v>-10726.737832056824</v>
      </c>
      <c r="Z188">
        <f t="shared" si="140"/>
        <v>-5643.2319005083991</v>
      </c>
      <c r="AA188">
        <v>2559.1156570939347</v>
      </c>
    </row>
    <row r="189" spans="12:27">
      <c r="L189" s="1">
        <v>44469</v>
      </c>
      <c r="M189">
        <v>775.47997999999995</v>
      </c>
      <c r="N189">
        <v>187</v>
      </c>
      <c r="O189">
        <f t="shared" si="136"/>
        <v>1062.3532497364517</v>
      </c>
      <c r="P189">
        <f t="shared" si="137"/>
        <v>-7461.8499890232924</v>
      </c>
      <c r="Q189">
        <v>19078.377633758471</v>
      </c>
      <c r="S189">
        <v>141.5</v>
      </c>
      <c r="T189">
        <v>187</v>
      </c>
      <c r="U189">
        <f t="shared" ref="U189:U196" si="197">174.199997*S189/S188</f>
        <v>172.57788441044761</v>
      </c>
      <c r="V189">
        <f t="shared" si="139"/>
        <v>-31549.453895627172</v>
      </c>
      <c r="W189">
        <v>-10360.479380053934</v>
      </c>
      <c r="Z189">
        <f t="shared" si="140"/>
        <v>-19505.65194232529</v>
      </c>
      <c r="AA189">
        <v>2677.7373180540744</v>
      </c>
    </row>
    <row r="190" spans="12:27">
      <c r="L190" s="1">
        <v>44470</v>
      </c>
      <c r="M190">
        <v>775.21997099999999</v>
      </c>
      <c r="N190">
        <v>188</v>
      </c>
      <c r="O190">
        <f t="shared" si="136"/>
        <v>1069.9810940350271</v>
      </c>
      <c r="P190">
        <f t="shared" si="137"/>
        <v>-335.28783038351685</v>
      </c>
      <c r="Q190">
        <v>19121.596426854143</v>
      </c>
      <c r="S190">
        <v>142.64999399999999</v>
      </c>
      <c r="T190">
        <v>188</v>
      </c>
      <c r="U190">
        <f t="shared" si="197"/>
        <v>175.61574930636056</v>
      </c>
      <c r="V190">
        <f t="shared" si="139"/>
        <v>-14501.951386898523</v>
      </c>
      <c r="W190">
        <v>-10182.306190377683</v>
      </c>
      <c r="Z190">
        <f t="shared" si="140"/>
        <v>-7418.61960864102</v>
      </c>
      <c r="AA190">
        <v>2842.7589713452617</v>
      </c>
    </row>
    <row r="191" spans="12:27">
      <c r="L191" s="1">
        <v>44473</v>
      </c>
      <c r="M191">
        <v>781.53002900000001</v>
      </c>
      <c r="N191">
        <v>189</v>
      </c>
      <c r="O191">
        <f t="shared" si="136"/>
        <v>1079.0522122240825</v>
      </c>
      <c r="P191">
        <f t="shared" si="137"/>
        <v>8139.7000026461901</v>
      </c>
      <c r="Q191">
        <v>19392.565504922997</v>
      </c>
      <c r="S191">
        <v>139.13999899999999</v>
      </c>
      <c r="T191">
        <v>189</v>
      </c>
      <c r="U191">
        <f t="shared" si="197"/>
        <v>169.91369385111926</v>
      </c>
      <c r="V191">
        <f t="shared" si="139"/>
        <v>-46500.018453315366</v>
      </c>
      <c r="W191">
        <v>-10128.698514765128</v>
      </c>
      <c r="Z191">
        <f t="shared" si="140"/>
        <v>-19180.159225334646</v>
      </c>
      <c r="AA191">
        <v>3125.6406340695685</v>
      </c>
    </row>
    <row r="192" spans="12:27">
      <c r="L192" s="1">
        <v>44474</v>
      </c>
      <c r="M192">
        <v>780.59002699999996</v>
      </c>
      <c r="N192">
        <v>190</v>
      </c>
      <c r="O192">
        <f t="shared" si="136"/>
        <v>1069.0525916555907</v>
      </c>
      <c r="P192">
        <f t="shared" si="137"/>
        <v>-1202.7714420683915</v>
      </c>
      <c r="Q192">
        <v>20386.528859447804</v>
      </c>
      <c r="S192">
        <v>141.11000100000001</v>
      </c>
      <c r="T192">
        <v>190</v>
      </c>
      <c r="U192">
        <f t="shared" si="197"/>
        <v>176.66639303964635</v>
      </c>
      <c r="V192">
        <f t="shared" si="139"/>
        <v>-8606.0829751509009</v>
      </c>
      <c r="W192">
        <v>-10086.222825259785</v>
      </c>
      <c r="Z192">
        <f t="shared" si="140"/>
        <v>-4904.4272086096462</v>
      </c>
      <c r="AA192">
        <v>3484.3009128051344</v>
      </c>
    </row>
    <row r="193" spans="12:27">
      <c r="L193" s="1">
        <v>44475</v>
      </c>
      <c r="M193">
        <v>782.75</v>
      </c>
      <c r="N193">
        <v>191</v>
      </c>
      <c r="O193">
        <f t="shared" si="136"/>
        <v>1073.301706923422</v>
      </c>
      <c r="P193">
        <f t="shared" si="137"/>
        <v>2767.1029929774813</v>
      </c>
      <c r="Q193">
        <v>20483.505700589973</v>
      </c>
      <c r="S193">
        <v>142</v>
      </c>
      <c r="T193">
        <v>191</v>
      </c>
      <c r="U193">
        <f t="shared" si="197"/>
        <v>175.29869887818936</v>
      </c>
      <c r="V193">
        <f t="shared" si="139"/>
        <v>-16281.13451545476</v>
      </c>
      <c r="W193">
        <v>-10033.366123585147</v>
      </c>
      <c r="Z193">
        <f t="shared" si="140"/>
        <v>-6757.0157612386392</v>
      </c>
      <c r="AA193">
        <v>3986.2566769236</v>
      </c>
    </row>
    <row r="194" spans="12:27">
      <c r="L194" s="1">
        <v>44476</v>
      </c>
      <c r="M194">
        <v>793.60998500000005</v>
      </c>
      <c r="N194">
        <v>192</v>
      </c>
      <c r="O194">
        <f t="shared" si="136"/>
        <v>1085.1900151544689</v>
      </c>
      <c r="P194">
        <f t="shared" si="137"/>
        <v>13874.14244650281</v>
      </c>
      <c r="Q194">
        <v>20969.867691713385</v>
      </c>
      <c r="S194">
        <v>143.28999300000001</v>
      </c>
      <c r="T194">
        <v>192</v>
      </c>
      <c r="U194">
        <f t="shared" si="197"/>
        <v>175.78250951218325</v>
      </c>
      <c r="V194">
        <f t="shared" si="139"/>
        <v>-13566.147746998817</v>
      </c>
      <c r="W194">
        <v>-9989.7477167133475</v>
      </c>
      <c r="Z194">
        <f t="shared" si="140"/>
        <v>153.99734975199681</v>
      </c>
      <c r="AA194">
        <v>4039.1386430689599</v>
      </c>
    </row>
    <row r="195" spans="12:27">
      <c r="L195" s="1">
        <v>44477</v>
      </c>
      <c r="M195">
        <v>785.48999000000003</v>
      </c>
      <c r="N195">
        <v>193</v>
      </c>
      <c r="O195">
        <f t="shared" si="136"/>
        <v>1059.3885473731034</v>
      </c>
      <c r="P195">
        <f t="shared" si="137"/>
        <v>-10231.719803777407</v>
      </c>
      <c r="Q195">
        <v>21913.983485440607</v>
      </c>
      <c r="S195">
        <v>142.89999399999999</v>
      </c>
      <c r="T195">
        <v>193</v>
      </c>
      <c r="U195">
        <f t="shared" si="197"/>
        <v>173.72586881276499</v>
      </c>
      <c r="V195">
        <f t="shared" si="139"/>
        <v>-25107.341540724155</v>
      </c>
      <c r="W195">
        <v>-9931.5733586127171</v>
      </c>
      <c r="Z195">
        <f t="shared" si="140"/>
        <v>-17669.530672250781</v>
      </c>
      <c r="AA195">
        <v>4339.4478193785762</v>
      </c>
    </row>
    <row r="196" spans="12:27">
      <c r="L196" s="1">
        <v>44480</v>
      </c>
      <c r="M196">
        <v>791.94000200000005</v>
      </c>
      <c r="N196">
        <v>194</v>
      </c>
      <c r="O196">
        <f t="shared" ref="O196:O252" si="198">1070.339966*M196/M195</f>
        <v>1079.1290094157916</v>
      </c>
      <c r="P196">
        <f t="shared" ref="P196:P252" si="199">(1000000*O196/1070.339966)-1000000</f>
        <v>8211.4502821356291</v>
      </c>
      <c r="Q196">
        <v>22097.783480603481</v>
      </c>
      <c r="S196">
        <v>142.80999800000001</v>
      </c>
      <c r="T196">
        <v>194</v>
      </c>
      <c r="U196">
        <f t="shared" si="197"/>
        <v>174.09028878734597</v>
      </c>
      <c r="V196">
        <f t="shared" ref="V196:V252" si="200">(1000000*U196/178.199997)-1000000</f>
        <v>-23062.336037267232</v>
      </c>
      <c r="W196">
        <v>-9684.74648211163</v>
      </c>
      <c r="Z196">
        <f t="shared" ref="Z196:Z252" si="201">(500000*O196/1070.339966+500000*U196/178.199997)-1000000</f>
        <v>-7425.4428775657434</v>
      </c>
      <c r="AA196">
        <v>4631.9334950789344</v>
      </c>
    </row>
    <row r="197" spans="12:27">
      <c r="L197" s="1">
        <v>44481</v>
      </c>
      <c r="M197">
        <v>805.71997099999999</v>
      </c>
      <c r="N197">
        <v>195</v>
      </c>
      <c r="O197">
        <f t="shared" si="198"/>
        <v>1088.9641692397563</v>
      </c>
      <c r="P197">
        <f t="shared" si="199"/>
        <v>17400.268915826222</v>
      </c>
      <c r="Q197">
        <v>22133.093800451607</v>
      </c>
      <c r="S197">
        <v>141.509995</v>
      </c>
      <c r="T197">
        <v>195</v>
      </c>
      <c r="U197">
        <f t="shared" ref="U197:U204" si="202">174.199997*S197/S196</f>
        <v>172.61425005040624</v>
      </c>
      <c r="V197">
        <f t="shared" si="200"/>
        <v>-31345.381838551606</v>
      </c>
      <c r="W197">
        <v>-9431.3656178268138</v>
      </c>
      <c r="Z197">
        <f t="shared" si="201"/>
        <v>-6972.5564613626339</v>
      </c>
      <c r="AA197">
        <v>5338.5080387955531</v>
      </c>
    </row>
    <row r="198" spans="12:27">
      <c r="L198" s="1">
        <v>44482</v>
      </c>
      <c r="M198">
        <v>811.080017</v>
      </c>
      <c r="N198">
        <v>196</v>
      </c>
      <c r="O198">
        <f t="shared" si="198"/>
        <v>1077.4603945110098</v>
      </c>
      <c r="P198">
        <f t="shared" si="199"/>
        <v>6652.4924203471746</v>
      </c>
      <c r="Q198">
        <v>22259.629612919991</v>
      </c>
      <c r="S198">
        <v>140.91000399999999</v>
      </c>
      <c r="T198">
        <v>196</v>
      </c>
      <c r="U198">
        <f t="shared" si="202"/>
        <v>173.46140302011872</v>
      </c>
      <c r="V198">
        <f t="shared" si="200"/>
        <v>-26591.436922870926</v>
      </c>
      <c r="W198">
        <v>-9356.8547672973946</v>
      </c>
      <c r="Z198">
        <f t="shared" si="201"/>
        <v>-9969.4722512618173</v>
      </c>
      <c r="AA198">
        <v>5422.1589859193191</v>
      </c>
    </row>
    <row r="199" spans="12:27">
      <c r="L199" s="1">
        <v>44483</v>
      </c>
      <c r="M199">
        <v>818.32000700000003</v>
      </c>
      <c r="N199">
        <v>197</v>
      </c>
      <c r="O199">
        <f t="shared" si="198"/>
        <v>1079.8942029285624</v>
      </c>
      <c r="P199">
        <f t="shared" si="199"/>
        <v>8926.3572622330394</v>
      </c>
      <c r="Q199">
        <v>23103.829944140278</v>
      </c>
      <c r="S199">
        <v>143.759995</v>
      </c>
      <c r="T199">
        <v>197</v>
      </c>
      <c r="U199">
        <f t="shared" si="202"/>
        <v>177.72329846587769</v>
      </c>
      <c r="V199">
        <f t="shared" si="200"/>
        <v>-2675.0759940939024</v>
      </c>
      <c r="W199">
        <v>-9202.9144766343525</v>
      </c>
      <c r="Z199">
        <f t="shared" si="201"/>
        <v>3125.6406340695685</v>
      </c>
      <c r="AA199">
        <v>5517.1074645342305</v>
      </c>
    </row>
    <row r="200" spans="12:27">
      <c r="L200" s="1">
        <v>44484</v>
      </c>
      <c r="M200">
        <v>843.03002900000001</v>
      </c>
      <c r="N200">
        <v>198</v>
      </c>
      <c r="O200">
        <f t="shared" si="198"/>
        <v>1102.6599922502432</v>
      </c>
      <c r="P200">
        <f t="shared" si="199"/>
        <v>30196.037966355099</v>
      </c>
      <c r="Q200">
        <v>23880.009512708872</v>
      </c>
      <c r="S200">
        <v>144.83999600000001</v>
      </c>
      <c r="T200">
        <v>198</v>
      </c>
      <c r="U200">
        <f t="shared" si="202"/>
        <v>175.50867936994581</v>
      </c>
      <c r="V200">
        <f t="shared" si="200"/>
        <v>-15102.792791035608</v>
      </c>
      <c r="W200">
        <v>-8659.3670582273044</v>
      </c>
      <c r="Z200">
        <f t="shared" si="201"/>
        <v>7546.6225876597455</v>
      </c>
      <c r="AA200">
        <v>5782.6085263477871</v>
      </c>
    </row>
    <row r="201" spans="12:27">
      <c r="L201" s="1">
        <v>44487</v>
      </c>
      <c r="M201">
        <v>870.10998500000005</v>
      </c>
      <c r="N201">
        <v>199</v>
      </c>
      <c r="O201">
        <f t="shared" si="198"/>
        <v>1104.7216110034444</v>
      </c>
      <c r="P201">
        <f t="shared" si="199"/>
        <v>32122.172483134549</v>
      </c>
      <c r="Q201">
        <v>25079.22086920985</v>
      </c>
      <c r="S201">
        <v>146.550003</v>
      </c>
      <c r="T201">
        <v>199</v>
      </c>
      <c r="U201">
        <f t="shared" si="202"/>
        <v>176.25663344363795</v>
      </c>
      <c r="V201">
        <f t="shared" si="200"/>
        <v>-10905.519579565735</v>
      </c>
      <c r="W201">
        <v>-8606.0829751509009</v>
      </c>
      <c r="Z201">
        <f t="shared" si="201"/>
        <v>10608.326451784465</v>
      </c>
      <c r="AA201">
        <v>6108.1883808262646</v>
      </c>
    </row>
    <row r="202" spans="12:27">
      <c r="L202" s="1">
        <v>44488</v>
      </c>
      <c r="M202">
        <v>864.27002000000005</v>
      </c>
      <c r="N202">
        <v>200</v>
      </c>
      <c r="O202">
        <f t="shared" si="198"/>
        <v>1063.1561064336245</v>
      </c>
      <c r="P202">
        <f t="shared" si="199"/>
        <v>-6711.7549513006816</v>
      </c>
      <c r="Q202">
        <v>25248.304592315108</v>
      </c>
      <c r="S202">
        <v>148.759995</v>
      </c>
      <c r="T202">
        <v>200</v>
      </c>
      <c r="U202">
        <f t="shared" si="202"/>
        <v>176.82695429709418</v>
      </c>
      <c r="V202">
        <f t="shared" si="200"/>
        <v>-7705.0658025870798</v>
      </c>
      <c r="W202">
        <v>-8431.5216824444942</v>
      </c>
      <c r="Z202">
        <f t="shared" si="201"/>
        <v>-7208.4103769438807</v>
      </c>
      <c r="AA202">
        <v>7184.3534757292364</v>
      </c>
    </row>
    <row r="203" spans="12:27">
      <c r="L203" s="1">
        <v>44489</v>
      </c>
      <c r="M203">
        <v>865.79998799999998</v>
      </c>
      <c r="N203">
        <v>201</v>
      </c>
      <c r="O203">
        <f t="shared" si="198"/>
        <v>1072.2347278906195</v>
      </c>
      <c r="P203">
        <f t="shared" si="199"/>
        <v>1770.2430543638766</v>
      </c>
      <c r="Q203">
        <v>26377.817816098337</v>
      </c>
      <c r="S203">
        <v>149.259995</v>
      </c>
      <c r="T203">
        <v>201</v>
      </c>
      <c r="U203">
        <f t="shared" si="202"/>
        <v>174.78550386627813</v>
      </c>
      <c r="V203">
        <f t="shared" si="200"/>
        <v>-19161.01678566169</v>
      </c>
      <c r="W203">
        <v>-8058.601564184879</v>
      </c>
      <c r="Z203">
        <f t="shared" si="201"/>
        <v>-8695.3868656489067</v>
      </c>
      <c r="AA203">
        <v>7448.4573394160252</v>
      </c>
    </row>
    <row r="204" spans="12:27">
      <c r="L204" s="1">
        <v>44490</v>
      </c>
      <c r="M204">
        <v>894</v>
      </c>
      <c r="N204">
        <v>202</v>
      </c>
      <c r="O204">
        <f t="shared" si="198"/>
        <v>1105.2020592127797</v>
      </c>
      <c r="P204">
        <f t="shared" si="199"/>
        <v>32571.046882481547</v>
      </c>
      <c r="Q204">
        <v>26674.332022507791</v>
      </c>
      <c r="S204">
        <v>149.479996</v>
      </c>
      <c r="T204">
        <v>202</v>
      </c>
      <c r="U204">
        <f t="shared" si="202"/>
        <v>174.45675818734961</v>
      </c>
      <c r="V204">
        <f t="shared" si="200"/>
        <v>-21005.829829785973</v>
      </c>
      <c r="W204">
        <v>-7705.0658025870798</v>
      </c>
      <c r="Z204">
        <f t="shared" si="201"/>
        <v>5782.6085263477871</v>
      </c>
      <c r="AA204">
        <v>7546.6225876597455</v>
      </c>
    </row>
    <row r="205" spans="12:27">
      <c r="L205" s="1">
        <v>44491</v>
      </c>
      <c r="M205">
        <v>909.67999299999997</v>
      </c>
      <c r="N205">
        <v>203</v>
      </c>
      <c r="O205">
        <f t="shared" si="198"/>
        <v>1089.112810714206</v>
      </c>
      <c r="P205">
        <f t="shared" si="199"/>
        <v>17539.142058165395</v>
      </c>
      <c r="Q205">
        <v>27533.039099575952</v>
      </c>
      <c r="S205">
        <v>148.69000199999999</v>
      </c>
      <c r="T205">
        <v>203</v>
      </c>
      <c r="U205">
        <f t="shared" ref="U205:U212" si="203">174.199997*S205/S204</f>
        <v>173.27935908113076</v>
      </c>
      <c r="V205">
        <f t="shared" si="200"/>
        <v>-27613.007865927299</v>
      </c>
      <c r="W205">
        <v>-7471.7757236656034</v>
      </c>
      <c r="Z205">
        <f t="shared" si="201"/>
        <v>-5036.9329038809519</v>
      </c>
      <c r="AA205">
        <v>7627.9842002526857</v>
      </c>
    </row>
    <row r="206" spans="12:27">
      <c r="L206" s="1">
        <v>44494</v>
      </c>
      <c r="M206">
        <v>1024.8599850000001</v>
      </c>
      <c r="N206">
        <v>204</v>
      </c>
      <c r="O206">
        <f t="shared" si="198"/>
        <v>1205.8620723119066</v>
      </c>
      <c r="P206">
        <f t="shared" si="199"/>
        <v>126615.94504255545</v>
      </c>
      <c r="Q206">
        <v>28390.302710960852</v>
      </c>
      <c r="S206">
        <v>148.63999899999999</v>
      </c>
      <c r="T206">
        <v>204</v>
      </c>
      <c r="U206">
        <f t="shared" si="203"/>
        <v>174.1414152370514</v>
      </c>
      <c r="V206">
        <f t="shared" si="200"/>
        <v>-22775.431151935365</v>
      </c>
      <c r="W206">
        <v>-7305.0732298219809</v>
      </c>
      <c r="Z206">
        <f t="shared" si="201"/>
        <v>51920.256945310161</v>
      </c>
      <c r="AA206">
        <v>7684.6294246449834</v>
      </c>
    </row>
    <row r="207" spans="12:27">
      <c r="L207" s="1">
        <v>44495</v>
      </c>
      <c r="M207">
        <v>1018.429993</v>
      </c>
      <c r="N207">
        <v>205</v>
      </c>
      <c r="O207">
        <f t="shared" si="198"/>
        <v>1063.6246316915185</v>
      </c>
      <c r="P207">
        <f t="shared" si="199"/>
        <v>-6274.0199579555774</v>
      </c>
      <c r="Q207">
        <v>30196.037966355099</v>
      </c>
      <c r="S207">
        <v>149.320007</v>
      </c>
      <c r="T207">
        <v>205</v>
      </c>
      <c r="U207">
        <f t="shared" si="203"/>
        <v>174.99693855245505</v>
      </c>
      <c r="V207">
        <f t="shared" si="200"/>
        <v>-17974.514598588692</v>
      </c>
      <c r="W207">
        <v>-6733.7568374603288</v>
      </c>
      <c r="Z207">
        <f t="shared" si="201"/>
        <v>-12124.267278272193</v>
      </c>
      <c r="AA207">
        <v>7738.4703899859451</v>
      </c>
    </row>
    <row r="208" spans="12:27">
      <c r="L208" s="1">
        <v>44496</v>
      </c>
      <c r="M208">
        <v>1037.8599850000001</v>
      </c>
      <c r="N208">
        <v>206</v>
      </c>
      <c r="O208">
        <f t="shared" si="198"/>
        <v>1090.7603160678523</v>
      </c>
      <c r="P208">
        <f t="shared" si="199"/>
        <v>19078.377633758471</v>
      </c>
      <c r="Q208">
        <v>31573.034226335934</v>
      </c>
      <c r="S208">
        <v>148.85000600000001</v>
      </c>
      <c r="T208">
        <v>206</v>
      </c>
      <c r="U208">
        <f t="shared" si="203"/>
        <v>173.6516835192084</v>
      </c>
      <c r="V208">
        <f t="shared" si="200"/>
        <v>-25523.645103044459</v>
      </c>
      <c r="W208">
        <v>-6584.2480225915788</v>
      </c>
      <c r="Z208">
        <f t="shared" si="201"/>
        <v>-3222.6337346429937</v>
      </c>
      <c r="AA208">
        <v>8094.0807990166359</v>
      </c>
    </row>
    <row r="209" spans="12:27">
      <c r="L209" s="1">
        <v>44497</v>
      </c>
      <c r="M209">
        <v>1077.040039</v>
      </c>
      <c r="N209">
        <v>207</v>
      </c>
      <c r="O209">
        <f t="shared" si="198"/>
        <v>1110.7461655570992</v>
      </c>
      <c r="P209">
        <f t="shared" si="199"/>
        <v>37750.808939800947</v>
      </c>
      <c r="Q209">
        <v>32122.172483134549</v>
      </c>
      <c r="S209">
        <v>152.570007</v>
      </c>
      <c r="T209">
        <v>207</v>
      </c>
      <c r="U209">
        <f t="shared" si="203"/>
        <v>178.55353503774785</v>
      </c>
      <c r="V209">
        <f t="shared" si="200"/>
        <v>1983.9396391677437</v>
      </c>
      <c r="W209">
        <v>-6326.7382930121385</v>
      </c>
      <c r="Z209">
        <f t="shared" si="201"/>
        <v>19867.374289484345</v>
      </c>
      <c r="AA209">
        <v>8328.9549954520771</v>
      </c>
    </row>
    <row r="210" spans="12:27">
      <c r="L210" s="1">
        <v>44498</v>
      </c>
      <c r="M210">
        <v>1114</v>
      </c>
      <c r="N210">
        <v>208</v>
      </c>
      <c r="O210">
        <f t="shared" si="198"/>
        <v>1107.070005708488</v>
      </c>
      <c r="P210">
        <f t="shared" si="199"/>
        <v>34316.236780125997</v>
      </c>
      <c r="Q210">
        <v>32501.237899770262</v>
      </c>
      <c r="S210">
        <v>149.800003</v>
      </c>
      <c r="T210">
        <v>208</v>
      </c>
      <c r="U210">
        <f t="shared" si="203"/>
        <v>171.0372869891786</v>
      </c>
      <c r="V210">
        <f t="shared" si="200"/>
        <v>-40194.781882187119</v>
      </c>
      <c r="W210">
        <v>-6314.4041420443682</v>
      </c>
      <c r="Z210">
        <f t="shared" si="201"/>
        <v>-2939.2725510306191</v>
      </c>
      <c r="AA210">
        <v>8603.3991148546338</v>
      </c>
    </row>
    <row r="211" spans="12:27">
      <c r="L211" s="1">
        <v>44501</v>
      </c>
      <c r="M211">
        <v>1208.589966</v>
      </c>
      <c r="N211">
        <v>209</v>
      </c>
      <c r="O211">
        <f t="shared" si="198"/>
        <v>1161.2227496556384</v>
      </c>
      <c r="P211">
        <f t="shared" si="199"/>
        <v>84910.202872531489</v>
      </c>
      <c r="Q211">
        <v>32571.046882481547</v>
      </c>
      <c r="S211">
        <v>148.96000699999999</v>
      </c>
      <c r="T211">
        <v>209</v>
      </c>
      <c r="U211">
        <f t="shared" si="203"/>
        <v>173.2231792580136</v>
      </c>
      <c r="V211">
        <f t="shared" si="200"/>
        <v>-27928.270627223304</v>
      </c>
      <c r="W211">
        <v>-6297.4148365198635</v>
      </c>
      <c r="Z211">
        <f t="shared" si="201"/>
        <v>28490.966122654034</v>
      </c>
      <c r="AA211">
        <v>9058.873733531218</v>
      </c>
    </row>
    <row r="212" spans="12:27">
      <c r="L212" s="1">
        <v>44502</v>
      </c>
      <c r="M212">
        <v>1172</v>
      </c>
      <c r="N212">
        <v>210</v>
      </c>
      <c r="O212">
        <f t="shared" si="198"/>
        <v>1037.9355078577576</v>
      </c>
      <c r="P212">
        <f t="shared" si="199"/>
        <v>-30274.921213436639</v>
      </c>
      <c r="Q212">
        <v>32697.86176895455</v>
      </c>
      <c r="S212">
        <v>150.020004</v>
      </c>
      <c r="T212">
        <v>210</v>
      </c>
      <c r="U212">
        <f t="shared" si="203"/>
        <v>175.43960136051811</v>
      </c>
      <c r="V212">
        <f t="shared" si="200"/>
        <v>-15490.435948110069</v>
      </c>
      <c r="W212">
        <v>-5952.9863951007137</v>
      </c>
      <c r="Z212">
        <f t="shared" si="201"/>
        <v>-22882.678580773296</v>
      </c>
      <c r="AA212">
        <v>9123.4386592407245</v>
      </c>
    </row>
    <row r="213" spans="12:27">
      <c r="L213" s="1">
        <v>44503</v>
      </c>
      <c r="M213">
        <v>1213.8599850000001</v>
      </c>
      <c r="N213">
        <v>211</v>
      </c>
      <c r="O213">
        <f t="shared" si="198"/>
        <v>1108.5689889707003</v>
      </c>
      <c r="P213">
        <f t="shared" si="199"/>
        <v>35716.71075085341</v>
      </c>
      <c r="Q213">
        <v>34316.236780125997</v>
      </c>
      <c r="S213">
        <v>151.490005</v>
      </c>
      <c r="T213">
        <v>211</v>
      </c>
      <c r="U213">
        <f t="shared" ref="U213:U220" si="204">174.199997*S213/S212</f>
        <v>175.90693049528238</v>
      </c>
      <c r="V213">
        <f t="shared" si="200"/>
        <v>-12867.937953543384</v>
      </c>
      <c r="W213">
        <v>-5851.7013645286206</v>
      </c>
      <c r="Z213">
        <f t="shared" si="201"/>
        <v>11424.386398655013</v>
      </c>
      <c r="AA213">
        <v>9536.3722931381781</v>
      </c>
    </row>
    <row r="214" spans="12:27">
      <c r="L214" s="1">
        <v>44504</v>
      </c>
      <c r="M214">
        <v>1229.910034</v>
      </c>
      <c r="N214">
        <v>212</v>
      </c>
      <c r="O214">
        <f t="shared" si="198"/>
        <v>1084.4923469279852</v>
      </c>
      <c r="P214">
        <f t="shared" si="199"/>
        <v>13222.323166044545</v>
      </c>
      <c r="Q214">
        <v>34951.814836810227</v>
      </c>
      <c r="S214">
        <v>150.96000699999999</v>
      </c>
      <c r="T214">
        <v>212</v>
      </c>
      <c r="U214">
        <f t="shared" si="204"/>
        <v>173.59054656127299</v>
      </c>
      <c r="V214">
        <f t="shared" si="200"/>
        <v>-25866.725680848467</v>
      </c>
      <c r="W214">
        <v>-4929.2076480847318</v>
      </c>
      <c r="Z214">
        <f t="shared" si="201"/>
        <v>-6322.2012574019609</v>
      </c>
      <c r="AA214">
        <v>10608.326451784465</v>
      </c>
    </row>
    <row r="215" spans="12:27">
      <c r="L215" s="1">
        <v>44505</v>
      </c>
      <c r="M215">
        <v>1222.089966</v>
      </c>
      <c r="N215">
        <v>213</v>
      </c>
      <c r="O215">
        <f t="shared" si="198"/>
        <v>1063.5344834152163</v>
      </c>
      <c r="P215">
        <f t="shared" si="199"/>
        <v>-6358.2439233924961</v>
      </c>
      <c r="Q215">
        <v>34970.132986821816</v>
      </c>
      <c r="S215">
        <v>151.279999</v>
      </c>
      <c r="T215">
        <v>213</v>
      </c>
      <c r="U215">
        <f t="shared" si="204"/>
        <v>174.56925112596215</v>
      </c>
      <c r="V215">
        <f t="shared" si="200"/>
        <v>-20374.556314037531</v>
      </c>
      <c r="W215">
        <v>-4894.4869546424598</v>
      </c>
      <c r="Z215">
        <f t="shared" si="201"/>
        <v>-13366.400118715013</v>
      </c>
      <c r="AA215">
        <v>10972.290800946997</v>
      </c>
    </row>
    <row r="216" spans="12:27">
      <c r="L216" s="1">
        <v>44508</v>
      </c>
      <c r="M216">
        <v>1162.9399410000001</v>
      </c>
      <c r="N216">
        <v>214</v>
      </c>
      <c r="O216">
        <f t="shared" si="198"/>
        <v>1018.5347491102649</v>
      </c>
      <c r="P216">
        <f t="shared" si="199"/>
        <v>-48400.712423490942</v>
      </c>
      <c r="Q216">
        <v>35411.303824604838</v>
      </c>
      <c r="S216">
        <v>150.44000199999999</v>
      </c>
      <c r="T216">
        <v>214</v>
      </c>
      <c r="U216">
        <f t="shared" si="204"/>
        <v>173.23273446795827</v>
      </c>
      <c r="V216">
        <f t="shared" si="200"/>
        <v>-27874.649919560412</v>
      </c>
      <c r="W216">
        <v>-4813.0550247454084</v>
      </c>
      <c r="Z216">
        <f t="shared" si="201"/>
        <v>-38137.681171525735</v>
      </c>
      <c r="AA216">
        <v>11424.386398655013</v>
      </c>
    </row>
    <row r="217" spans="12:27">
      <c r="L217" s="1">
        <v>44509</v>
      </c>
      <c r="M217">
        <v>1023.5</v>
      </c>
      <c r="N217">
        <v>215</v>
      </c>
      <c r="O217">
        <f t="shared" si="198"/>
        <v>942.00303608026127</v>
      </c>
      <c r="P217">
        <f t="shared" si="199"/>
        <v>-119902.95980383747</v>
      </c>
      <c r="Q217">
        <v>35716.71075085341</v>
      </c>
      <c r="S217">
        <v>150.80999800000001</v>
      </c>
      <c r="T217">
        <v>215</v>
      </c>
      <c r="U217">
        <f t="shared" si="204"/>
        <v>174.6284289411935</v>
      </c>
      <c r="V217">
        <f t="shared" si="200"/>
        <v>-20042.469803220592</v>
      </c>
      <c r="W217">
        <v>-4158.7422610874055</v>
      </c>
      <c r="Z217">
        <f t="shared" si="201"/>
        <v>-69972.714803528972</v>
      </c>
      <c r="AA217">
        <v>11509.27203782578</v>
      </c>
    </row>
    <row r="218" spans="12:27">
      <c r="L218" s="1">
        <v>44510</v>
      </c>
      <c r="M218">
        <v>1067.9499510000001</v>
      </c>
      <c r="N218">
        <v>216</v>
      </c>
      <c r="O218">
        <f t="shared" si="198"/>
        <v>1116.8241467933967</v>
      </c>
      <c r="P218">
        <f t="shared" si="199"/>
        <v>43429.361016120994</v>
      </c>
      <c r="Q218">
        <v>36830.742252461612</v>
      </c>
      <c r="S218">
        <v>147.91999799999999</v>
      </c>
      <c r="T218">
        <v>216</v>
      </c>
      <c r="U218">
        <f t="shared" si="204"/>
        <v>170.86177010518892</v>
      </c>
      <c r="V218">
        <f t="shared" si="200"/>
        <v>-41179.72513103392</v>
      </c>
      <c r="W218">
        <v>-4102.278215550934</v>
      </c>
      <c r="Z218">
        <f t="shared" si="201"/>
        <v>1124.8179425435374</v>
      </c>
      <c r="AA218">
        <v>11671.036078377278</v>
      </c>
    </row>
    <row r="219" spans="12:27">
      <c r="L219" s="1">
        <v>44511</v>
      </c>
      <c r="M219">
        <v>1063.51001</v>
      </c>
      <c r="N219">
        <v>217</v>
      </c>
      <c r="O219">
        <f t="shared" si="198"/>
        <v>1065.890088648976</v>
      </c>
      <c r="P219">
        <f t="shared" si="199"/>
        <v>-4157.44295492745</v>
      </c>
      <c r="Q219">
        <v>36867.388352858252</v>
      </c>
      <c r="S219">
        <v>147.86999499999999</v>
      </c>
      <c r="T219">
        <v>217</v>
      </c>
      <c r="U219">
        <f t="shared" si="204"/>
        <v>174.14111028712978</v>
      </c>
      <c r="V219">
        <f t="shared" si="200"/>
        <v>-22777.142430985579</v>
      </c>
      <c r="W219">
        <v>-3851.5113627552055</v>
      </c>
      <c r="Z219">
        <f t="shared" si="201"/>
        <v>-13467.292692956515</v>
      </c>
      <c r="AA219">
        <v>11829.573074068758</v>
      </c>
    </row>
    <row r="220" spans="12:27">
      <c r="L220" s="1">
        <v>44512</v>
      </c>
      <c r="M220">
        <v>1033.420044</v>
      </c>
      <c r="N220">
        <v>218</v>
      </c>
      <c r="O220">
        <f t="shared" si="198"/>
        <v>1040.0567595585476</v>
      </c>
      <c r="P220">
        <f t="shared" si="199"/>
        <v>-28293.072671690141</v>
      </c>
      <c r="Q220">
        <v>37103.972905817442</v>
      </c>
      <c r="S220">
        <v>149.990005</v>
      </c>
      <c r="T220">
        <v>218</v>
      </c>
      <c r="U220">
        <f t="shared" si="204"/>
        <v>176.69749986148295</v>
      </c>
      <c r="V220">
        <f t="shared" si="200"/>
        <v>-8431.5216824444942</v>
      </c>
      <c r="W220">
        <v>-3788.205757432268</v>
      </c>
      <c r="Z220">
        <f t="shared" si="201"/>
        <v>-18362.297177067259</v>
      </c>
      <c r="AA220">
        <v>12432.034419195261</v>
      </c>
    </row>
    <row r="221" spans="12:27">
      <c r="L221" s="1">
        <v>44515</v>
      </c>
      <c r="M221">
        <v>1013.3900149999999</v>
      </c>
      <c r="N221">
        <v>219</v>
      </c>
      <c r="O221">
        <f t="shared" si="198"/>
        <v>1049.5943450075365</v>
      </c>
      <c r="P221">
        <f t="shared" si="199"/>
        <v>-19382.272596988594</v>
      </c>
      <c r="Q221">
        <v>37750.808939800947</v>
      </c>
      <c r="S221">
        <v>150</v>
      </c>
      <c r="T221">
        <v>219</v>
      </c>
      <c r="U221">
        <f t="shared" ref="U221:U228" si="205">174.199997*S221/S220</f>
        <v>174.21160529996649</v>
      </c>
      <c r="V221">
        <f t="shared" si="200"/>
        <v>-22381.547515028971</v>
      </c>
      <c r="W221">
        <v>-3644.6556468821364</v>
      </c>
      <c r="Z221">
        <f t="shared" si="201"/>
        <v>-20881.910056008724</v>
      </c>
      <c r="AA221">
        <v>12521.034507473931</v>
      </c>
    </row>
    <row r="222" spans="12:27">
      <c r="L222" s="1">
        <v>44516</v>
      </c>
      <c r="M222">
        <v>1054.7299800000001</v>
      </c>
      <c r="N222">
        <v>220</v>
      </c>
      <c r="O222">
        <f t="shared" si="198"/>
        <v>1114.0031322810901</v>
      </c>
      <c r="P222">
        <f t="shared" si="199"/>
        <v>40793.736259578262</v>
      </c>
      <c r="Q222">
        <v>38279.448471474811</v>
      </c>
      <c r="S222">
        <v>151</v>
      </c>
      <c r="T222">
        <v>220</v>
      </c>
      <c r="U222">
        <f t="shared" si="205"/>
        <v>175.36133031333333</v>
      </c>
      <c r="V222">
        <f t="shared" si="200"/>
        <v>-15929.667421187856</v>
      </c>
      <c r="W222">
        <v>-3290.1275235750945</v>
      </c>
      <c r="Z222">
        <f t="shared" si="201"/>
        <v>12432.034419195261</v>
      </c>
      <c r="AA222">
        <v>12630.368086838862</v>
      </c>
    </row>
    <row r="223" spans="12:27">
      <c r="L223" s="1">
        <v>44517</v>
      </c>
      <c r="M223">
        <v>1089.01001</v>
      </c>
      <c r="N223">
        <v>221</v>
      </c>
      <c r="O223">
        <f t="shared" si="198"/>
        <v>1105.127339868598</v>
      </c>
      <c r="P223">
        <f t="shared" si="199"/>
        <v>32501.237899770262</v>
      </c>
      <c r="Q223">
        <v>39270.76371862879</v>
      </c>
      <c r="S223">
        <v>153.490005</v>
      </c>
      <c r="T223">
        <v>221</v>
      </c>
      <c r="U223">
        <f t="shared" si="205"/>
        <v>177.07257225516545</v>
      </c>
      <c r="V223">
        <f t="shared" si="200"/>
        <v>-6326.7382930121385</v>
      </c>
      <c r="W223">
        <v>-3047.4074199555907</v>
      </c>
      <c r="Z223">
        <f t="shared" si="201"/>
        <v>13087.249803379062</v>
      </c>
      <c r="AA223">
        <v>12929.82810232183</v>
      </c>
    </row>
    <row r="224" spans="12:27">
      <c r="L224" s="1">
        <v>44518</v>
      </c>
      <c r="M224">
        <v>1096.380005</v>
      </c>
      <c r="N224">
        <v>222</v>
      </c>
      <c r="O224">
        <f t="shared" si="198"/>
        <v>1077.5836094241042</v>
      </c>
      <c r="P224">
        <f t="shared" si="199"/>
        <v>6767.609968984616</v>
      </c>
      <c r="Q224">
        <v>39801.105654638959</v>
      </c>
      <c r="S224">
        <v>157.86999499999999</v>
      </c>
      <c r="T224">
        <v>222</v>
      </c>
      <c r="U224">
        <f t="shared" si="205"/>
        <v>179.17096722610711</v>
      </c>
      <c r="V224">
        <f t="shared" si="200"/>
        <v>5448.7667926679133</v>
      </c>
      <c r="W224">
        <v>-2675.0759940939024</v>
      </c>
      <c r="Z224">
        <f t="shared" si="201"/>
        <v>6108.1883808262646</v>
      </c>
      <c r="AA224">
        <v>13087.249803379062</v>
      </c>
    </row>
    <row r="225" spans="12:27">
      <c r="L225" s="1">
        <v>44519</v>
      </c>
      <c r="M225">
        <v>1137.0600589999999</v>
      </c>
      <c r="N225">
        <v>223</v>
      </c>
      <c r="O225">
        <f t="shared" si="198"/>
        <v>1110.0538310984775</v>
      </c>
      <c r="P225">
        <f t="shared" si="199"/>
        <v>37103.972905817442</v>
      </c>
      <c r="Q225">
        <v>40347.694881867967</v>
      </c>
      <c r="S225">
        <v>160.550003</v>
      </c>
      <c r="T225">
        <v>223</v>
      </c>
      <c r="U225">
        <f t="shared" si="205"/>
        <v>177.15722383439609</v>
      </c>
      <c r="V225">
        <f t="shared" si="200"/>
        <v>-5851.7013645286206</v>
      </c>
      <c r="W225">
        <v>-2649.6678404886043</v>
      </c>
      <c r="Z225">
        <f t="shared" si="201"/>
        <v>15626.135770644411</v>
      </c>
      <c r="AA225">
        <v>14097.539757563267</v>
      </c>
    </row>
    <row r="226" spans="12:27">
      <c r="L226" s="1">
        <v>44522</v>
      </c>
      <c r="M226">
        <v>1156.869995</v>
      </c>
      <c r="N226">
        <v>224</v>
      </c>
      <c r="O226">
        <f t="shared" si="198"/>
        <v>1088.9875001006612</v>
      </c>
      <c r="P226">
        <f t="shared" si="199"/>
        <v>17422.066533075063</v>
      </c>
      <c r="Q226">
        <v>40793.736259578262</v>
      </c>
      <c r="S226">
        <v>161.020004</v>
      </c>
      <c r="T226">
        <v>224</v>
      </c>
      <c r="U226">
        <f t="shared" si="205"/>
        <v>174.70995758087895</v>
      </c>
      <c r="V226">
        <f t="shared" si="200"/>
        <v>-19584.957788304891</v>
      </c>
      <c r="W226">
        <v>-2139.6515409662388</v>
      </c>
      <c r="Z226">
        <f t="shared" si="201"/>
        <v>-1081.4456276148558</v>
      </c>
      <c r="AA226">
        <v>14178.400581820053</v>
      </c>
    </row>
    <row r="227" spans="12:27">
      <c r="L227" s="1">
        <v>44523</v>
      </c>
      <c r="M227">
        <v>1109.030029</v>
      </c>
      <c r="N227">
        <v>225</v>
      </c>
      <c r="O227">
        <f t="shared" si="198"/>
        <v>1026.0782703875373</v>
      </c>
      <c r="P227">
        <f t="shared" si="199"/>
        <v>-41352.931795936311</v>
      </c>
      <c r="Q227">
        <v>41387.154526466154</v>
      </c>
      <c r="S227">
        <v>161.41000399999999</v>
      </c>
      <c r="T227">
        <v>225</v>
      </c>
      <c r="U227">
        <f t="shared" si="205"/>
        <v>174.62191972476901</v>
      </c>
      <c r="V227">
        <f t="shared" si="200"/>
        <v>-20078.997393198428</v>
      </c>
      <c r="W227">
        <v>-1906.2634567699861</v>
      </c>
      <c r="Z227">
        <f t="shared" si="201"/>
        <v>-30715.964594567427</v>
      </c>
      <c r="AA227">
        <v>14262.813403190114</v>
      </c>
    </row>
    <row r="228" spans="12:27">
      <c r="L228" s="1">
        <v>44524</v>
      </c>
      <c r="M228">
        <v>1116</v>
      </c>
      <c r="N228">
        <v>226</v>
      </c>
      <c r="O228">
        <f t="shared" si="198"/>
        <v>1077.0667798175552</v>
      </c>
      <c r="P228">
        <f t="shared" si="199"/>
        <v>6284.7450634719571</v>
      </c>
      <c r="Q228">
        <v>42358.340924685122</v>
      </c>
      <c r="S228">
        <v>161.94000199999999</v>
      </c>
      <c r="T228">
        <v>226</v>
      </c>
      <c r="U228">
        <f t="shared" si="205"/>
        <v>174.77199159588642</v>
      </c>
      <c r="V228">
        <f t="shared" si="200"/>
        <v>-19236.843220112845</v>
      </c>
      <c r="W228">
        <v>-1426.5686451181537</v>
      </c>
      <c r="Z228">
        <f t="shared" si="201"/>
        <v>-6476.0490783203859</v>
      </c>
      <c r="AA228">
        <v>14472.332888765493</v>
      </c>
    </row>
    <row r="229" spans="12:27">
      <c r="L229" s="1">
        <v>44526</v>
      </c>
      <c r="M229">
        <v>1081.920044</v>
      </c>
      <c r="N229">
        <v>227</v>
      </c>
      <c r="O229">
        <f t="shared" si="198"/>
        <v>1037.6543576251599</v>
      </c>
      <c r="P229">
        <f t="shared" si="199"/>
        <v>-30537.594982078881</v>
      </c>
      <c r="Q229">
        <v>42880.666393580264</v>
      </c>
      <c r="S229">
        <v>156.80999800000001</v>
      </c>
      <c r="T229">
        <v>227</v>
      </c>
      <c r="U229">
        <f t="shared" ref="U229:U236" si="206">174.199997*S229/S228</f>
        <v>168.68161568362834</v>
      </c>
      <c r="V229">
        <f t="shared" si="200"/>
        <v>-53414.037466968293</v>
      </c>
      <c r="W229">
        <v>-1064.0306003366131</v>
      </c>
      <c r="Z229">
        <f t="shared" si="201"/>
        <v>-41975.816224523587</v>
      </c>
      <c r="AA229">
        <v>15626.135770644411</v>
      </c>
    </row>
    <row r="230" spans="12:27">
      <c r="L230" s="1">
        <v>44529</v>
      </c>
      <c r="M230">
        <v>1136.98999</v>
      </c>
      <c r="N230">
        <v>228</v>
      </c>
      <c r="O230">
        <f t="shared" si="198"/>
        <v>1124.8204837204592</v>
      </c>
      <c r="P230">
        <f t="shared" si="199"/>
        <v>50900.199423609301</v>
      </c>
      <c r="Q230">
        <v>43429.361016120994</v>
      </c>
      <c r="S230">
        <v>160.240005</v>
      </c>
      <c r="T230">
        <v>228</v>
      </c>
      <c r="U230">
        <f t="shared" si="206"/>
        <v>178.01038675021209</v>
      </c>
      <c r="V230">
        <f t="shared" si="200"/>
        <v>-1064.0306003366131</v>
      </c>
      <c r="W230">
        <v>-175.00550441513769</v>
      </c>
      <c r="Z230">
        <f t="shared" si="201"/>
        <v>24918.084411636344</v>
      </c>
      <c r="AA230">
        <v>16981.01518220827</v>
      </c>
    </row>
    <row r="231" spans="12:27">
      <c r="L231" s="1">
        <v>44530</v>
      </c>
      <c r="M231">
        <v>1144.76001</v>
      </c>
      <c r="N231">
        <v>229</v>
      </c>
      <c r="O231">
        <f t="shared" si="198"/>
        <v>1077.654509677398</v>
      </c>
      <c r="P231">
        <f t="shared" si="199"/>
        <v>6833.8508415539982</v>
      </c>
      <c r="Q231">
        <v>43762.842643802403</v>
      </c>
      <c r="S231">
        <v>165.300003</v>
      </c>
      <c r="T231">
        <v>229</v>
      </c>
      <c r="U231">
        <f t="shared" si="206"/>
        <v>179.70081832373876</v>
      </c>
      <c r="V231">
        <f t="shared" si="200"/>
        <v>8422.1175589512568</v>
      </c>
      <c r="W231">
        <v>12.431581362732686</v>
      </c>
      <c r="Z231">
        <f t="shared" si="201"/>
        <v>7627.9842002526857</v>
      </c>
      <c r="AA231">
        <v>17285.416196035221</v>
      </c>
    </row>
    <row r="232" spans="12:27">
      <c r="L232" s="1">
        <v>44531</v>
      </c>
      <c r="M232">
        <v>1095</v>
      </c>
      <c r="N232">
        <v>230</v>
      </c>
      <c r="O232">
        <f t="shared" si="198"/>
        <v>1023.8148192912504</v>
      </c>
      <c r="P232">
        <f t="shared" si="199"/>
        <v>-43467.634757786524</v>
      </c>
      <c r="Q232">
        <v>44002.19800989714</v>
      </c>
      <c r="S232">
        <v>164.770004</v>
      </c>
      <c r="T232">
        <v>230</v>
      </c>
      <c r="U232">
        <f t="shared" si="206"/>
        <v>173.6414620784368</v>
      </c>
      <c r="V232">
        <f t="shared" si="200"/>
        <v>-25581.004479832831</v>
      </c>
      <c r="W232">
        <v>601.33128584339283</v>
      </c>
      <c r="Z232">
        <f t="shared" si="201"/>
        <v>-34524.319618809735</v>
      </c>
      <c r="AA232">
        <v>17690.108072950505</v>
      </c>
    </row>
    <row r="233" spans="12:27">
      <c r="L233" s="1">
        <v>44532</v>
      </c>
      <c r="M233">
        <v>1084.599976</v>
      </c>
      <c r="N233">
        <v>231</v>
      </c>
      <c r="O233">
        <f t="shared" si="198"/>
        <v>1060.1741565620464</v>
      </c>
      <c r="P233">
        <f t="shared" si="199"/>
        <v>-9497.7388127853628</v>
      </c>
      <c r="Q233">
        <v>44276.521344918874</v>
      </c>
      <c r="S233">
        <v>163.759995</v>
      </c>
      <c r="T233">
        <v>231</v>
      </c>
      <c r="U233">
        <f t="shared" si="206"/>
        <v>173.13218392420512</v>
      </c>
      <c r="V233">
        <f t="shared" si="200"/>
        <v>-28438.906628011144</v>
      </c>
      <c r="W233">
        <v>1112.8220143752405</v>
      </c>
      <c r="Z233">
        <f t="shared" si="201"/>
        <v>-18968.322720398195</v>
      </c>
      <c r="AA233">
        <v>19367.130610190216</v>
      </c>
    </row>
    <row r="234" spans="12:27">
      <c r="L234" s="1">
        <v>44533</v>
      </c>
      <c r="M234">
        <v>1014.969971</v>
      </c>
      <c r="N234">
        <v>232</v>
      </c>
      <c r="O234">
        <f t="shared" si="198"/>
        <v>1001.6254363730145</v>
      </c>
      <c r="P234">
        <f t="shared" si="199"/>
        <v>-64198.78899204405</v>
      </c>
      <c r="Q234">
        <v>45754.416180138942</v>
      </c>
      <c r="S234">
        <v>161.83999600000001</v>
      </c>
      <c r="T234">
        <v>232</v>
      </c>
      <c r="U234">
        <f t="shared" si="206"/>
        <v>172.15759451922315</v>
      </c>
      <c r="V234">
        <f t="shared" si="200"/>
        <v>-33907.983066783287</v>
      </c>
      <c r="W234">
        <v>1314.2310442505404</v>
      </c>
      <c r="Z234">
        <f t="shared" si="201"/>
        <v>-49053.386029413668</v>
      </c>
      <c r="AA234">
        <v>19546.230318073998</v>
      </c>
    </row>
    <row r="235" spans="12:27">
      <c r="L235" s="1">
        <v>44536</v>
      </c>
      <c r="M235">
        <v>1009.01001</v>
      </c>
      <c r="N235">
        <v>233</v>
      </c>
      <c r="O235">
        <f t="shared" si="198"/>
        <v>1064.0548692618017</v>
      </c>
      <c r="P235">
        <f t="shared" si="199"/>
        <v>-5872.0564847134519</v>
      </c>
      <c r="Q235">
        <v>46941.168102295953</v>
      </c>
      <c r="S235">
        <v>165.320007</v>
      </c>
      <c r="T235">
        <v>233</v>
      </c>
      <c r="U235">
        <f t="shared" si="206"/>
        <v>177.94578247171964</v>
      </c>
      <c r="V235">
        <f t="shared" si="200"/>
        <v>-1426.5686451181537</v>
      </c>
      <c r="W235">
        <v>1461.0759013040224</v>
      </c>
      <c r="Z235">
        <f t="shared" si="201"/>
        <v>-3649.3125649157446</v>
      </c>
      <c r="AA235">
        <v>19740.445534848142</v>
      </c>
    </row>
    <row r="236" spans="12:27">
      <c r="L236" s="1">
        <v>44537</v>
      </c>
      <c r="M236">
        <v>1051.75</v>
      </c>
      <c r="N236">
        <v>234</v>
      </c>
      <c r="O236">
        <f t="shared" si="198"/>
        <v>1115.6777911851439</v>
      </c>
      <c r="P236">
        <f t="shared" si="199"/>
        <v>42358.340924685122</v>
      </c>
      <c r="Q236">
        <v>47152.948021664401</v>
      </c>
      <c r="S236">
        <v>171.179993</v>
      </c>
      <c r="T236">
        <v>234</v>
      </c>
      <c r="U236">
        <f t="shared" si="206"/>
        <v>180.37474597409144</v>
      </c>
      <c r="V236">
        <f t="shared" si="200"/>
        <v>12203.978735709214</v>
      </c>
      <c r="W236">
        <v>1579.537087774137</v>
      </c>
      <c r="Z236">
        <f t="shared" si="201"/>
        <v>27281.159830197226</v>
      </c>
      <c r="AA236">
        <v>19867.374289484345</v>
      </c>
    </row>
    <row r="237" spans="12:27">
      <c r="L237" s="1">
        <v>44538</v>
      </c>
      <c r="M237">
        <v>1068.959961</v>
      </c>
      <c r="N237">
        <v>235</v>
      </c>
      <c r="O237">
        <f t="shared" si="198"/>
        <v>1087.8541177200868</v>
      </c>
      <c r="P237">
        <f t="shared" si="199"/>
        <v>16363.167102448293</v>
      </c>
      <c r="Q237">
        <v>47211.295533968019</v>
      </c>
      <c r="S237">
        <v>175.08000200000001</v>
      </c>
      <c r="T237">
        <v>235</v>
      </c>
      <c r="U237">
        <f t="shared" ref="U237:U244" si="207">174.199997*S237/S236</f>
        <v>178.16881101963824</v>
      </c>
      <c r="V237">
        <f t="shared" si="200"/>
        <v>-175.00550441513769</v>
      </c>
      <c r="W237">
        <v>1983.9396391677437</v>
      </c>
      <c r="Z237">
        <f t="shared" si="201"/>
        <v>8094.0807990166359</v>
      </c>
      <c r="AA237">
        <v>20448.445695961826</v>
      </c>
    </row>
    <row r="238" spans="12:27">
      <c r="L238" s="1">
        <v>44539</v>
      </c>
      <c r="M238">
        <v>1003.799988</v>
      </c>
      <c r="N238">
        <v>236</v>
      </c>
      <c r="O238">
        <f t="shared" si="198"/>
        <v>1005.0958728347734</v>
      </c>
      <c r="P238">
        <f t="shared" si="199"/>
        <v>-60956.420611903537</v>
      </c>
      <c r="Q238">
        <v>47917.285081240698</v>
      </c>
      <c r="S238">
        <v>174.55999800000001</v>
      </c>
      <c r="T238">
        <v>236</v>
      </c>
      <c r="U238">
        <f t="shared" si="207"/>
        <v>173.68260669725149</v>
      </c>
      <c r="V238">
        <f t="shared" si="200"/>
        <v>-25350.114359140513</v>
      </c>
      <c r="W238">
        <v>2732.9128548494773</v>
      </c>
      <c r="Z238">
        <f t="shared" si="201"/>
        <v>-43153.267485521967</v>
      </c>
      <c r="AA238">
        <v>20951.452408691868</v>
      </c>
    </row>
    <row r="239" spans="12:27">
      <c r="L239" s="1">
        <v>44540</v>
      </c>
      <c r="M239">
        <v>1017.030029</v>
      </c>
      <c r="N239">
        <v>237</v>
      </c>
      <c r="O239">
        <f t="shared" si="198"/>
        <v>1084.4470010701364</v>
      </c>
      <c r="P239">
        <f t="shared" si="199"/>
        <v>13179.957320341957</v>
      </c>
      <c r="Q239">
        <v>50832.255520847626</v>
      </c>
      <c r="S239">
        <v>179.449997</v>
      </c>
      <c r="T239">
        <v>237</v>
      </c>
      <c r="U239">
        <f t="shared" si="207"/>
        <v>179.07991118933219</v>
      </c>
      <c r="V239">
        <f t="shared" si="200"/>
        <v>4937.7901467203628</v>
      </c>
      <c r="W239">
        <v>2944.2855343442643</v>
      </c>
      <c r="Z239">
        <f t="shared" si="201"/>
        <v>9058.873733531218</v>
      </c>
      <c r="AA239">
        <v>22438.926315381192</v>
      </c>
    </row>
    <row r="240" spans="12:27">
      <c r="L240" s="1">
        <v>44543</v>
      </c>
      <c r="M240">
        <v>966.40997300000004</v>
      </c>
      <c r="N240">
        <v>238</v>
      </c>
      <c r="O240">
        <f t="shared" si="198"/>
        <v>1017.0665448885001</v>
      </c>
      <c r="P240">
        <f t="shared" si="199"/>
        <v>-49772.430072465329</v>
      </c>
      <c r="Q240">
        <v>50900.199423609301</v>
      </c>
      <c r="S240">
        <v>175.740005</v>
      </c>
      <c r="T240">
        <v>238</v>
      </c>
      <c r="U240">
        <f t="shared" si="207"/>
        <v>170.59854475104831</v>
      </c>
      <c r="V240">
        <f t="shared" si="200"/>
        <v>-42656.859578688396</v>
      </c>
      <c r="W240">
        <v>4615.7341662064428</v>
      </c>
      <c r="Z240">
        <f t="shared" si="201"/>
        <v>-46214.644825576805</v>
      </c>
      <c r="AA240">
        <v>22481.714524037205</v>
      </c>
    </row>
    <row r="241" spans="12:27">
      <c r="L241" s="1">
        <v>44544</v>
      </c>
      <c r="M241">
        <v>958.51000999999997</v>
      </c>
      <c r="N241">
        <v>239</v>
      </c>
      <c r="O241">
        <f t="shared" si="198"/>
        <v>1061.5904224676908</v>
      </c>
      <c r="P241">
        <f t="shared" si="199"/>
        <v>-8174.5462285290705</v>
      </c>
      <c r="Q241">
        <v>52684.715398079716</v>
      </c>
      <c r="S241">
        <v>174.33000200000001</v>
      </c>
      <c r="T241">
        <v>239</v>
      </c>
      <c r="U241">
        <f t="shared" si="207"/>
        <v>172.80234984293983</v>
      </c>
      <c r="V241">
        <f t="shared" si="200"/>
        <v>-30289.827429459314</v>
      </c>
      <c r="W241">
        <v>4937.7901467203628</v>
      </c>
      <c r="Z241">
        <f t="shared" si="201"/>
        <v>-19232.186828994192</v>
      </c>
      <c r="AA241">
        <v>23364.988652648404</v>
      </c>
    </row>
    <row r="242" spans="12:27">
      <c r="L242" s="1">
        <v>44545</v>
      </c>
      <c r="M242">
        <v>975.98999000000003</v>
      </c>
      <c r="N242">
        <v>240</v>
      </c>
      <c r="O242">
        <f t="shared" si="198"/>
        <v>1089.8593460833449</v>
      </c>
      <c r="P242">
        <f t="shared" si="199"/>
        <v>18236.617059429642</v>
      </c>
      <c r="Q242">
        <v>57618.925419622334</v>
      </c>
      <c r="S242">
        <v>179.300003</v>
      </c>
      <c r="T242">
        <v>240</v>
      </c>
      <c r="U242">
        <f t="shared" si="207"/>
        <v>179.16629166734015</v>
      </c>
      <c r="V242">
        <f t="shared" si="200"/>
        <v>5422.5290887078736</v>
      </c>
      <c r="W242">
        <v>5252.9712194998283</v>
      </c>
      <c r="Z242">
        <f t="shared" si="201"/>
        <v>11829.573074068758</v>
      </c>
      <c r="AA242">
        <v>24918.084411636344</v>
      </c>
    </row>
    <row r="243" spans="12:27">
      <c r="L243" s="1">
        <v>44546</v>
      </c>
      <c r="M243">
        <v>926.919983</v>
      </c>
      <c r="N243">
        <v>241</v>
      </c>
      <c r="O243">
        <f t="shared" si="198"/>
        <v>1016.5263099562534</v>
      </c>
      <c r="P243">
        <f t="shared" si="199"/>
        <v>-50277.162166386493</v>
      </c>
      <c r="Q243">
        <v>58321.635361829307</v>
      </c>
      <c r="S243">
        <v>172.259995</v>
      </c>
      <c r="T243">
        <v>241</v>
      </c>
      <c r="U243">
        <f t="shared" si="207"/>
        <v>167.36023485855722</v>
      </c>
      <c r="V243">
        <f t="shared" si="200"/>
        <v>-60829.193736982881</v>
      </c>
      <c r="W243">
        <v>5422.5290887078736</v>
      </c>
      <c r="Z243">
        <f t="shared" si="201"/>
        <v>-55553.177951684687</v>
      </c>
      <c r="AA243">
        <v>26012.110262654722</v>
      </c>
    </row>
    <row r="244" spans="12:27">
      <c r="L244" s="1">
        <v>44547</v>
      </c>
      <c r="M244">
        <v>932.57000700000003</v>
      </c>
      <c r="N244">
        <v>242</v>
      </c>
      <c r="O244">
        <f t="shared" si="198"/>
        <v>1076.8642039137048</v>
      </c>
      <c r="P244">
        <f t="shared" si="199"/>
        <v>6095.4819225211395</v>
      </c>
      <c r="Q244">
        <v>61788.093600425636</v>
      </c>
      <c r="S244">
        <v>171.13999899999999</v>
      </c>
      <c r="T244">
        <v>242</v>
      </c>
      <c r="U244">
        <f t="shared" si="207"/>
        <v>173.06738754044432</v>
      </c>
      <c r="V244">
        <f t="shared" si="200"/>
        <v>-28802.522704619798</v>
      </c>
      <c r="W244">
        <v>5448.7667926679133</v>
      </c>
      <c r="Z244">
        <f t="shared" si="201"/>
        <v>-11353.520391049329</v>
      </c>
      <c r="AA244">
        <v>27281.159830197226</v>
      </c>
    </row>
    <row r="245" spans="12:27">
      <c r="L245" s="1">
        <v>44550</v>
      </c>
      <c r="M245">
        <v>899.94000200000005</v>
      </c>
      <c r="N245">
        <v>243</v>
      </c>
      <c r="O245">
        <f t="shared" si="198"/>
        <v>1032.8894816608872</v>
      </c>
      <c r="P245">
        <f t="shared" si="199"/>
        <v>-34989.335658529191</v>
      </c>
      <c r="Q245">
        <v>63552.913397483295</v>
      </c>
      <c r="S245">
        <v>169.75</v>
      </c>
      <c r="T245">
        <v>243</v>
      </c>
      <c r="U245">
        <f t="shared" ref="U245:U252" si="208">174.199997*S245/S244</f>
        <v>172.7851446975292</v>
      </c>
      <c r="V245">
        <f t="shared" si="200"/>
        <v>-30386.37706863042</v>
      </c>
      <c r="W245">
        <v>7287.6983419087483</v>
      </c>
      <c r="Z245">
        <f t="shared" si="201"/>
        <v>-32687.856363579864</v>
      </c>
      <c r="AA245">
        <v>28490.966122654034</v>
      </c>
    </row>
    <row r="246" spans="12:27">
      <c r="L246" s="1">
        <v>44551</v>
      </c>
      <c r="M246">
        <v>938.53002900000001</v>
      </c>
      <c r="N246">
        <v>244</v>
      </c>
      <c r="O246">
        <f t="shared" si="198"/>
        <v>1116.2368570097622</v>
      </c>
      <c r="P246">
        <f t="shared" si="199"/>
        <v>42880.666393580264</v>
      </c>
      <c r="Q246">
        <v>74946.953029246069</v>
      </c>
      <c r="S246">
        <v>172.990005</v>
      </c>
      <c r="T246">
        <v>244</v>
      </c>
      <c r="U246">
        <f t="shared" si="208"/>
        <v>177.52493874539019</v>
      </c>
      <c r="V246">
        <f t="shared" si="200"/>
        <v>-3788.205757432268</v>
      </c>
      <c r="W246">
        <v>8422.1175589512568</v>
      </c>
      <c r="Z246">
        <f t="shared" si="201"/>
        <v>19546.230318073998</v>
      </c>
      <c r="AA246">
        <v>32196.95187873859</v>
      </c>
    </row>
    <row r="247" spans="12:27">
      <c r="L247" s="1">
        <v>44552</v>
      </c>
      <c r="M247">
        <v>1008.869995</v>
      </c>
      <c r="N247">
        <v>245</v>
      </c>
      <c r="O247">
        <f t="shared" si="198"/>
        <v>1150.558685157127</v>
      </c>
      <c r="P247">
        <f t="shared" si="199"/>
        <v>74946.953029246069</v>
      </c>
      <c r="Q247">
        <v>78403.073041600641</v>
      </c>
      <c r="S247">
        <v>175.63999899999999</v>
      </c>
      <c r="T247">
        <v>245</v>
      </c>
      <c r="U247">
        <f t="shared" si="208"/>
        <v>176.86852658845811</v>
      </c>
      <c r="V247">
        <f t="shared" si="200"/>
        <v>-7471.7757236656034</v>
      </c>
      <c r="W247">
        <v>9671.9126149857184</v>
      </c>
      <c r="Z247">
        <f t="shared" si="201"/>
        <v>33737.588652790291</v>
      </c>
      <c r="AA247">
        <v>33737.588652790291</v>
      </c>
    </row>
    <row r="248" spans="12:27">
      <c r="L248" s="1">
        <v>44553</v>
      </c>
      <c r="M248">
        <v>1067</v>
      </c>
      <c r="N248">
        <v>246</v>
      </c>
      <c r="O248">
        <f t="shared" si="198"/>
        <v>1132.0118046745952</v>
      </c>
      <c r="P248">
        <f t="shared" si="199"/>
        <v>57618.925419622334</v>
      </c>
      <c r="Q248">
        <v>79446.54566116957</v>
      </c>
      <c r="S248">
        <v>176.279999</v>
      </c>
      <c r="T248">
        <v>246</v>
      </c>
      <c r="U248">
        <f t="shared" si="208"/>
        <v>174.83474989634908</v>
      </c>
      <c r="V248">
        <f t="shared" si="200"/>
        <v>-18884.664199241903</v>
      </c>
      <c r="W248">
        <v>10910.58039905678</v>
      </c>
      <c r="Z248">
        <f t="shared" si="201"/>
        <v>19367.130610190216</v>
      </c>
      <c r="AA248">
        <v>43635.568411907181</v>
      </c>
    </row>
    <row r="249" spans="12:27">
      <c r="L249" s="1">
        <v>44557</v>
      </c>
      <c r="M249">
        <v>1093.9399410000001</v>
      </c>
      <c r="N249">
        <v>247</v>
      </c>
      <c r="O249">
        <f t="shared" si="198"/>
        <v>1097.364235478896</v>
      </c>
      <c r="P249">
        <f t="shared" si="199"/>
        <v>25248.304592315108</v>
      </c>
      <c r="Q249">
        <v>84910.202872531489</v>
      </c>
      <c r="S249">
        <v>180.33000200000001</v>
      </c>
      <c r="T249">
        <v>247</v>
      </c>
      <c r="U249">
        <f t="shared" si="208"/>
        <v>178.20221230776156</v>
      </c>
      <c r="V249">
        <f t="shared" si="200"/>
        <v>12.431581362732686</v>
      </c>
      <c r="W249">
        <v>12203.978735709214</v>
      </c>
      <c r="Z249">
        <f t="shared" si="201"/>
        <v>12630.368086838862</v>
      </c>
      <c r="AA249">
        <v>45178.563030113233</v>
      </c>
    </row>
    <row r="250" spans="12:27">
      <c r="L250" s="1">
        <v>44558</v>
      </c>
      <c r="M250">
        <v>1088.469971</v>
      </c>
      <c r="N250">
        <v>248</v>
      </c>
      <c r="O250">
        <f t="shared" si="198"/>
        <v>1064.9880017061748</v>
      </c>
      <c r="P250">
        <f t="shared" si="199"/>
        <v>-5000.2470839485759</v>
      </c>
      <c r="Q250">
        <v>85956.905779563822</v>
      </c>
      <c r="S250">
        <v>179.28999300000001</v>
      </c>
      <c r="T250">
        <v>248</v>
      </c>
      <c r="U250">
        <f t="shared" si="208"/>
        <v>173.19534129839371</v>
      </c>
      <c r="V250">
        <f t="shared" si="200"/>
        <v>-28084.488136137719</v>
      </c>
      <c r="W250">
        <v>13388.758122815401</v>
      </c>
      <c r="Z250">
        <f t="shared" si="201"/>
        <v>-16542.367610043148</v>
      </c>
      <c r="AA250">
        <v>46874.330965092755</v>
      </c>
    </row>
    <row r="251" spans="12:27">
      <c r="L251" s="1">
        <v>44559</v>
      </c>
      <c r="M251">
        <v>1086.1899410000001</v>
      </c>
      <c r="N251">
        <v>249</v>
      </c>
      <c r="O251">
        <f t="shared" si="198"/>
        <v>1068.0979131205468</v>
      </c>
      <c r="P251">
        <f t="shared" si="199"/>
        <v>-2094.7109803177882</v>
      </c>
      <c r="Q251">
        <v>126615.94504255545</v>
      </c>
      <c r="S251">
        <v>179.38000500000001</v>
      </c>
      <c r="T251">
        <v>249</v>
      </c>
      <c r="U251">
        <f t="shared" si="208"/>
        <v>174.28745358286665</v>
      </c>
      <c r="V251">
        <f t="shared" si="200"/>
        <v>-21955.911801352981</v>
      </c>
      <c r="W251">
        <v>17290.524596091709</v>
      </c>
      <c r="Z251">
        <f t="shared" si="201"/>
        <v>-12025.311390835326</v>
      </c>
      <c r="AA251">
        <v>51920.256945310161</v>
      </c>
    </row>
    <row r="252" spans="12:27">
      <c r="L252" s="1">
        <v>44560</v>
      </c>
      <c r="M252">
        <v>1070.339966</v>
      </c>
      <c r="N252">
        <v>250</v>
      </c>
      <c r="O252">
        <f t="shared" si="198"/>
        <v>1054.7212780871087</v>
      </c>
      <c r="P252">
        <f t="shared" si="199"/>
        <v>-14592.26825964509</v>
      </c>
      <c r="Q252">
        <v>196412.10834813491</v>
      </c>
      <c r="S252">
        <v>178.199997</v>
      </c>
      <c r="T252">
        <v>250</v>
      </c>
      <c r="U252">
        <f t="shared" si="208"/>
        <v>173.05406443042526</v>
      </c>
      <c r="V252">
        <f t="shared" si="200"/>
        <v>-28877.287633033702</v>
      </c>
      <c r="W252">
        <v>30195.748532702215</v>
      </c>
      <c r="Z252">
        <f t="shared" si="201"/>
        <v>-21734.777946339455</v>
      </c>
      <c r="AA252">
        <v>106851.31647211337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0944-9E5A-4E63-90CA-C694209D5EF3}">
  <dimension ref="A1:AA505"/>
  <sheetViews>
    <sheetView topLeftCell="C1" workbookViewId="0">
      <selection activeCell="AB3" sqref="AB3"/>
    </sheetView>
  </sheetViews>
  <sheetFormatPr defaultRowHeight="15"/>
  <cols>
    <col min="1" max="1" width="11.42578125" customWidth="1"/>
    <col min="2" max="2" width="10.42578125" customWidth="1"/>
    <col min="5" max="5" width="13.7109375" customWidth="1"/>
    <col min="8" max="8" width="13" customWidth="1"/>
    <col min="16" max="16" width="9.140625" style="11"/>
    <col min="17" max="17" width="11.28515625" customWidth="1"/>
    <col min="18" max="18" width="10.140625" customWidth="1"/>
    <col min="19" max="19" width="11.7109375" customWidth="1"/>
    <col min="20" max="20" width="13.42578125" customWidth="1"/>
    <col min="21" max="21" width="12.5703125" customWidth="1"/>
    <col min="23" max="23" width="11" customWidth="1"/>
    <col min="25" max="25" width="11.28515625" customWidth="1"/>
    <col min="26" max="26" width="11" customWidth="1"/>
  </cols>
  <sheetData>
    <row r="1" spans="1:27">
      <c r="A1" t="s">
        <v>0</v>
      </c>
      <c r="B1" t="s">
        <v>55</v>
      </c>
      <c r="C1" t="s">
        <v>52</v>
      </c>
      <c r="E1" t="s">
        <v>56</v>
      </c>
      <c r="F1" t="s">
        <v>52</v>
      </c>
      <c r="H1" t="s">
        <v>57</v>
      </c>
      <c r="I1" t="s">
        <v>52</v>
      </c>
      <c r="K1" t="s">
        <v>58</v>
      </c>
      <c r="N1" t="s">
        <v>59</v>
      </c>
      <c r="Q1" t="s">
        <v>0</v>
      </c>
      <c r="R1" t="s">
        <v>55</v>
      </c>
      <c r="T1" t="s">
        <v>56</v>
      </c>
      <c r="V1" t="s">
        <v>57</v>
      </c>
    </row>
    <row r="2" spans="1:27">
      <c r="A2" s="1">
        <v>43861</v>
      </c>
      <c r="B2">
        <v>76.220000999999996</v>
      </c>
      <c r="E2">
        <v>30.59</v>
      </c>
      <c r="H2">
        <v>465.66000400000001</v>
      </c>
      <c r="L2" t="s">
        <v>53</v>
      </c>
      <c r="Q2" s="1">
        <v>44134</v>
      </c>
      <c r="R2">
        <v>59.470001000000003</v>
      </c>
      <c r="T2">
        <v>11.29</v>
      </c>
      <c r="V2">
        <v>925.42999299999997</v>
      </c>
      <c r="Z2" t="s">
        <v>62</v>
      </c>
      <c r="AA2" t="s">
        <v>63</v>
      </c>
    </row>
    <row r="3" spans="1:27">
      <c r="A3" s="1">
        <v>43864</v>
      </c>
      <c r="B3">
        <v>75.580001999999993</v>
      </c>
      <c r="C3">
        <v>1</v>
      </c>
      <c r="D3">
        <f>143*B3/B2</f>
        <v>141.79926717660368</v>
      </c>
      <c r="E3">
        <v>30.110001</v>
      </c>
      <c r="F3">
        <v>1</v>
      </c>
      <c r="G3">
        <f>29 *E3/E2</f>
        <v>28.544950277868583</v>
      </c>
      <c r="H3">
        <v>469.39001500000001</v>
      </c>
      <c r="I3">
        <v>1</v>
      </c>
      <c r="J3">
        <f>1206 *H3/H2</f>
        <v>1215.6602526035283</v>
      </c>
      <c r="K3">
        <f>(1430*D3/143+435*G3/29+2412*J3/1206)-1430-435-2412</f>
        <v>0.48743114112221519</v>
      </c>
      <c r="L3" cm="1">
        <f t="array" ref="L3:L505">_xlfn._xlws.SORT(K3:K505)</f>
        <v>-689.99809333937765</v>
      </c>
      <c r="N3">
        <f>L7*SQRT(10)</f>
        <v>-898.05806706865394</v>
      </c>
      <c r="Q3" s="1">
        <v>44137</v>
      </c>
      <c r="R3">
        <v>60.110000999999997</v>
      </c>
      <c r="S3">
        <f>(R3-R2)/R2</f>
        <v>1.0761728421696065E-2</v>
      </c>
      <c r="T3">
        <v>11.75</v>
      </c>
      <c r="U3">
        <f>(T3-T2)/T2</f>
        <v>4.0744021257750299E-2</v>
      </c>
      <c r="V3">
        <v>914.98999000000003</v>
      </c>
      <c r="W3">
        <f>(V3-V2)/V2</f>
        <v>-1.12812455604083E-2</v>
      </c>
      <c r="Y3" t="s">
        <v>64</v>
      </c>
      <c r="Z3">
        <f>_xlfn.STDEV.S(S3:S316)</f>
        <v>1.9270962357624134E-2</v>
      </c>
      <c r="AA3">
        <f>AVERAGE(S3:S316)</f>
        <v>2.9670067493626877E-3</v>
      </c>
    </row>
    <row r="4" spans="1:27">
      <c r="A4" s="1">
        <v>43865</v>
      </c>
      <c r="B4">
        <v>76.269997000000004</v>
      </c>
      <c r="C4">
        <v>2</v>
      </c>
      <c r="D4">
        <f t="shared" ref="D4:D67" si="0">143*B4/B3</f>
        <v>144.30549460689352</v>
      </c>
      <c r="E4">
        <v>30.030000999999999</v>
      </c>
      <c r="F4">
        <v>2</v>
      </c>
      <c r="G4">
        <f t="shared" ref="G4:G67" si="1">29 *E4/E3</f>
        <v>28.922949188875812</v>
      </c>
      <c r="H4">
        <v>485.459991</v>
      </c>
      <c r="I4">
        <v>2</v>
      </c>
      <c r="J4">
        <f t="shared" ref="J4:J67" si="2">1206 *H4/H3</f>
        <v>1247.2884604202754</v>
      </c>
      <c r="K4">
        <f t="shared" ref="K4:K67" si="3">(1430*D4/143+435*G4/29+2412*J4/1206)-1430-435-2412</f>
        <v>94.476104742623647</v>
      </c>
      <c r="L4">
        <v>-578.19247522816659</v>
      </c>
      <c r="Q4" s="1">
        <v>44138</v>
      </c>
      <c r="R4">
        <v>61.990001999999997</v>
      </c>
      <c r="S4">
        <f t="shared" ref="S4:S67" si="4">(R4-R3)/R3</f>
        <v>3.1276010126833974E-2</v>
      </c>
      <c r="T4">
        <v>11.9</v>
      </c>
      <c r="U4">
        <f t="shared" ref="U4:U67" si="5">(T4-T3)/T3</f>
        <v>1.2765957446808541E-2</v>
      </c>
      <c r="V4">
        <v>941.71997099999999</v>
      </c>
      <c r="W4">
        <f t="shared" ref="W4:W67" si="6">(V4-V3)/V3</f>
        <v>2.9213413580622835E-2</v>
      </c>
      <c r="Y4" t="s">
        <v>65</v>
      </c>
      <c r="Z4">
        <f>_xlfn.STDEV.S(U3:U316)</f>
        <v>2.9240915066010214E-2</v>
      </c>
      <c r="AA4">
        <f>AVERAGE(U3:U316)</f>
        <v>3.4187513852573671E-3</v>
      </c>
    </row>
    <row r="5" spans="1:27">
      <c r="A5" s="1">
        <v>43866</v>
      </c>
      <c r="B5">
        <v>76.690002000000007</v>
      </c>
      <c r="C5">
        <v>3</v>
      </c>
      <c r="D5">
        <f t="shared" si="0"/>
        <v>143.78747498836273</v>
      </c>
      <c r="E5">
        <v>30.780000999999999</v>
      </c>
      <c r="F5">
        <v>3</v>
      </c>
      <c r="G5">
        <f t="shared" si="1"/>
        <v>29.724275700157317</v>
      </c>
      <c r="H5">
        <v>475.55999800000001</v>
      </c>
      <c r="I5">
        <v>3</v>
      </c>
      <c r="J5">
        <f t="shared" si="2"/>
        <v>1181.406023607824</v>
      </c>
      <c r="K5">
        <f t="shared" si="3"/>
        <v>-30.449067398365514</v>
      </c>
      <c r="L5">
        <v>-575.56857796166832</v>
      </c>
      <c r="Q5" s="1">
        <v>44139</v>
      </c>
      <c r="R5">
        <v>62.439999</v>
      </c>
      <c r="S5">
        <f t="shared" si="4"/>
        <v>7.2591867314345838E-3</v>
      </c>
      <c r="T5">
        <v>11.94</v>
      </c>
      <c r="U5">
        <f t="shared" si="5"/>
        <v>3.3613445378150543E-3</v>
      </c>
      <c r="V5">
        <v>996</v>
      </c>
      <c r="W5">
        <f t="shared" si="6"/>
        <v>5.7639245923988176E-2</v>
      </c>
      <c r="Y5" t="s">
        <v>66</v>
      </c>
      <c r="Z5">
        <f>_xlfn.STDEV.S(W3:W316)</f>
        <v>3.977980937269452E-2</v>
      </c>
      <c r="AA5">
        <f>AVERAGE(W3:W316)</f>
        <v>1.5970212029427387E-3</v>
      </c>
    </row>
    <row r="6" spans="1:27">
      <c r="A6" s="1">
        <v>43867</v>
      </c>
      <c r="B6">
        <v>77.050003000000004</v>
      </c>
      <c r="C6">
        <v>4</v>
      </c>
      <c r="D6">
        <f t="shared" si="0"/>
        <v>143.67127580724278</v>
      </c>
      <c r="E6">
        <v>29.690000999999999</v>
      </c>
      <c r="F6">
        <v>4</v>
      </c>
      <c r="G6">
        <f t="shared" si="1"/>
        <v>27.973034471311419</v>
      </c>
      <c r="H6">
        <v>472.98001099999999</v>
      </c>
      <c r="I6">
        <v>4</v>
      </c>
      <c r="J6">
        <f t="shared" si="2"/>
        <v>1199.457262311621</v>
      </c>
      <c r="K6">
        <f t="shared" si="3"/>
        <v>-21.777200234659176</v>
      </c>
      <c r="L6">
        <v>-381.27359337909456</v>
      </c>
      <c r="Q6" s="1">
        <v>44140</v>
      </c>
      <c r="R6">
        <v>62.919998</v>
      </c>
      <c r="S6">
        <f t="shared" si="4"/>
        <v>7.6873639924305475E-3</v>
      </c>
      <c r="T6">
        <v>11.87</v>
      </c>
      <c r="U6">
        <f t="shared" si="5"/>
        <v>-5.862646566164178E-3</v>
      </c>
      <c r="V6">
        <v>1036.5</v>
      </c>
      <c r="W6">
        <f t="shared" si="6"/>
        <v>4.0662650602409638E-2</v>
      </c>
    </row>
    <row r="7" spans="1:27">
      <c r="A7" s="1">
        <v>43868</v>
      </c>
      <c r="B7">
        <v>77.040001000000004</v>
      </c>
      <c r="C7">
        <v>5</v>
      </c>
      <c r="D7">
        <f t="shared" si="0"/>
        <v>142.98143691181946</v>
      </c>
      <c r="E7">
        <v>29.1</v>
      </c>
      <c r="F7">
        <v>5</v>
      </c>
      <c r="G7">
        <f t="shared" si="1"/>
        <v>28.423710730087215</v>
      </c>
      <c r="H7">
        <v>478.69000199999999</v>
      </c>
      <c r="I7">
        <v>5</v>
      </c>
      <c r="J7">
        <f t="shared" si="2"/>
        <v>1220.5592815464668</v>
      </c>
      <c r="K7">
        <f t="shared" si="3"/>
        <v>20.288593162436882</v>
      </c>
      <c r="L7" s="10">
        <v>-283.99089630252001</v>
      </c>
      <c r="Q7" s="1">
        <v>44141</v>
      </c>
      <c r="R7">
        <v>62.360000999999997</v>
      </c>
      <c r="S7">
        <f t="shared" si="4"/>
        <v>-8.9001433216829209E-3</v>
      </c>
      <c r="T7">
        <v>11.71</v>
      </c>
      <c r="U7">
        <f t="shared" si="5"/>
        <v>-1.3479359730412669E-2</v>
      </c>
      <c r="V7">
        <v>1045</v>
      </c>
      <c r="W7">
        <f t="shared" si="6"/>
        <v>8.2006753497346832E-3</v>
      </c>
    </row>
    <row r="8" spans="1:27" ht="15.75" thickBot="1">
      <c r="A8" s="1">
        <v>43871</v>
      </c>
      <c r="B8">
        <v>76.720000999999996</v>
      </c>
      <c r="C8">
        <v>6</v>
      </c>
      <c r="D8">
        <f t="shared" si="0"/>
        <v>142.40602285298516</v>
      </c>
      <c r="E8">
        <v>29.35</v>
      </c>
      <c r="F8">
        <v>6</v>
      </c>
      <c r="G8">
        <f t="shared" si="1"/>
        <v>29.249140893470791</v>
      </c>
      <c r="H8">
        <v>491.69000199999999</v>
      </c>
      <c r="I8">
        <v>6</v>
      </c>
      <c r="J8">
        <f t="shared" si="2"/>
        <v>1238.7518852169383</v>
      </c>
      <c r="K8">
        <f t="shared" si="3"/>
        <v>63.301112365789777</v>
      </c>
      <c r="L8">
        <v>-277.50025375339646</v>
      </c>
      <c r="Q8" s="1">
        <v>44144</v>
      </c>
      <c r="R8">
        <v>65.239998</v>
      </c>
      <c r="S8">
        <f t="shared" si="4"/>
        <v>4.6183402081728692E-2</v>
      </c>
      <c r="T8">
        <v>14.54</v>
      </c>
      <c r="U8">
        <f t="shared" si="5"/>
        <v>0.24167378309137472</v>
      </c>
      <c r="V8">
        <v>902.59997599999997</v>
      </c>
      <c r="W8">
        <f t="shared" si="6"/>
        <v>-0.13626796555023926</v>
      </c>
      <c r="Z8" t="s">
        <v>67</v>
      </c>
    </row>
    <row r="9" spans="1:27">
      <c r="A9" s="1">
        <v>43872</v>
      </c>
      <c r="B9">
        <v>76.900002000000001</v>
      </c>
      <c r="C9">
        <v>7</v>
      </c>
      <c r="D9">
        <f t="shared" si="0"/>
        <v>143.33550759468838</v>
      </c>
      <c r="E9">
        <v>29.41</v>
      </c>
      <c r="F9">
        <v>7</v>
      </c>
      <c r="G9">
        <f t="shared" si="1"/>
        <v>29.059284497444633</v>
      </c>
      <c r="H9">
        <v>492.75</v>
      </c>
      <c r="I9">
        <v>7</v>
      </c>
      <c r="J9">
        <f t="shared" si="2"/>
        <v>1208.599925934634</v>
      </c>
      <c r="K9">
        <f t="shared" si="3"/>
        <v>9.4441952778215636</v>
      </c>
      <c r="L9">
        <v>-245.54288820805232</v>
      </c>
      <c r="Q9" s="1">
        <v>44145</v>
      </c>
      <c r="R9">
        <v>67.199996999999996</v>
      </c>
      <c r="S9">
        <f t="shared" si="4"/>
        <v>3.0042904047912392E-2</v>
      </c>
      <c r="T9">
        <v>14.62</v>
      </c>
      <c r="U9">
        <f t="shared" si="5"/>
        <v>5.5020632737276531E-3</v>
      </c>
      <c r="V9">
        <v>885.76000999999997</v>
      </c>
      <c r="W9">
        <f t="shared" si="6"/>
        <v>-1.8657175324365404E-2</v>
      </c>
      <c r="Y9" s="12">
        <v>1</v>
      </c>
      <c r="Z9" s="13"/>
      <c r="AA9" s="14"/>
    </row>
    <row r="10" spans="1:27">
      <c r="A10" s="1">
        <v>43873</v>
      </c>
      <c r="B10">
        <v>77</v>
      </c>
      <c r="C10">
        <v>8</v>
      </c>
      <c r="D10">
        <f t="shared" si="0"/>
        <v>143.18595206278408</v>
      </c>
      <c r="E10">
        <v>29.549999</v>
      </c>
      <c r="F10">
        <v>8</v>
      </c>
      <c r="G10">
        <f t="shared" si="1"/>
        <v>29.138047296837811</v>
      </c>
      <c r="H10">
        <v>531.25</v>
      </c>
      <c r="I10">
        <v>8</v>
      </c>
      <c r="J10">
        <f t="shared" si="2"/>
        <v>1300.2283105022832</v>
      </c>
      <c r="K10">
        <f t="shared" si="3"/>
        <v>192.3868510849743</v>
      </c>
      <c r="L10">
        <v>-239.08250461498528</v>
      </c>
      <c r="Q10" s="1">
        <v>44146</v>
      </c>
      <c r="R10">
        <v>66.930000000000007</v>
      </c>
      <c r="S10">
        <f t="shared" si="4"/>
        <v>-4.0178126793664797E-3</v>
      </c>
      <c r="T10">
        <v>14.62</v>
      </c>
      <c r="U10">
        <f t="shared" si="5"/>
        <v>0</v>
      </c>
      <c r="V10">
        <v>947.17999299999997</v>
      </c>
      <c r="W10">
        <f t="shared" si="6"/>
        <v>6.9341562394536191E-2</v>
      </c>
      <c r="Y10" s="15">
        <f>CORREL(U3:U316, S3:S316)</f>
        <v>0.40502568798130006</v>
      </c>
      <c r="Z10" s="16">
        <v>1</v>
      </c>
      <c r="AA10" s="17"/>
    </row>
    <row r="11" spans="1:27" ht="15.75" thickBot="1">
      <c r="A11" s="1">
        <v>43874</v>
      </c>
      <c r="B11">
        <v>76.730002999999996</v>
      </c>
      <c r="C11">
        <v>9</v>
      </c>
      <c r="D11">
        <f t="shared" si="0"/>
        <v>142.49857699999998</v>
      </c>
      <c r="E11">
        <v>29.51</v>
      </c>
      <c r="F11">
        <v>9</v>
      </c>
      <c r="G11">
        <f t="shared" si="1"/>
        <v>28.960745480905096</v>
      </c>
      <c r="H11">
        <v>532.96997099999999</v>
      </c>
      <c r="I11">
        <v>9</v>
      </c>
      <c r="J11">
        <f t="shared" si="2"/>
        <v>1209.9045365195293</v>
      </c>
      <c r="K11">
        <f t="shared" si="3"/>
        <v>2.2060252526352997</v>
      </c>
      <c r="L11">
        <v>-236.57841911120795</v>
      </c>
      <c r="Q11" s="1">
        <v>44147</v>
      </c>
      <c r="R11">
        <v>66.050003000000004</v>
      </c>
      <c r="S11">
        <f t="shared" si="4"/>
        <v>-1.3148020319737082E-2</v>
      </c>
      <c r="T11">
        <v>13.69</v>
      </c>
      <c r="U11">
        <f t="shared" si="5"/>
        <v>-6.3611491108071114E-2</v>
      </c>
      <c r="V11">
        <v>925.79998799999998</v>
      </c>
      <c r="W11">
        <f t="shared" si="6"/>
        <v>-2.2572272596555979E-2</v>
      </c>
      <c r="Y11" s="18">
        <f>CORREL(S3:S316, W3:W316)</f>
        <v>0.44176032914130908</v>
      </c>
      <c r="Z11" s="19">
        <f>CORREL(W3:W316, U3:U316)</f>
        <v>-1.514416964188359E-2</v>
      </c>
      <c r="AA11" s="20">
        <v>1</v>
      </c>
    </row>
    <row r="12" spans="1:27">
      <c r="A12" s="1">
        <v>43875</v>
      </c>
      <c r="B12">
        <v>76.839995999999999</v>
      </c>
      <c r="C12">
        <v>10</v>
      </c>
      <c r="D12">
        <f t="shared" si="0"/>
        <v>143.20499150768964</v>
      </c>
      <c r="E12">
        <v>29.780000999999999</v>
      </c>
      <c r="F12">
        <v>10</v>
      </c>
      <c r="G12">
        <f t="shared" si="1"/>
        <v>29.265334767875292</v>
      </c>
      <c r="H12">
        <v>531.21997099999999</v>
      </c>
      <c r="I12">
        <v>10</v>
      </c>
      <c r="J12">
        <f t="shared" si="2"/>
        <v>1202.0401146127613</v>
      </c>
      <c r="K12">
        <f t="shared" si="3"/>
        <v>-1.8898341794520093</v>
      </c>
      <c r="L12">
        <v>-229.88846099446164</v>
      </c>
      <c r="Q12" s="1">
        <v>44148</v>
      </c>
      <c r="R12">
        <v>66.669998000000007</v>
      </c>
      <c r="S12">
        <f t="shared" si="4"/>
        <v>9.3867520339098679E-3</v>
      </c>
      <c r="T12">
        <v>13.91</v>
      </c>
      <c r="U12">
        <f t="shared" si="5"/>
        <v>1.6070124178232333E-2</v>
      </c>
      <c r="V12">
        <v>918.29998799999998</v>
      </c>
      <c r="W12">
        <f t="shared" si="6"/>
        <v>-8.1011018548425382E-3</v>
      </c>
    </row>
    <row r="13" spans="1:27">
      <c r="A13" s="1">
        <v>43879</v>
      </c>
      <c r="B13">
        <v>76.459998999999996</v>
      </c>
      <c r="C13">
        <v>11</v>
      </c>
      <c r="D13">
        <f t="shared" si="0"/>
        <v>142.2928217877575</v>
      </c>
      <c r="E13">
        <v>30</v>
      </c>
      <c r="F13">
        <v>11</v>
      </c>
      <c r="G13">
        <f t="shared" si="1"/>
        <v>29.214236762450078</v>
      </c>
      <c r="H13">
        <v>536.40997300000004</v>
      </c>
      <c r="I13">
        <v>11</v>
      </c>
      <c r="J13">
        <f t="shared" si="2"/>
        <v>1217.7825811409491</v>
      </c>
      <c r="K13">
        <f t="shared" si="3"/>
        <v>19.706931596224422</v>
      </c>
      <c r="L13">
        <v>-221.37976702149399</v>
      </c>
      <c r="Q13" s="1">
        <v>44151</v>
      </c>
      <c r="R13">
        <v>68.639999000000003</v>
      </c>
      <c r="S13">
        <f t="shared" si="4"/>
        <v>2.9548538459533119E-2</v>
      </c>
      <c r="T13">
        <v>14.98</v>
      </c>
      <c r="U13">
        <f t="shared" si="5"/>
        <v>7.6923076923076941E-2</v>
      </c>
      <c r="V13">
        <v>919.21997099999999</v>
      </c>
      <c r="W13">
        <f t="shared" si="6"/>
        <v>1.0018327474920995E-3</v>
      </c>
    </row>
    <row r="14" spans="1:27">
      <c r="A14" s="1">
        <v>43880</v>
      </c>
      <c r="B14">
        <v>76.419998000000007</v>
      </c>
      <c r="C14">
        <v>12</v>
      </c>
      <c r="D14">
        <f t="shared" si="0"/>
        <v>142.9251877704053</v>
      </c>
      <c r="E14">
        <v>30.48</v>
      </c>
      <c r="F14">
        <v>12</v>
      </c>
      <c r="G14">
        <f t="shared" si="1"/>
        <v>29.463999999999999</v>
      </c>
      <c r="H14">
        <v>543.21002199999998</v>
      </c>
      <c r="I14">
        <v>12</v>
      </c>
      <c r="J14">
        <f t="shared" si="2"/>
        <v>1221.2884165224123</v>
      </c>
      <c r="K14">
        <f t="shared" si="3"/>
        <v>36.788710748877747</v>
      </c>
      <c r="L14">
        <v>-217.42153328733684</v>
      </c>
      <c r="Q14" s="1">
        <v>44152</v>
      </c>
      <c r="R14">
        <v>69.400002000000001</v>
      </c>
      <c r="S14">
        <f t="shared" si="4"/>
        <v>1.1072304939864545E-2</v>
      </c>
      <c r="T14">
        <v>15.25</v>
      </c>
      <c r="U14">
        <f t="shared" si="5"/>
        <v>1.8024032042723601E-2</v>
      </c>
      <c r="V14">
        <v>914.02002000000005</v>
      </c>
      <c r="W14">
        <f t="shared" si="6"/>
        <v>-5.6569169122196346E-3</v>
      </c>
      <c r="Y14" t="s">
        <v>68</v>
      </c>
    </row>
    <row r="15" spans="1:27">
      <c r="A15" s="1">
        <v>43881</v>
      </c>
      <c r="B15">
        <v>76.319999999999993</v>
      </c>
      <c r="C15">
        <v>13</v>
      </c>
      <c r="D15">
        <f t="shared" si="0"/>
        <v>142.81287994799473</v>
      </c>
      <c r="E15">
        <v>30.459999</v>
      </c>
      <c r="F15">
        <v>13</v>
      </c>
      <c r="G15">
        <f t="shared" si="1"/>
        <v>28.980970177165354</v>
      </c>
      <c r="H15">
        <v>535.580017</v>
      </c>
      <c r="I15">
        <v>13</v>
      </c>
      <c r="J15">
        <f t="shared" si="2"/>
        <v>1189.0603529807481</v>
      </c>
      <c r="K15">
        <f t="shared" si="3"/>
        <v>-36.035941901076512</v>
      </c>
      <c r="L15">
        <v>-207.38955727788971</v>
      </c>
      <c r="Q15" s="1">
        <v>44153</v>
      </c>
      <c r="R15">
        <v>69.949996999999996</v>
      </c>
      <c r="S15">
        <f t="shared" si="4"/>
        <v>7.9249997716137749E-3</v>
      </c>
      <c r="T15">
        <v>15.36</v>
      </c>
      <c r="U15">
        <f t="shared" si="5"/>
        <v>7.2131147540983234E-3</v>
      </c>
      <c r="V15">
        <v>931.42999299999997</v>
      </c>
      <c r="W15">
        <f t="shared" si="6"/>
        <v>1.9047693287943434E-2</v>
      </c>
      <c r="Y15">
        <v>0.33400000000000002</v>
      </c>
    </row>
    <row r="16" spans="1:27">
      <c r="A16" s="1">
        <v>43882</v>
      </c>
      <c r="B16">
        <v>76.470000999999996</v>
      </c>
      <c r="C16">
        <v>14</v>
      </c>
      <c r="D16">
        <f t="shared" si="0"/>
        <v>143.28105533280925</v>
      </c>
      <c r="E16">
        <v>30.389999</v>
      </c>
      <c r="F16">
        <v>14</v>
      </c>
      <c r="G16">
        <f t="shared" si="1"/>
        <v>28.933355217772661</v>
      </c>
      <c r="H16">
        <v>520.65997300000004</v>
      </c>
      <c r="I16">
        <v>14</v>
      </c>
      <c r="J16">
        <f t="shared" si="2"/>
        <v>1172.4035765098386</v>
      </c>
      <c r="K16">
        <f t="shared" si="3"/>
        <v>-65.381965385640797</v>
      </c>
      <c r="L16">
        <v>-202.42011007891415</v>
      </c>
      <c r="Q16" s="1">
        <v>44154</v>
      </c>
      <c r="R16">
        <v>70.680000000000007</v>
      </c>
      <c r="S16">
        <f t="shared" si="4"/>
        <v>1.0436069068023128E-2</v>
      </c>
      <c r="T16">
        <v>15.44</v>
      </c>
      <c r="U16">
        <f t="shared" si="5"/>
        <v>5.2083333333333382E-3</v>
      </c>
      <c r="V16">
        <v>966.77002000000005</v>
      </c>
      <c r="W16">
        <f t="shared" si="6"/>
        <v>3.7941688871511441E-2</v>
      </c>
      <c r="Y16">
        <v>0.10199999999999999</v>
      </c>
    </row>
    <row r="17" spans="1:25">
      <c r="A17" s="1">
        <v>43885</v>
      </c>
      <c r="B17">
        <v>74.860000999999997</v>
      </c>
      <c r="C17">
        <v>15</v>
      </c>
      <c r="D17">
        <f t="shared" si="0"/>
        <v>139.98927687996238</v>
      </c>
      <c r="E17">
        <v>29.379999000000002</v>
      </c>
      <c r="F17">
        <v>15</v>
      </c>
      <c r="G17">
        <f t="shared" si="1"/>
        <v>28.036196085429292</v>
      </c>
      <c r="H17">
        <v>490.959991</v>
      </c>
      <c r="I17">
        <v>15</v>
      </c>
      <c r="J17">
        <f t="shared" si="2"/>
        <v>1137.2061995362951</v>
      </c>
      <c r="K17">
        <f t="shared" si="3"/>
        <v>-182.15189084634676</v>
      </c>
      <c r="L17">
        <v>-198.90457529687819</v>
      </c>
      <c r="Q17" s="1">
        <v>44155</v>
      </c>
      <c r="R17">
        <v>71.339995999999999</v>
      </c>
      <c r="S17">
        <f t="shared" si="4"/>
        <v>9.3378041878889699E-3</v>
      </c>
      <c r="T17">
        <v>15.41</v>
      </c>
      <c r="U17">
        <f t="shared" si="5"/>
        <v>-1.9430051813471088E-3</v>
      </c>
      <c r="V17">
        <v>988.51000999999997</v>
      </c>
      <c r="W17">
        <f t="shared" si="6"/>
        <v>2.2487240553859873E-2</v>
      </c>
      <c r="Y17">
        <v>0.56399999999999995</v>
      </c>
    </row>
    <row r="18" spans="1:25">
      <c r="A18" s="1">
        <v>43886</v>
      </c>
      <c r="B18">
        <v>73.010002</v>
      </c>
      <c r="C18">
        <v>16</v>
      </c>
      <c r="D18">
        <f t="shared" si="0"/>
        <v>139.46607195476795</v>
      </c>
      <c r="E18">
        <v>29.120000999999998</v>
      </c>
      <c r="F18">
        <v>16</v>
      </c>
      <c r="G18">
        <f t="shared" si="1"/>
        <v>28.743364797255435</v>
      </c>
      <c r="H18">
        <v>466.459991</v>
      </c>
      <c r="I18">
        <v>16</v>
      </c>
      <c r="J18">
        <f t="shared" si="2"/>
        <v>1145.8179066693033</v>
      </c>
      <c r="K18">
        <f t="shared" si="3"/>
        <v>-159.55299515488241</v>
      </c>
      <c r="L18">
        <v>-190.26010667660557</v>
      </c>
      <c r="Q18" s="1">
        <v>44158</v>
      </c>
      <c r="R18">
        <v>72.580001999999993</v>
      </c>
      <c r="S18">
        <f t="shared" si="4"/>
        <v>1.7381638204745538E-2</v>
      </c>
      <c r="T18">
        <v>16.760000000000002</v>
      </c>
      <c r="U18">
        <f t="shared" si="5"/>
        <v>8.7605451005840454E-2</v>
      </c>
      <c r="V18">
        <v>980.01000999999997</v>
      </c>
      <c r="W18">
        <f t="shared" si="6"/>
        <v>-8.5988001274767065E-3</v>
      </c>
    </row>
    <row r="19" spans="1:25">
      <c r="A19" s="1">
        <v>43887</v>
      </c>
      <c r="B19">
        <v>71.650002000000001</v>
      </c>
      <c r="C19">
        <v>17</v>
      </c>
      <c r="D19">
        <f t="shared" si="0"/>
        <v>140.33625538046144</v>
      </c>
      <c r="E19">
        <v>28.440000999999999</v>
      </c>
      <c r="F19">
        <v>17</v>
      </c>
      <c r="G19">
        <f t="shared" si="1"/>
        <v>28.322802221057614</v>
      </c>
      <c r="H19">
        <v>471.17999300000002</v>
      </c>
      <c r="I19">
        <v>17</v>
      </c>
      <c r="J19">
        <f t="shared" si="2"/>
        <v>1218.2032382665807</v>
      </c>
      <c r="K19">
        <f t="shared" si="3"/>
        <v>-12.388936346360424</v>
      </c>
      <c r="L19">
        <v>-185.15464659446434</v>
      </c>
      <c r="Q19" s="1">
        <v>44159</v>
      </c>
      <c r="R19">
        <v>74.809997999999993</v>
      </c>
      <c r="S19">
        <f t="shared" si="4"/>
        <v>3.0724661594801281E-2</v>
      </c>
      <c r="T19">
        <v>17.670000000000002</v>
      </c>
      <c r="U19">
        <f t="shared" si="5"/>
        <v>5.4295942720763726E-2</v>
      </c>
      <c r="V19">
        <v>971.23999000000003</v>
      </c>
      <c r="W19">
        <f t="shared" si="6"/>
        <v>-8.9489085932907275E-3</v>
      </c>
    </row>
    <row r="20" spans="1:25">
      <c r="A20" s="1">
        <v>43888</v>
      </c>
      <c r="B20">
        <v>69.160004000000001</v>
      </c>
      <c r="C20">
        <v>18</v>
      </c>
      <c r="D20">
        <f t="shared" si="0"/>
        <v>138.03042981073469</v>
      </c>
      <c r="E20">
        <v>27.639999</v>
      </c>
      <c r="F20">
        <v>18</v>
      </c>
      <c r="G20">
        <f t="shared" si="1"/>
        <v>28.184245527980117</v>
      </c>
      <c r="H20">
        <v>438.36999500000002</v>
      </c>
      <c r="I20">
        <v>18</v>
      </c>
      <c r="J20">
        <f t="shared" si="2"/>
        <v>1122.0217789892449</v>
      </c>
      <c r="K20">
        <f t="shared" si="3"/>
        <v>-229.88846099446164</v>
      </c>
      <c r="L20">
        <v>-182.15189084634676</v>
      </c>
      <c r="Q20" s="1">
        <v>44160</v>
      </c>
      <c r="R20">
        <v>74.809997999999993</v>
      </c>
      <c r="S20">
        <f t="shared" si="4"/>
        <v>0</v>
      </c>
      <c r="T20">
        <v>17.559999000000001</v>
      </c>
      <c r="U20">
        <f t="shared" si="5"/>
        <v>-6.2252971137521478E-3</v>
      </c>
      <c r="V20">
        <v>1019.52002</v>
      </c>
      <c r="W20">
        <f t="shared" si="6"/>
        <v>4.970968092036656E-2</v>
      </c>
    </row>
    <row r="21" spans="1:25">
      <c r="A21" s="1">
        <v>43889</v>
      </c>
      <c r="B21">
        <v>67.879997000000003</v>
      </c>
      <c r="C21">
        <v>19</v>
      </c>
      <c r="D21">
        <f t="shared" si="0"/>
        <v>140.35336913803533</v>
      </c>
      <c r="E21">
        <v>27.6</v>
      </c>
      <c r="F21">
        <v>19</v>
      </c>
      <c r="G21">
        <f t="shared" si="1"/>
        <v>28.958032885601771</v>
      </c>
      <c r="H21">
        <v>463.30999800000001</v>
      </c>
      <c r="I21">
        <v>19</v>
      </c>
      <c r="J21">
        <f t="shared" si="2"/>
        <v>1274.6124597054138</v>
      </c>
      <c r="K21">
        <f t="shared" si="3"/>
        <v>110.12910407520758</v>
      </c>
      <c r="L21">
        <v>-166.9460659379838</v>
      </c>
      <c r="Q21" s="1">
        <v>44162</v>
      </c>
      <c r="R21">
        <v>74.739998</v>
      </c>
      <c r="S21">
        <f t="shared" si="4"/>
        <v>-9.357038079321053E-4</v>
      </c>
      <c r="T21">
        <v>17.25</v>
      </c>
      <c r="U21">
        <f t="shared" si="5"/>
        <v>-1.7653702599869238E-2</v>
      </c>
      <c r="V21">
        <v>1034.3900149999999</v>
      </c>
      <c r="W21">
        <f t="shared" si="6"/>
        <v>1.4585289850414023E-2</v>
      </c>
    </row>
    <row r="22" spans="1:25">
      <c r="A22" s="1">
        <v>43892</v>
      </c>
      <c r="B22">
        <v>69.099997999999999</v>
      </c>
      <c r="C22">
        <v>20</v>
      </c>
      <c r="D22">
        <f t="shared" si="0"/>
        <v>145.57012596803739</v>
      </c>
      <c r="E22">
        <v>27.700001</v>
      </c>
      <c r="F22">
        <v>20</v>
      </c>
      <c r="G22">
        <f t="shared" si="1"/>
        <v>29.105073514492751</v>
      </c>
      <c r="H22">
        <v>488.39999399999999</v>
      </c>
      <c r="I22">
        <v>20</v>
      </c>
      <c r="J22">
        <f t="shared" si="2"/>
        <v>1271.3094802758822</v>
      </c>
      <c r="K22">
        <f t="shared" si="3"/>
        <v>157.89632294952935</v>
      </c>
      <c r="L22">
        <v>-166.06299462954212</v>
      </c>
      <c r="Q22" s="1">
        <v>44165</v>
      </c>
      <c r="R22">
        <v>72.720000999999996</v>
      </c>
      <c r="S22">
        <f t="shared" si="4"/>
        <v>-2.7026987611104881E-2</v>
      </c>
      <c r="T22">
        <v>16.09</v>
      </c>
      <c r="U22">
        <f t="shared" si="5"/>
        <v>-6.7246376811594205E-2</v>
      </c>
      <c r="V22">
        <v>1090.380005</v>
      </c>
      <c r="W22">
        <f t="shared" si="6"/>
        <v>5.4128509738176504E-2</v>
      </c>
    </row>
    <row r="23" spans="1:25">
      <c r="A23" s="1">
        <v>43893</v>
      </c>
      <c r="B23">
        <v>67.239998</v>
      </c>
      <c r="C23">
        <v>21</v>
      </c>
      <c r="D23">
        <f t="shared" si="0"/>
        <v>139.15079583649191</v>
      </c>
      <c r="E23">
        <v>26.370000999999998</v>
      </c>
      <c r="F23">
        <v>21</v>
      </c>
      <c r="G23">
        <f t="shared" si="1"/>
        <v>27.607581277704643</v>
      </c>
      <c r="H23">
        <v>476.94000199999999</v>
      </c>
      <c r="I23">
        <v>21</v>
      </c>
      <c r="J23">
        <f t="shared" si="2"/>
        <v>1177.701985008624</v>
      </c>
      <c r="K23">
        <f t="shared" si="3"/>
        <v>-115.9743524522637</v>
      </c>
      <c r="L23">
        <v>-162.27516426846978</v>
      </c>
      <c r="Q23" s="1">
        <v>44166</v>
      </c>
      <c r="R23">
        <v>74.589995999999999</v>
      </c>
      <c r="S23">
        <f t="shared" si="4"/>
        <v>2.5715002396658426E-2</v>
      </c>
      <c r="T23">
        <v>15.95</v>
      </c>
      <c r="U23">
        <f t="shared" si="5"/>
        <v>-8.7010565568676548E-3</v>
      </c>
      <c r="V23">
        <v>1069.0600589999999</v>
      </c>
      <c r="W23">
        <f t="shared" si="6"/>
        <v>-1.9552766835631834E-2</v>
      </c>
    </row>
    <row r="24" spans="1:25">
      <c r="A24" s="1">
        <v>43894</v>
      </c>
      <c r="B24">
        <v>67.870002999999997</v>
      </c>
      <c r="C24">
        <v>22</v>
      </c>
      <c r="D24">
        <f t="shared" si="0"/>
        <v>144.33983815704457</v>
      </c>
      <c r="E24">
        <v>26.709999</v>
      </c>
      <c r="F24">
        <v>22</v>
      </c>
      <c r="G24">
        <f t="shared" si="1"/>
        <v>29.37390753227503</v>
      </c>
      <c r="H24">
        <v>512.22997999999995</v>
      </c>
      <c r="I24">
        <v>22</v>
      </c>
      <c r="J24">
        <f t="shared" si="2"/>
        <v>1295.2349421091333</v>
      </c>
      <c r="K24">
        <f t="shared" si="3"/>
        <v>197.47687877283715</v>
      </c>
      <c r="L24">
        <v>-161.80520794995937</v>
      </c>
      <c r="Q24" s="1">
        <v>44167</v>
      </c>
      <c r="R24">
        <v>75.319999999999993</v>
      </c>
      <c r="S24">
        <f t="shared" si="4"/>
        <v>9.7868888476679086E-3</v>
      </c>
      <c r="T24">
        <v>16.219999000000001</v>
      </c>
      <c r="U24">
        <f t="shared" si="5"/>
        <v>1.6927836990595743E-2</v>
      </c>
      <c r="V24">
        <v>1079.4399410000001</v>
      </c>
      <c r="W24">
        <f t="shared" si="6"/>
        <v>9.7093534760895796E-3</v>
      </c>
    </row>
    <row r="25" spans="1:25">
      <c r="A25" s="1">
        <v>43895</v>
      </c>
      <c r="B25">
        <v>65.540001000000004</v>
      </c>
      <c r="C25">
        <v>23</v>
      </c>
      <c r="D25">
        <f t="shared" si="0"/>
        <v>138.09075775346585</v>
      </c>
      <c r="E25">
        <v>25.969999000000001</v>
      </c>
      <c r="F25">
        <v>23</v>
      </c>
      <c r="G25">
        <f t="shared" si="1"/>
        <v>28.196555567074341</v>
      </c>
      <c r="H25">
        <v>498.22000100000002</v>
      </c>
      <c r="I25">
        <v>23</v>
      </c>
      <c r="J25">
        <f t="shared" si="2"/>
        <v>1173.0147485822679</v>
      </c>
      <c r="K25">
        <f t="shared" si="3"/>
        <v>-127.11459179469057</v>
      </c>
      <c r="L25">
        <v>-160.39552244941569</v>
      </c>
      <c r="Q25" s="1">
        <v>44168</v>
      </c>
      <c r="R25">
        <v>75.900002000000001</v>
      </c>
      <c r="S25">
        <f t="shared" si="4"/>
        <v>7.7005045140733867E-3</v>
      </c>
      <c r="T25">
        <v>16.600000000000001</v>
      </c>
      <c r="U25">
        <f t="shared" si="5"/>
        <v>2.3427929927739205E-2</v>
      </c>
      <c r="V25">
        <v>1062.6800539999999</v>
      </c>
      <c r="W25">
        <f t="shared" si="6"/>
        <v>-1.5526465496981421E-2</v>
      </c>
    </row>
    <row r="26" spans="1:25">
      <c r="A26" s="1">
        <v>43896</v>
      </c>
      <c r="B26">
        <v>62.939999</v>
      </c>
      <c r="C26">
        <v>24</v>
      </c>
      <c r="D26">
        <f t="shared" si="0"/>
        <v>137.32712419397126</v>
      </c>
      <c r="E26">
        <v>25.040001</v>
      </c>
      <c r="F26">
        <v>24</v>
      </c>
      <c r="G26">
        <f t="shared" si="1"/>
        <v>27.961496224932468</v>
      </c>
      <c r="H26">
        <v>472.07000699999998</v>
      </c>
      <c r="I26">
        <v>24</v>
      </c>
      <c r="J26">
        <f t="shared" si="2"/>
        <v>1142.7008696947112</v>
      </c>
      <c r="K26">
        <f t="shared" si="3"/>
        <v>-198.90457529687819</v>
      </c>
      <c r="L26">
        <v>-159.55299515488241</v>
      </c>
      <c r="Q26" s="1">
        <v>44169</v>
      </c>
      <c r="R26">
        <v>76.779999000000004</v>
      </c>
      <c r="S26">
        <f t="shared" si="4"/>
        <v>1.1594163067347521E-2</v>
      </c>
      <c r="T26">
        <v>17.98</v>
      </c>
      <c r="U26">
        <f t="shared" si="5"/>
        <v>8.3132530120481857E-2</v>
      </c>
      <c r="V26">
        <v>1053.8900149999999</v>
      </c>
      <c r="W26">
        <f t="shared" si="6"/>
        <v>-8.2715761596481221E-3</v>
      </c>
    </row>
    <row r="27" spans="1:25">
      <c r="A27" s="1">
        <v>43899</v>
      </c>
      <c r="B27">
        <v>53.380001</v>
      </c>
      <c r="C27">
        <v>25</v>
      </c>
      <c r="D27">
        <f t="shared" si="0"/>
        <v>121.27963559389316</v>
      </c>
      <c r="E27">
        <v>20.219999000000001</v>
      </c>
      <c r="F27">
        <v>25</v>
      </c>
      <c r="G27">
        <f t="shared" si="1"/>
        <v>23.417729536033168</v>
      </c>
      <c r="H27">
        <v>418.32000699999998</v>
      </c>
      <c r="I27">
        <v>25</v>
      </c>
      <c r="J27">
        <f t="shared" si="2"/>
        <v>1068.6845615294512</v>
      </c>
      <c r="K27">
        <f t="shared" si="3"/>
        <v>-575.56857796166832</v>
      </c>
      <c r="L27">
        <v>-157.50797228555712</v>
      </c>
      <c r="Q27" s="1">
        <v>44172</v>
      </c>
      <c r="R27">
        <v>76.089995999999999</v>
      </c>
      <c r="S27">
        <f t="shared" si="4"/>
        <v>-8.9867544801609644E-3</v>
      </c>
      <c r="T27">
        <v>17.860001</v>
      </c>
      <c r="U27">
        <f t="shared" si="5"/>
        <v>-6.6740266963292525E-3</v>
      </c>
      <c r="V27">
        <v>1084.400024</v>
      </c>
      <c r="W27">
        <f t="shared" si="6"/>
        <v>2.8949898533766907E-2</v>
      </c>
    </row>
    <row r="28" spans="1:25">
      <c r="A28" s="1">
        <v>43900</v>
      </c>
      <c r="B28">
        <v>55.240001999999997</v>
      </c>
      <c r="C28">
        <v>26</v>
      </c>
      <c r="D28">
        <f t="shared" si="0"/>
        <v>147.98276766611525</v>
      </c>
      <c r="E28">
        <v>20.209999</v>
      </c>
      <c r="F28">
        <v>26</v>
      </c>
      <c r="G28">
        <f t="shared" si="1"/>
        <v>28.985657763880205</v>
      </c>
      <c r="H28">
        <v>450.33999599999999</v>
      </c>
      <c r="I28">
        <v>26</v>
      </c>
      <c r="J28">
        <f t="shared" si="2"/>
        <v>1298.3123591695676</v>
      </c>
      <c r="K28">
        <f t="shared" si="3"/>
        <v>234.23726145849105</v>
      </c>
      <c r="L28">
        <v>-155.50402132344061</v>
      </c>
      <c r="Q28" s="1">
        <v>44173</v>
      </c>
      <c r="R28">
        <v>76.269997000000004</v>
      </c>
      <c r="S28">
        <f t="shared" si="4"/>
        <v>2.3656329276190826E-3</v>
      </c>
      <c r="T28">
        <v>18.23</v>
      </c>
      <c r="U28">
        <f t="shared" si="5"/>
        <v>2.0716628179360121E-2</v>
      </c>
      <c r="V28">
        <v>1102.089966</v>
      </c>
      <c r="W28">
        <f t="shared" si="6"/>
        <v>1.631311472564111E-2</v>
      </c>
    </row>
    <row r="29" spans="1:25">
      <c r="A29" s="1">
        <v>43901</v>
      </c>
      <c r="B29">
        <v>52.66</v>
      </c>
      <c r="C29">
        <v>27</v>
      </c>
      <c r="D29">
        <f t="shared" si="0"/>
        <v>136.32113916288415</v>
      </c>
      <c r="E29">
        <v>18.879999000000002</v>
      </c>
      <c r="F29">
        <v>27</v>
      </c>
      <c r="G29">
        <f t="shared" si="1"/>
        <v>27.091538747725821</v>
      </c>
      <c r="H29">
        <v>422.30999800000001</v>
      </c>
      <c r="I29">
        <v>27</v>
      </c>
      <c r="J29">
        <f t="shared" si="2"/>
        <v>1130.9363194736095</v>
      </c>
      <c r="K29">
        <f t="shared" si="3"/>
        <v>-245.54288820805232</v>
      </c>
      <c r="L29">
        <v>-153.44794699296563</v>
      </c>
      <c r="Q29" s="1">
        <v>44174</v>
      </c>
      <c r="R29">
        <v>76.730002999999996</v>
      </c>
      <c r="S29">
        <f t="shared" si="4"/>
        <v>6.0312838349789472E-3</v>
      </c>
      <c r="T29">
        <v>17.989999999999998</v>
      </c>
      <c r="U29">
        <f t="shared" si="5"/>
        <v>-1.3165112452002303E-2</v>
      </c>
      <c r="V29">
        <v>1038.1899410000001</v>
      </c>
      <c r="W29">
        <f t="shared" si="6"/>
        <v>-5.7980770147035267E-2</v>
      </c>
    </row>
    <row r="30" spans="1:25">
      <c r="A30" s="1">
        <v>43902</v>
      </c>
      <c r="B30">
        <v>44.169998</v>
      </c>
      <c r="C30">
        <v>28</v>
      </c>
      <c r="D30">
        <f t="shared" si="0"/>
        <v>119.94511420432967</v>
      </c>
      <c r="E30">
        <v>14.83</v>
      </c>
      <c r="F30">
        <v>28</v>
      </c>
      <c r="G30">
        <f t="shared" si="1"/>
        <v>22.779132562454052</v>
      </c>
      <c r="H30">
        <v>377.77999899999998</v>
      </c>
      <c r="I30">
        <v>28</v>
      </c>
      <c r="J30">
        <f t="shared" si="2"/>
        <v>1078.8346971458629</v>
      </c>
      <c r="K30">
        <f t="shared" si="3"/>
        <v>-578.19247522816659</v>
      </c>
      <c r="L30">
        <v>-147.2755466879189</v>
      </c>
      <c r="Q30" s="1">
        <v>44175</v>
      </c>
      <c r="R30">
        <v>76.580001999999993</v>
      </c>
      <c r="S30">
        <f t="shared" si="4"/>
        <v>-1.9549197723868609E-3</v>
      </c>
      <c r="T30">
        <v>18.780000999999999</v>
      </c>
      <c r="U30">
        <f t="shared" si="5"/>
        <v>4.3913340744858267E-2</v>
      </c>
      <c r="V30">
        <v>1067.369995</v>
      </c>
      <c r="W30">
        <f t="shared" si="6"/>
        <v>2.8106662227812825E-2</v>
      </c>
    </row>
    <row r="31" spans="1:25">
      <c r="A31" s="1">
        <v>43903</v>
      </c>
      <c r="B31">
        <v>51.139999000000003</v>
      </c>
      <c r="C31">
        <v>29</v>
      </c>
      <c r="D31">
        <f t="shared" si="0"/>
        <v>165.56532008446095</v>
      </c>
      <c r="E31">
        <v>16.239999999999998</v>
      </c>
      <c r="F31">
        <v>29</v>
      </c>
      <c r="G31">
        <f t="shared" si="1"/>
        <v>31.757248819959539</v>
      </c>
      <c r="H31">
        <v>390.89999399999999</v>
      </c>
      <c r="I31">
        <v>29</v>
      </c>
      <c r="J31">
        <f t="shared" si="2"/>
        <v>1247.883408364348</v>
      </c>
      <c r="K31">
        <f t="shared" si="3"/>
        <v>350.77874987269934</v>
      </c>
      <c r="L31">
        <v>-147.19760573812982</v>
      </c>
      <c r="Q31" s="1">
        <v>44176</v>
      </c>
      <c r="R31">
        <v>76.129997000000003</v>
      </c>
      <c r="S31">
        <f t="shared" si="4"/>
        <v>-5.8762730249078635E-3</v>
      </c>
      <c r="T31">
        <v>18.59</v>
      </c>
      <c r="U31">
        <f t="shared" si="5"/>
        <v>-1.0117198609307782E-2</v>
      </c>
      <c r="V31">
        <v>1057.869995</v>
      </c>
      <c r="W31">
        <f t="shared" si="6"/>
        <v>-8.9003813527660566E-3</v>
      </c>
    </row>
    <row r="32" spans="1:25">
      <c r="A32" s="1">
        <v>43906</v>
      </c>
      <c r="B32">
        <v>44.200001</v>
      </c>
      <c r="C32">
        <v>30</v>
      </c>
      <c r="D32">
        <f t="shared" si="0"/>
        <v>123.59406074685295</v>
      </c>
      <c r="E32">
        <v>13.53</v>
      </c>
      <c r="F32">
        <v>30</v>
      </c>
      <c r="G32">
        <f t="shared" si="1"/>
        <v>24.160714285714288</v>
      </c>
      <c r="H32">
        <v>322.290009</v>
      </c>
      <c r="I32">
        <v>30</v>
      </c>
      <c r="J32">
        <f t="shared" si="2"/>
        <v>994.32529245318938</v>
      </c>
      <c r="K32">
        <f t="shared" si="3"/>
        <v>-689.99809333937765</v>
      </c>
      <c r="L32">
        <v>-146.97726471246369</v>
      </c>
      <c r="Q32" s="1">
        <v>44179</v>
      </c>
      <c r="R32">
        <v>75.330001999999993</v>
      </c>
      <c r="S32">
        <f t="shared" si="4"/>
        <v>-1.0508275732626257E-2</v>
      </c>
      <c r="T32">
        <v>18.100000000000001</v>
      </c>
      <c r="U32">
        <f t="shared" si="5"/>
        <v>-2.6358257127487811E-2</v>
      </c>
      <c r="V32">
        <v>1059.170044</v>
      </c>
      <c r="W32">
        <f t="shared" si="6"/>
        <v>1.2289307818017321E-3</v>
      </c>
    </row>
    <row r="33" spans="1:23">
      <c r="A33" s="1">
        <v>43907</v>
      </c>
      <c r="B33">
        <v>43.389999000000003</v>
      </c>
      <c r="C33">
        <v>31</v>
      </c>
      <c r="D33">
        <f t="shared" si="0"/>
        <v>140.37940535340712</v>
      </c>
      <c r="E33">
        <v>12.59</v>
      </c>
      <c r="F33">
        <v>31</v>
      </c>
      <c r="G33">
        <f t="shared" si="1"/>
        <v>26.985218033998525</v>
      </c>
      <c r="H33">
        <v>355.08999599999999</v>
      </c>
      <c r="I33">
        <v>31</v>
      </c>
      <c r="J33">
        <f t="shared" si="2"/>
        <v>1328.7366136627586</v>
      </c>
      <c r="K33">
        <f t="shared" si="3"/>
        <v>189.04555136956606</v>
      </c>
      <c r="L33">
        <v>-142.64124484286094</v>
      </c>
      <c r="Q33" s="1">
        <v>44180</v>
      </c>
      <c r="R33">
        <v>76.940002000000007</v>
      </c>
      <c r="S33">
        <f t="shared" si="4"/>
        <v>2.1372626539954344E-2</v>
      </c>
      <c r="T33">
        <v>18.040001</v>
      </c>
      <c r="U33">
        <f t="shared" si="5"/>
        <v>-3.3148618784531072E-3</v>
      </c>
      <c r="V33">
        <v>1074.099976</v>
      </c>
      <c r="W33">
        <f t="shared" si="6"/>
        <v>1.4095878262961908E-2</v>
      </c>
    </row>
    <row r="34" spans="1:23">
      <c r="A34" s="1">
        <v>43908</v>
      </c>
      <c r="B34">
        <v>40.779998999999997</v>
      </c>
      <c r="C34">
        <v>32</v>
      </c>
      <c r="D34">
        <f t="shared" si="0"/>
        <v>134.39824824609929</v>
      </c>
      <c r="E34">
        <v>10.45</v>
      </c>
      <c r="F34">
        <v>32</v>
      </c>
      <c r="G34">
        <f t="shared" si="1"/>
        <v>24.070691024622715</v>
      </c>
      <c r="H34">
        <v>336.82998700000002</v>
      </c>
      <c r="I34">
        <v>32</v>
      </c>
      <c r="J34">
        <f t="shared" si="2"/>
        <v>1143.9831279335733</v>
      </c>
      <c r="K34">
        <f t="shared" si="3"/>
        <v>-283.99089630252001</v>
      </c>
      <c r="L34">
        <v>-142.01883637601895</v>
      </c>
      <c r="Q34" s="1">
        <v>44181</v>
      </c>
      <c r="R34">
        <v>76.440002000000007</v>
      </c>
      <c r="S34">
        <f t="shared" si="4"/>
        <v>-6.4985701456051429E-3</v>
      </c>
      <c r="T34">
        <v>17.52</v>
      </c>
      <c r="U34">
        <f t="shared" si="5"/>
        <v>-2.8824887537423117E-2</v>
      </c>
      <c r="V34">
        <v>1157.3100589999999</v>
      </c>
      <c r="W34">
        <f t="shared" si="6"/>
        <v>7.7469588361670297E-2</v>
      </c>
    </row>
    <row r="35" spans="1:23">
      <c r="A35" s="1">
        <v>43909</v>
      </c>
      <c r="B35">
        <v>41.889999000000003</v>
      </c>
      <c r="C35">
        <v>33</v>
      </c>
      <c r="D35">
        <f t="shared" si="0"/>
        <v>146.89234928622733</v>
      </c>
      <c r="E35">
        <v>10.71</v>
      </c>
      <c r="F35">
        <v>33</v>
      </c>
      <c r="G35">
        <f t="shared" si="1"/>
        <v>29.721531100478472</v>
      </c>
      <c r="H35">
        <v>332.5</v>
      </c>
      <c r="I35">
        <v>33</v>
      </c>
      <c r="J35">
        <f t="shared" si="2"/>
        <v>1190.4967356721716</v>
      </c>
      <c r="K35">
        <f t="shared" si="3"/>
        <v>18.739930713793001</v>
      </c>
      <c r="L35">
        <v>-140.01946040279381</v>
      </c>
      <c r="Q35" s="1">
        <v>44182</v>
      </c>
      <c r="R35">
        <v>76.699996999999996</v>
      </c>
      <c r="S35">
        <f t="shared" si="4"/>
        <v>3.4012950444453063E-3</v>
      </c>
      <c r="T35">
        <v>17.57</v>
      </c>
      <c r="U35">
        <f t="shared" si="5"/>
        <v>2.8538812785388534E-3</v>
      </c>
      <c r="V35">
        <v>1180</v>
      </c>
      <c r="W35">
        <f t="shared" si="6"/>
        <v>1.9605758045174039E-2</v>
      </c>
    </row>
    <row r="36" spans="1:23">
      <c r="A36" s="1">
        <v>43910</v>
      </c>
      <c r="B36">
        <v>43.150002000000001</v>
      </c>
      <c r="C36">
        <v>34</v>
      </c>
      <c r="D36">
        <f t="shared" si="0"/>
        <v>147.30127556221711</v>
      </c>
      <c r="E36">
        <v>11.09</v>
      </c>
      <c r="F36">
        <v>34</v>
      </c>
      <c r="G36">
        <f t="shared" si="1"/>
        <v>30.028944911297852</v>
      </c>
      <c r="H36">
        <v>346.05999800000001</v>
      </c>
      <c r="I36">
        <v>34</v>
      </c>
      <c r="J36">
        <f t="shared" si="2"/>
        <v>1255.1830303398497</v>
      </c>
      <c r="K36">
        <f t="shared" si="3"/>
        <v>156.81298997133854</v>
      </c>
      <c r="L36">
        <v>-136.95854432077158</v>
      </c>
      <c r="Q36" s="1">
        <v>44183</v>
      </c>
      <c r="R36">
        <v>75.449996999999996</v>
      </c>
      <c r="S36">
        <f t="shared" si="4"/>
        <v>-1.629726269741575E-2</v>
      </c>
      <c r="T36">
        <v>17.34</v>
      </c>
      <c r="U36">
        <f t="shared" si="5"/>
        <v>-1.3090495162208334E-2</v>
      </c>
      <c r="V36">
        <v>1170.959961</v>
      </c>
      <c r="W36">
        <f t="shared" si="6"/>
        <v>-7.6610499999999818E-3</v>
      </c>
    </row>
    <row r="37" spans="1:23">
      <c r="A37" s="1">
        <v>43913</v>
      </c>
      <c r="B37">
        <v>38.709999000000003</v>
      </c>
      <c r="C37">
        <v>35</v>
      </c>
      <c r="D37">
        <f t="shared" si="0"/>
        <v>128.28573813275838</v>
      </c>
      <c r="E37">
        <v>10.61</v>
      </c>
      <c r="F37">
        <v>35</v>
      </c>
      <c r="G37">
        <f t="shared" si="1"/>
        <v>27.744815148782688</v>
      </c>
      <c r="H37">
        <v>375.39001500000001</v>
      </c>
      <c r="I37">
        <v>35</v>
      </c>
      <c r="J37">
        <f t="shared" si="2"/>
        <v>1308.2134910316909</v>
      </c>
      <c r="K37">
        <f t="shared" si="3"/>
        <v>38.456590622705335</v>
      </c>
      <c r="L37">
        <v>-136.95170562724979</v>
      </c>
      <c r="Q37" s="1">
        <v>44186</v>
      </c>
      <c r="R37">
        <v>75.300003000000004</v>
      </c>
      <c r="S37">
        <f t="shared" si="4"/>
        <v>-1.98799212675903E-3</v>
      </c>
      <c r="T37">
        <v>16.899999999999999</v>
      </c>
      <c r="U37">
        <f t="shared" si="5"/>
        <v>-2.537485582468289E-2</v>
      </c>
      <c r="V37">
        <v>1197.26001</v>
      </c>
      <c r="W37">
        <f t="shared" si="6"/>
        <v>2.2460246187700303E-2</v>
      </c>
    </row>
    <row r="38" spans="1:23">
      <c r="A38" s="1">
        <v>43914</v>
      </c>
      <c r="B38">
        <v>44.360000999999997</v>
      </c>
      <c r="C38">
        <v>36</v>
      </c>
      <c r="D38">
        <f t="shared" si="0"/>
        <v>163.87187566189291</v>
      </c>
      <c r="E38">
        <v>11.99</v>
      </c>
      <c r="F38">
        <v>36</v>
      </c>
      <c r="G38">
        <f t="shared" si="1"/>
        <v>32.771913289349669</v>
      </c>
      <c r="H38">
        <v>430</v>
      </c>
      <c r="I38">
        <v>36</v>
      </c>
      <c r="J38">
        <f t="shared" si="2"/>
        <v>1381.4432437687508</v>
      </c>
      <c r="K38">
        <f t="shared" si="3"/>
        <v>616.18394349667506</v>
      </c>
      <c r="L38">
        <v>-136.47554207196026</v>
      </c>
      <c r="Q38" s="1">
        <v>44187</v>
      </c>
      <c r="R38">
        <v>74.870002999999997</v>
      </c>
      <c r="S38">
        <f t="shared" si="4"/>
        <v>-5.7104911403523693E-3</v>
      </c>
      <c r="T38">
        <v>16.440000999999999</v>
      </c>
      <c r="U38">
        <f t="shared" si="5"/>
        <v>-2.7218875739644963E-2</v>
      </c>
      <c r="V38">
        <v>1277.079956</v>
      </c>
      <c r="W38">
        <f t="shared" si="6"/>
        <v>6.6668848314744997E-2</v>
      </c>
    </row>
    <row r="39" spans="1:23">
      <c r="A39" s="1">
        <v>43915</v>
      </c>
      <c r="B39">
        <v>48.240001999999997</v>
      </c>
      <c r="C39">
        <v>37</v>
      </c>
      <c r="D39">
        <f t="shared" si="0"/>
        <v>155.5076675043357</v>
      </c>
      <c r="E39">
        <v>13.45</v>
      </c>
      <c r="F39">
        <v>37</v>
      </c>
      <c r="G39">
        <f t="shared" si="1"/>
        <v>32.531276063386152</v>
      </c>
      <c r="H39">
        <v>446.60000600000001</v>
      </c>
      <c r="I39">
        <v>37</v>
      </c>
      <c r="J39">
        <f t="shared" si="2"/>
        <v>1252.5572261302325</v>
      </c>
      <c r="K39">
        <f t="shared" si="3"/>
        <v>271.16026825461449</v>
      </c>
      <c r="L39">
        <v>-136.06352855297519</v>
      </c>
      <c r="Q39" s="1">
        <v>44188</v>
      </c>
      <c r="R39">
        <v>75.709998999999996</v>
      </c>
      <c r="S39">
        <f t="shared" si="4"/>
        <v>1.1219393166045409E-2</v>
      </c>
      <c r="T39">
        <v>17.18</v>
      </c>
      <c r="U39">
        <f t="shared" si="5"/>
        <v>4.5012101884908708E-2</v>
      </c>
      <c r="V39">
        <v>1197.959961</v>
      </c>
      <c r="W39">
        <f t="shared" si="6"/>
        <v>-6.1953830399010673E-2</v>
      </c>
    </row>
    <row r="40" spans="1:23">
      <c r="A40" s="1">
        <v>43916</v>
      </c>
      <c r="B40">
        <v>49.810001</v>
      </c>
      <c r="C40">
        <v>38</v>
      </c>
      <c r="D40">
        <f t="shared" si="0"/>
        <v>147.65401840157472</v>
      </c>
      <c r="E40">
        <v>12.78</v>
      </c>
      <c r="F40">
        <v>38</v>
      </c>
      <c r="G40">
        <f t="shared" si="1"/>
        <v>27.555390334572493</v>
      </c>
      <c r="H40">
        <v>447.41000400000001</v>
      </c>
      <c r="I40">
        <v>38</v>
      </c>
      <c r="J40">
        <f t="shared" si="2"/>
        <v>1208.1873210364445</v>
      </c>
      <c r="K40">
        <f t="shared" si="3"/>
        <v>29.24568110722339</v>
      </c>
      <c r="L40">
        <v>-134.36510562691637</v>
      </c>
      <c r="Q40" s="1">
        <v>44189</v>
      </c>
      <c r="R40">
        <v>75.900002000000001</v>
      </c>
      <c r="S40">
        <f t="shared" si="4"/>
        <v>2.5096156717688556E-3</v>
      </c>
      <c r="T40">
        <v>17.100000000000001</v>
      </c>
      <c r="U40">
        <f t="shared" si="5"/>
        <v>-4.6565774155994354E-3</v>
      </c>
      <c r="V40">
        <v>1225.5200199999999</v>
      </c>
      <c r="W40">
        <f t="shared" si="6"/>
        <v>2.3005826486048903E-2</v>
      </c>
    </row>
    <row r="41" spans="1:23">
      <c r="A41" s="1">
        <v>43917</v>
      </c>
      <c r="B41">
        <v>47.57</v>
      </c>
      <c r="C41">
        <v>39</v>
      </c>
      <c r="D41">
        <f t="shared" si="0"/>
        <v>136.56916007690907</v>
      </c>
      <c r="E41">
        <v>11.73</v>
      </c>
      <c r="F41">
        <v>39</v>
      </c>
      <c r="G41">
        <f t="shared" si="1"/>
        <v>26.617370892018783</v>
      </c>
      <c r="H41">
        <v>421.61999500000002</v>
      </c>
      <c r="I41">
        <v>39</v>
      </c>
      <c r="J41">
        <f t="shared" si="2"/>
        <v>1136.4826656178211</v>
      </c>
      <c r="K41">
        <f t="shared" si="3"/>
        <v>-239.08250461498528</v>
      </c>
      <c r="L41">
        <v>-133.49505457734904</v>
      </c>
      <c r="Q41" s="1">
        <v>44193</v>
      </c>
      <c r="R41">
        <v>75.910004000000001</v>
      </c>
      <c r="S41">
        <f t="shared" si="4"/>
        <v>1.3177865265405483E-4</v>
      </c>
      <c r="T41">
        <v>17.049999</v>
      </c>
      <c r="U41">
        <f t="shared" si="5"/>
        <v>-2.9240350877193996E-3</v>
      </c>
      <c r="V41">
        <v>1147.0600589999999</v>
      </c>
      <c r="W41">
        <f t="shared" si="6"/>
        <v>-6.4021770121715366E-2</v>
      </c>
    </row>
    <row r="42" spans="1:23">
      <c r="A42" s="1">
        <v>43920</v>
      </c>
      <c r="B42">
        <v>47.869999</v>
      </c>
      <c r="C42">
        <v>40</v>
      </c>
      <c r="D42">
        <f t="shared" si="0"/>
        <v>143.90182587765398</v>
      </c>
      <c r="E42">
        <v>13.42</v>
      </c>
      <c r="F42">
        <v>40</v>
      </c>
      <c r="G42">
        <f t="shared" si="1"/>
        <v>33.178175618073318</v>
      </c>
      <c r="H42">
        <v>430.38000499999998</v>
      </c>
      <c r="I42">
        <v>40</v>
      </c>
      <c r="J42">
        <f t="shared" si="2"/>
        <v>1231.057094505207</v>
      </c>
      <c r="K42">
        <f t="shared" si="3"/>
        <v>121.80508205805381</v>
      </c>
      <c r="L42">
        <v>-131.85359443371999</v>
      </c>
      <c r="Q42" s="1">
        <v>44194</v>
      </c>
      <c r="R42">
        <v>75.830001999999993</v>
      </c>
      <c r="S42">
        <f t="shared" si="4"/>
        <v>-1.0539058857118155E-3</v>
      </c>
      <c r="T42">
        <v>16.850000000000001</v>
      </c>
      <c r="U42">
        <f t="shared" si="5"/>
        <v>-1.1730147315551061E-2</v>
      </c>
      <c r="V42">
        <v>1171.6099850000001</v>
      </c>
      <c r="W42">
        <f t="shared" si="6"/>
        <v>2.1402476537630138E-2</v>
      </c>
    </row>
    <row r="43" spans="1:23">
      <c r="A43" s="1">
        <v>43921</v>
      </c>
      <c r="B43">
        <v>50.259998000000003</v>
      </c>
      <c r="C43">
        <v>41</v>
      </c>
      <c r="D43">
        <f t="shared" si="0"/>
        <v>150.13954176184546</v>
      </c>
      <c r="E43">
        <v>15.8</v>
      </c>
      <c r="F43">
        <v>41</v>
      </c>
      <c r="G43">
        <f t="shared" si="1"/>
        <v>34.14307004470939</v>
      </c>
      <c r="H43">
        <v>416.92999300000002</v>
      </c>
      <c r="I43">
        <v>41</v>
      </c>
      <c r="J43">
        <f t="shared" si="2"/>
        <v>1168.3107154524989</v>
      </c>
      <c r="K43">
        <f t="shared" si="3"/>
        <v>73.16289919409337</v>
      </c>
      <c r="L43">
        <v>-127.11459179469057</v>
      </c>
      <c r="Q43" s="1">
        <v>44195</v>
      </c>
      <c r="R43">
        <v>75.730002999999996</v>
      </c>
      <c r="S43">
        <f t="shared" si="4"/>
        <v>-1.3187260630692962E-3</v>
      </c>
      <c r="T43">
        <v>17.059999000000001</v>
      </c>
      <c r="U43">
        <f t="shared" si="5"/>
        <v>1.2462848664688416E-2</v>
      </c>
      <c r="V43">
        <v>1163</v>
      </c>
      <c r="W43">
        <f t="shared" si="6"/>
        <v>-7.3488491138115819E-3</v>
      </c>
    </row>
    <row r="44" spans="1:23">
      <c r="A44" s="1">
        <v>43922</v>
      </c>
      <c r="B44">
        <v>47.25</v>
      </c>
      <c r="C44">
        <v>42</v>
      </c>
      <c r="D44">
        <f t="shared" si="0"/>
        <v>134.43593849725181</v>
      </c>
      <c r="E44">
        <v>15.61</v>
      </c>
      <c r="F44">
        <v>42</v>
      </c>
      <c r="G44">
        <f t="shared" si="1"/>
        <v>28.651265822784808</v>
      </c>
      <c r="H44">
        <v>384.67001299999998</v>
      </c>
      <c r="I44">
        <v>42</v>
      </c>
      <c r="J44">
        <f t="shared" si="2"/>
        <v>1112.6856869661567</v>
      </c>
      <c r="K44">
        <f t="shared" si="3"/>
        <v>-277.50025375339646</v>
      </c>
      <c r="L44">
        <v>-126.95770476930011</v>
      </c>
      <c r="Q44" s="1">
        <v>44196</v>
      </c>
      <c r="R44">
        <v>76.029999000000004</v>
      </c>
      <c r="S44">
        <f t="shared" si="4"/>
        <v>3.9613889887209867E-3</v>
      </c>
      <c r="T44">
        <v>16.780000999999999</v>
      </c>
      <c r="U44">
        <f t="shared" si="5"/>
        <v>-1.6412544924533853E-2</v>
      </c>
      <c r="V44">
        <v>1131.9499510000001</v>
      </c>
      <c r="W44">
        <f t="shared" si="6"/>
        <v>-2.6698236457437612E-2</v>
      </c>
    </row>
    <row r="45" spans="1:23">
      <c r="A45" s="1">
        <v>43923</v>
      </c>
      <c r="B45">
        <v>47.939999</v>
      </c>
      <c r="C45">
        <v>43</v>
      </c>
      <c r="D45">
        <f t="shared" si="0"/>
        <v>145.08825094179895</v>
      </c>
      <c r="E45">
        <v>16.850000000000001</v>
      </c>
      <c r="F45">
        <v>43</v>
      </c>
      <c r="G45">
        <f t="shared" si="1"/>
        <v>31.303651505445231</v>
      </c>
      <c r="H45">
        <v>346.29998799999998</v>
      </c>
      <c r="I45">
        <v>43</v>
      </c>
      <c r="J45">
        <f t="shared" si="2"/>
        <v>1085.7040357029339</v>
      </c>
      <c r="K45">
        <f t="shared" si="3"/>
        <v>-185.15464659446434</v>
      </c>
      <c r="L45">
        <v>-125.85475786481402</v>
      </c>
      <c r="Q45" s="1">
        <v>44200</v>
      </c>
      <c r="R45">
        <v>75.050003000000004</v>
      </c>
      <c r="S45">
        <f t="shared" si="4"/>
        <v>-1.28895963815546E-2</v>
      </c>
      <c r="T45">
        <v>16.719999000000001</v>
      </c>
      <c r="U45">
        <f t="shared" si="5"/>
        <v>-3.5758043161020808E-3</v>
      </c>
      <c r="V45">
        <v>1092.400024</v>
      </c>
      <c r="W45">
        <f t="shared" si="6"/>
        <v>-3.4939642839385596E-2</v>
      </c>
    </row>
    <row r="46" spans="1:23">
      <c r="A46" s="1">
        <v>43924</v>
      </c>
      <c r="B46">
        <v>47.369999</v>
      </c>
      <c r="C46">
        <v>44</v>
      </c>
      <c r="D46">
        <f t="shared" si="0"/>
        <v>141.29974965164266</v>
      </c>
      <c r="E46">
        <v>16.239999999999998</v>
      </c>
      <c r="F46">
        <v>44</v>
      </c>
      <c r="G46">
        <f t="shared" si="1"/>
        <v>27.950148367952519</v>
      </c>
      <c r="H46">
        <v>357.64999399999999</v>
      </c>
      <c r="I46">
        <v>44</v>
      </c>
      <c r="J46">
        <f t="shared" si="2"/>
        <v>1245.5267332091273</v>
      </c>
      <c r="K46">
        <f t="shared" si="3"/>
        <v>46.303188453968687</v>
      </c>
      <c r="L46">
        <v>-124.24892051215465</v>
      </c>
      <c r="Q46" s="1">
        <v>44201</v>
      </c>
      <c r="R46">
        <v>76.150002000000001</v>
      </c>
      <c r="S46">
        <f t="shared" si="4"/>
        <v>1.4656881492729545E-2</v>
      </c>
      <c r="T46">
        <v>18.219999000000001</v>
      </c>
      <c r="U46">
        <f t="shared" si="5"/>
        <v>8.9712924025892579E-2</v>
      </c>
      <c r="V46">
        <v>1118.73999</v>
      </c>
      <c r="W46">
        <f t="shared" si="6"/>
        <v>2.4112015215407945E-2</v>
      </c>
    </row>
    <row r="47" spans="1:23">
      <c r="A47" s="1">
        <v>43927</v>
      </c>
      <c r="B47">
        <v>49.990001999999997</v>
      </c>
      <c r="C47">
        <v>45</v>
      </c>
      <c r="D47">
        <f t="shared" si="0"/>
        <v>150.90923447137922</v>
      </c>
      <c r="E47">
        <v>16.950001</v>
      </c>
      <c r="F47">
        <v>45</v>
      </c>
      <c r="G47">
        <f t="shared" si="1"/>
        <v>30.267858928571432</v>
      </c>
      <c r="H47">
        <v>392.64999399999999</v>
      </c>
      <c r="I47">
        <v>45</v>
      </c>
      <c r="J47">
        <f t="shared" si="2"/>
        <v>1324.0204129962883</v>
      </c>
      <c r="K47">
        <f t="shared" si="3"/>
        <v>334.15105463494001</v>
      </c>
      <c r="L47">
        <v>-119.20260466414038</v>
      </c>
      <c r="Q47" s="1">
        <v>44202</v>
      </c>
      <c r="R47">
        <v>77.510002</v>
      </c>
      <c r="S47">
        <f t="shared" si="4"/>
        <v>1.7859487383861124E-2</v>
      </c>
      <c r="T47">
        <v>18.530000999999999</v>
      </c>
      <c r="U47">
        <f t="shared" si="5"/>
        <v>1.7014380736244672E-2</v>
      </c>
      <c r="V47">
        <v>1087.3100589999999</v>
      </c>
      <c r="W47">
        <f t="shared" si="6"/>
        <v>-2.8094044443696092E-2</v>
      </c>
    </row>
    <row r="48" spans="1:23">
      <c r="A48" s="1">
        <v>43928</v>
      </c>
      <c r="B48">
        <v>51.509998000000003</v>
      </c>
      <c r="C48">
        <v>46</v>
      </c>
      <c r="D48">
        <f t="shared" si="0"/>
        <v>147.34805799767724</v>
      </c>
      <c r="E48">
        <v>16.489999999999998</v>
      </c>
      <c r="F48">
        <v>46</v>
      </c>
      <c r="G48">
        <f t="shared" si="1"/>
        <v>28.212977686549987</v>
      </c>
      <c r="H48">
        <v>378.540009</v>
      </c>
      <c r="I48">
        <v>46</v>
      </c>
      <c r="J48">
        <f t="shared" si="2"/>
        <v>1162.6620599260725</v>
      </c>
      <c r="K48">
        <f t="shared" si="3"/>
        <v>-55.000634872832961</v>
      </c>
      <c r="L48">
        <v>-116.65765899861708</v>
      </c>
      <c r="Q48" s="1">
        <v>44203</v>
      </c>
      <c r="R48">
        <v>78.290001000000004</v>
      </c>
      <c r="S48">
        <f t="shared" si="4"/>
        <v>1.0063204488112433E-2</v>
      </c>
      <c r="T48">
        <v>18.760000000000002</v>
      </c>
      <c r="U48">
        <f t="shared" si="5"/>
        <v>1.2412249734903034E-2</v>
      </c>
      <c r="V48">
        <v>1159.530029</v>
      </c>
      <c r="W48">
        <f t="shared" si="6"/>
        <v>6.6420768760679802E-2</v>
      </c>
    </row>
    <row r="49" spans="1:23">
      <c r="A49" s="1">
        <v>43929</v>
      </c>
      <c r="B49">
        <v>53.299999</v>
      </c>
      <c r="C49">
        <v>47</v>
      </c>
      <c r="D49">
        <f t="shared" si="0"/>
        <v>147.96932931350531</v>
      </c>
      <c r="E49">
        <v>16.66</v>
      </c>
      <c r="F49">
        <v>47</v>
      </c>
      <c r="G49">
        <f t="shared" si="1"/>
        <v>29.298969072164951</v>
      </c>
      <c r="H49">
        <v>414.51001000000002</v>
      </c>
      <c r="I49">
        <v>47</v>
      </c>
      <c r="J49">
        <f t="shared" si="2"/>
        <v>1320.5977180076625</v>
      </c>
      <c r="K49">
        <f t="shared" si="3"/>
        <v>283.37326523285265</v>
      </c>
      <c r="L49">
        <v>-115.9743524522637</v>
      </c>
      <c r="Q49" s="1">
        <v>44204</v>
      </c>
      <c r="R49">
        <v>78.620002999999997</v>
      </c>
      <c r="S49">
        <f t="shared" si="4"/>
        <v>4.2151232058356119E-3</v>
      </c>
      <c r="T49">
        <v>18.48</v>
      </c>
      <c r="U49">
        <f t="shared" si="5"/>
        <v>-1.4925373134328417E-2</v>
      </c>
      <c r="V49">
        <v>1188.920044</v>
      </c>
      <c r="W49">
        <f t="shared" si="6"/>
        <v>2.5346488892009494E-2</v>
      </c>
    </row>
    <row r="50" spans="1:23">
      <c r="A50" s="1">
        <v>43930</v>
      </c>
      <c r="B50">
        <v>53.77</v>
      </c>
      <c r="C50">
        <v>48</v>
      </c>
      <c r="D50">
        <f t="shared" si="0"/>
        <v>144.26097831634107</v>
      </c>
      <c r="E50">
        <v>16.290001</v>
      </c>
      <c r="F50">
        <v>48</v>
      </c>
      <c r="G50">
        <f t="shared" si="1"/>
        <v>28.355944117647059</v>
      </c>
      <c r="H50">
        <v>417.73998999999998</v>
      </c>
      <c r="I50">
        <v>48</v>
      </c>
      <c r="J50">
        <f t="shared" si="2"/>
        <v>1215.397495322248</v>
      </c>
      <c r="K50">
        <f t="shared" si="3"/>
        <v>21.743935572612827</v>
      </c>
      <c r="L50">
        <v>-115.84557127766584</v>
      </c>
      <c r="Q50" s="1">
        <v>44207</v>
      </c>
      <c r="R50">
        <v>78.190002000000007</v>
      </c>
      <c r="S50">
        <f t="shared" si="4"/>
        <v>-5.4693587330439317E-3</v>
      </c>
      <c r="T50">
        <v>18.32</v>
      </c>
      <c r="U50">
        <f t="shared" si="5"/>
        <v>-8.6580086580086649E-3</v>
      </c>
      <c r="V50">
        <v>1177.6400149999999</v>
      </c>
      <c r="W50">
        <f t="shared" si="6"/>
        <v>-9.4876262343508884E-3</v>
      </c>
    </row>
    <row r="51" spans="1:23">
      <c r="A51" s="1">
        <v>43934</v>
      </c>
      <c r="B51">
        <v>53.049999</v>
      </c>
      <c r="C51">
        <v>49</v>
      </c>
      <c r="D51">
        <f t="shared" si="0"/>
        <v>141.08517494885623</v>
      </c>
      <c r="E51">
        <v>16.360001</v>
      </c>
      <c r="F51">
        <v>49</v>
      </c>
      <c r="G51">
        <f t="shared" si="1"/>
        <v>29.124616321386355</v>
      </c>
      <c r="H51">
        <v>447.45001200000002</v>
      </c>
      <c r="I51">
        <v>49</v>
      </c>
      <c r="J51">
        <f t="shared" si="2"/>
        <v>1291.771741728629</v>
      </c>
      <c r="K51">
        <f t="shared" si="3"/>
        <v>154.26447776661553</v>
      </c>
      <c r="L51">
        <v>-114.81472985800519</v>
      </c>
      <c r="Q51" s="1">
        <v>44208</v>
      </c>
      <c r="R51">
        <v>78.389999000000003</v>
      </c>
      <c r="S51">
        <f t="shared" si="4"/>
        <v>2.5578334171163751E-3</v>
      </c>
      <c r="T51">
        <v>18.879999000000002</v>
      </c>
      <c r="U51">
        <f t="shared" si="5"/>
        <v>3.056763100436688E-2</v>
      </c>
      <c r="V51">
        <v>1188.23999</v>
      </c>
      <c r="W51">
        <f t="shared" si="6"/>
        <v>9.0010316098167627E-3</v>
      </c>
    </row>
    <row r="52" spans="1:23">
      <c r="A52" s="1">
        <v>43935</v>
      </c>
      <c r="B52">
        <v>52.299999</v>
      </c>
      <c r="C52">
        <v>50</v>
      </c>
      <c r="D52">
        <f t="shared" si="0"/>
        <v>140.97832229930862</v>
      </c>
      <c r="E52">
        <v>16.25</v>
      </c>
      <c r="F52">
        <v>50</v>
      </c>
      <c r="G52">
        <f t="shared" si="1"/>
        <v>28.805010464241413</v>
      </c>
      <c r="H52">
        <v>496.05999800000001</v>
      </c>
      <c r="I52">
        <v>50</v>
      </c>
      <c r="J52">
        <f t="shared" si="2"/>
        <v>1337.0171897280002</v>
      </c>
      <c r="K52">
        <f t="shared" si="3"/>
        <v>238.89275941270716</v>
      </c>
      <c r="L52">
        <v>-114.70610568768097</v>
      </c>
      <c r="Q52" s="1">
        <v>44209</v>
      </c>
      <c r="R52">
        <v>78.199996999999996</v>
      </c>
      <c r="S52">
        <f t="shared" si="4"/>
        <v>-2.4238040875597775E-3</v>
      </c>
      <c r="T52">
        <v>18.510000000000002</v>
      </c>
      <c r="U52">
        <f t="shared" si="5"/>
        <v>-1.9597405699015129E-2</v>
      </c>
      <c r="V52">
        <v>1199.8199460000001</v>
      </c>
      <c r="W52">
        <f t="shared" si="6"/>
        <v>9.7454690108519561E-3</v>
      </c>
    </row>
    <row r="53" spans="1:23">
      <c r="A53" s="1">
        <v>43936</v>
      </c>
      <c r="B53">
        <v>49.209999000000003</v>
      </c>
      <c r="C53">
        <v>51</v>
      </c>
      <c r="D53">
        <f t="shared" si="0"/>
        <v>134.55124266828381</v>
      </c>
      <c r="E53">
        <v>15.18</v>
      </c>
      <c r="F53">
        <v>51</v>
      </c>
      <c r="G53">
        <f t="shared" si="1"/>
        <v>27.090461538461536</v>
      </c>
      <c r="H53">
        <v>497.17001299999998</v>
      </c>
      <c r="I53">
        <v>51</v>
      </c>
      <c r="J53">
        <f t="shared" si="2"/>
        <v>1208.6986213268499</v>
      </c>
      <c r="K53">
        <f t="shared" si="3"/>
        <v>-107.73340758653922</v>
      </c>
      <c r="L53">
        <v>-113.80864237503374</v>
      </c>
      <c r="Q53" s="1">
        <v>44210</v>
      </c>
      <c r="R53">
        <v>78.739998</v>
      </c>
      <c r="S53">
        <f t="shared" si="4"/>
        <v>6.9053838966260288E-3</v>
      </c>
      <c r="T53">
        <v>19.379999000000002</v>
      </c>
      <c r="U53">
        <f t="shared" si="5"/>
        <v>4.7001566720691515E-2</v>
      </c>
      <c r="V53">
        <v>1178.8599850000001</v>
      </c>
      <c r="W53">
        <f t="shared" si="6"/>
        <v>-1.7469255341084337E-2</v>
      </c>
    </row>
    <row r="54" spans="1:23">
      <c r="A54" s="1">
        <v>43937</v>
      </c>
      <c r="B54">
        <v>47.529998999999997</v>
      </c>
      <c r="C54">
        <v>52</v>
      </c>
      <c r="D54">
        <f t="shared" si="0"/>
        <v>138.11806533464875</v>
      </c>
      <c r="E54">
        <v>14.31</v>
      </c>
      <c r="F54">
        <v>52</v>
      </c>
      <c r="G54">
        <f t="shared" si="1"/>
        <v>27.337944664031621</v>
      </c>
      <c r="H54">
        <v>526.42999299999997</v>
      </c>
      <c r="I54">
        <v>52</v>
      </c>
      <c r="J54">
        <f t="shared" si="2"/>
        <v>1276.9767985946489</v>
      </c>
      <c r="K54">
        <f t="shared" si="3"/>
        <v>68.203420496260151</v>
      </c>
      <c r="L54">
        <v>-113.14646030761196</v>
      </c>
      <c r="Q54" s="1">
        <v>44211</v>
      </c>
      <c r="R54">
        <v>79.069999999999993</v>
      </c>
      <c r="S54">
        <f t="shared" si="4"/>
        <v>4.1910338885199523E-3</v>
      </c>
      <c r="T54">
        <v>18.329999999999998</v>
      </c>
      <c r="U54">
        <f t="shared" si="5"/>
        <v>-5.4179517759521206E-2</v>
      </c>
      <c r="V54">
        <v>1170.469971</v>
      </c>
      <c r="W54">
        <f t="shared" si="6"/>
        <v>-7.1170572474729167E-3</v>
      </c>
    </row>
    <row r="55" spans="1:23">
      <c r="A55" s="1">
        <v>43938</v>
      </c>
      <c r="B55">
        <v>49.84</v>
      </c>
      <c r="C55">
        <v>53</v>
      </c>
      <c r="D55">
        <f t="shared" si="0"/>
        <v>149.94992951714562</v>
      </c>
      <c r="E55">
        <v>15.23</v>
      </c>
      <c r="F55">
        <v>53</v>
      </c>
      <c r="G55">
        <f t="shared" si="1"/>
        <v>30.864430468204052</v>
      </c>
      <c r="H55">
        <v>590.39001499999995</v>
      </c>
      <c r="I55">
        <v>53</v>
      </c>
      <c r="J55">
        <f t="shared" si="2"/>
        <v>1352.5262001741607</v>
      </c>
      <c r="K55">
        <f t="shared" si="3"/>
        <v>390.51815254283792</v>
      </c>
      <c r="L55">
        <v>-108.55534642348357</v>
      </c>
      <c r="Q55" s="1">
        <v>44215</v>
      </c>
      <c r="R55">
        <v>78.900002000000001</v>
      </c>
      <c r="S55">
        <f t="shared" si="4"/>
        <v>-2.1499683824458397E-3</v>
      </c>
      <c r="T55">
        <v>18.280000999999999</v>
      </c>
      <c r="U55">
        <f t="shared" si="5"/>
        <v>-2.7277141298417723E-3</v>
      </c>
      <c r="V55">
        <v>1173.969971</v>
      </c>
      <c r="W55">
        <f t="shared" si="6"/>
        <v>2.9902518532874006E-3</v>
      </c>
    </row>
    <row r="56" spans="1:23">
      <c r="A56" s="1">
        <v>43941</v>
      </c>
      <c r="B56">
        <v>48.919998</v>
      </c>
      <c r="C56">
        <v>54</v>
      </c>
      <c r="D56">
        <f t="shared" si="0"/>
        <v>140.36034739165328</v>
      </c>
      <c r="E56">
        <v>14.75</v>
      </c>
      <c r="F56">
        <v>54</v>
      </c>
      <c r="G56">
        <f t="shared" si="1"/>
        <v>28.086014445173998</v>
      </c>
      <c r="H56">
        <v>629.90002400000003</v>
      </c>
      <c r="I56">
        <v>54</v>
      </c>
      <c r="J56">
        <f t="shared" si="2"/>
        <v>1286.7077857744598</v>
      </c>
      <c r="K56">
        <f t="shared" si="3"/>
        <v>121.30926214306237</v>
      </c>
      <c r="L56">
        <v>-107.73340758653922</v>
      </c>
      <c r="Q56" s="1">
        <v>44216</v>
      </c>
      <c r="R56">
        <v>78.730002999999996</v>
      </c>
      <c r="S56">
        <f t="shared" si="4"/>
        <v>-2.1546133801112481E-3</v>
      </c>
      <c r="T56">
        <v>18.239999999999998</v>
      </c>
      <c r="U56">
        <f t="shared" si="5"/>
        <v>-2.1882383923283251E-3</v>
      </c>
      <c r="V56">
        <v>1200.9799800000001</v>
      </c>
      <c r="W56">
        <f t="shared" si="6"/>
        <v>2.3007410468082648E-2</v>
      </c>
    </row>
    <row r="57" spans="1:23">
      <c r="A57" s="1">
        <v>43942</v>
      </c>
      <c r="B57">
        <v>46.889999000000003</v>
      </c>
      <c r="C57">
        <v>55</v>
      </c>
      <c r="D57">
        <f t="shared" si="0"/>
        <v>137.06602884570847</v>
      </c>
      <c r="E57">
        <v>14.57</v>
      </c>
      <c r="F57">
        <v>55</v>
      </c>
      <c r="G57">
        <f t="shared" si="1"/>
        <v>28.646101694915256</v>
      </c>
      <c r="H57">
        <v>585</v>
      </c>
      <c r="I57">
        <v>55</v>
      </c>
      <c r="J57">
        <f t="shared" si="2"/>
        <v>1120.0348835039892</v>
      </c>
      <c r="K57">
        <f t="shared" si="3"/>
        <v>-236.57841911120795</v>
      </c>
      <c r="L57">
        <v>-105.38491302134935</v>
      </c>
      <c r="Q57" s="1">
        <v>44217</v>
      </c>
      <c r="R57">
        <v>77.720000999999996</v>
      </c>
      <c r="S57">
        <f t="shared" si="4"/>
        <v>-1.282867981092291E-2</v>
      </c>
      <c r="T57">
        <v>18.139999</v>
      </c>
      <c r="U57">
        <f t="shared" si="5"/>
        <v>-5.4825109649122208E-3</v>
      </c>
      <c r="V57">
        <v>1198.150024</v>
      </c>
      <c r="W57">
        <f t="shared" si="6"/>
        <v>-2.3563723351991582E-3</v>
      </c>
    </row>
    <row r="58" spans="1:23">
      <c r="A58" s="1">
        <v>43943</v>
      </c>
      <c r="B58">
        <v>47.450001</v>
      </c>
      <c r="C58">
        <v>56</v>
      </c>
      <c r="D58">
        <f t="shared" si="0"/>
        <v>144.70783296455176</v>
      </c>
      <c r="E58">
        <v>15.52</v>
      </c>
      <c r="F58">
        <v>56</v>
      </c>
      <c r="G58">
        <f t="shared" si="1"/>
        <v>30.890871654083732</v>
      </c>
      <c r="H58">
        <v>626.55999799999995</v>
      </c>
      <c r="I58">
        <v>56</v>
      </c>
      <c r="J58">
        <f t="shared" si="2"/>
        <v>1291.6775343384613</v>
      </c>
      <c r="K58">
        <f t="shared" si="3"/>
        <v>216.79647313369605</v>
      </c>
      <c r="L58">
        <v>-104.88536463383571</v>
      </c>
      <c r="Q58" s="1">
        <v>44218</v>
      </c>
      <c r="R58">
        <v>76.669998000000007</v>
      </c>
      <c r="S58">
        <f t="shared" si="4"/>
        <v>-1.351007445303545E-2</v>
      </c>
      <c r="T58">
        <v>17.700001</v>
      </c>
      <c r="U58">
        <f t="shared" si="5"/>
        <v>-2.4255679396674678E-2</v>
      </c>
      <c r="V58">
        <v>1196.6999510000001</v>
      </c>
      <c r="W58">
        <f t="shared" si="6"/>
        <v>-1.2102599598996251E-3</v>
      </c>
    </row>
    <row r="59" spans="1:23">
      <c r="A59" s="1">
        <v>43944</v>
      </c>
      <c r="B59">
        <v>47.57</v>
      </c>
      <c r="C59">
        <v>57</v>
      </c>
      <c r="D59">
        <f t="shared" si="0"/>
        <v>143.36164081429629</v>
      </c>
      <c r="E59">
        <v>15.69</v>
      </c>
      <c r="F59">
        <v>57</v>
      </c>
      <c r="G59">
        <f t="shared" si="1"/>
        <v>29.317654639175259</v>
      </c>
      <c r="H59">
        <v>620.48999000000003</v>
      </c>
      <c r="I59">
        <v>57</v>
      </c>
      <c r="J59">
        <f t="shared" si="2"/>
        <v>1194.3164746051984</v>
      </c>
      <c r="K59">
        <f t="shared" si="3"/>
        <v>-14.985823059011636</v>
      </c>
      <c r="L59">
        <v>-104.26201623172528</v>
      </c>
      <c r="Q59" s="1">
        <v>44221</v>
      </c>
      <c r="R59">
        <v>77</v>
      </c>
      <c r="S59">
        <f t="shared" si="4"/>
        <v>4.3041868867662314E-3</v>
      </c>
      <c r="T59">
        <v>17.52</v>
      </c>
      <c r="U59">
        <f t="shared" si="5"/>
        <v>-1.0169547448048209E-2</v>
      </c>
      <c r="V59">
        <v>1205.920044</v>
      </c>
      <c r="W59">
        <f t="shared" si="6"/>
        <v>7.7045987946229187E-3</v>
      </c>
    </row>
    <row r="60" spans="1:23">
      <c r="A60" s="1">
        <v>43945</v>
      </c>
      <c r="B60">
        <v>47.939999</v>
      </c>
      <c r="C60">
        <v>58</v>
      </c>
      <c r="D60">
        <f t="shared" si="0"/>
        <v>144.11225261719571</v>
      </c>
      <c r="E60">
        <v>15.6</v>
      </c>
      <c r="F60">
        <v>58</v>
      </c>
      <c r="G60">
        <f t="shared" si="1"/>
        <v>28.833652007648183</v>
      </c>
      <c r="H60">
        <v>643.19000200000005</v>
      </c>
      <c r="I60">
        <v>58</v>
      </c>
      <c r="J60">
        <f t="shared" si="2"/>
        <v>1250.1203160618272</v>
      </c>
      <c r="K60">
        <f t="shared" si="3"/>
        <v>96.867938410334318</v>
      </c>
      <c r="L60">
        <v>-103.33063517124992</v>
      </c>
      <c r="Q60" s="1">
        <v>44222</v>
      </c>
      <c r="R60">
        <v>77.150002000000001</v>
      </c>
      <c r="S60">
        <f t="shared" si="4"/>
        <v>1.9480779220779304E-3</v>
      </c>
      <c r="T60">
        <v>17.200001</v>
      </c>
      <c r="U60">
        <f t="shared" si="5"/>
        <v>-1.8264783105022789E-2</v>
      </c>
      <c r="V60">
        <v>1159.7700199999999</v>
      </c>
      <c r="W60">
        <f t="shared" si="6"/>
        <v>-3.8269555456530775E-2</v>
      </c>
    </row>
    <row r="61" spans="1:23">
      <c r="A61" s="1">
        <v>43948</v>
      </c>
      <c r="B61">
        <v>49.73</v>
      </c>
      <c r="C61">
        <v>59</v>
      </c>
      <c r="D61">
        <f t="shared" si="0"/>
        <v>148.33938565580695</v>
      </c>
      <c r="E61">
        <v>15.81</v>
      </c>
      <c r="F61">
        <v>59</v>
      </c>
      <c r="G61">
        <f t="shared" si="1"/>
        <v>29.390384615384615</v>
      </c>
      <c r="H61">
        <v>628.580017</v>
      </c>
      <c r="I61">
        <v>59</v>
      </c>
      <c r="J61">
        <f t="shared" si="2"/>
        <v>1178.6058523061431</v>
      </c>
      <c r="K61">
        <f t="shared" si="3"/>
        <v>4.4613304011254513</v>
      </c>
      <c r="L61">
        <v>-102.80013936938212</v>
      </c>
      <c r="Q61" s="1">
        <v>44223</v>
      </c>
      <c r="R61">
        <v>75.819999999999993</v>
      </c>
      <c r="S61">
        <f t="shared" si="4"/>
        <v>-1.723917000028085E-2</v>
      </c>
      <c r="T61">
        <v>17.139999</v>
      </c>
      <c r="U61">
        <f t="shared" si="5"/>
        <v>-3.4884881692739886E-3</v>
      </c>
      <c r="V61">
        <v>1092.079956</v>
      </c>
      <c r="W61">
        <f t="shared" si="6"/>
        <v>-5.8365074827507524E-2</v>
      </c>
    </row>
    <row r="62" spans="1:23">
      <c r="A62" s="1">
        <v>43949</v>
      </c>
      <c r="B62">
        <v>50.91</v>
      </c>
      <c r="C62">
        <v>60</v>
      </c>
      <c r="D62">
        <f t="shared" si="0"/>
        <v>146.39312286346268</v>
      </c>
      <c r="E62">
        <v>16.670000000000002</v>
      </c>
      <c r="F62">
        <v>60</v>
      </c>
      <c r="G62">
        <f t="shared" si="1"/>
        <v>30.577482605945608</v>
      </c>
      <c r="H62">
        <v>633.65002400000003</v>
      </c>
      <c r="I62">
        <v>60</v>
      </c>
      <c r="J62">
        <f t="shared" si="2"/>
        <v>1215.7273668850978</v>
      </c>
      <c r="K62">
        <f t="shared" si="3"/>
        <v>77.048201494006207</v>
      </c>
      <c r="L62">
        <v>-102.3751839513634</v>
      </c>
      <c r="Q62" s="1">
        <v>44224</v>
      </c>
      <c r="R62">
        <v>76.690002000000007</v>
      </c>
      <c r="S62">
        <f t="shared" si="4"/>
        <v>1.1474571353205142E-2</v>
      </c>
      <c r="T62">
        <v>17.190000999999999</v>
      </c>
      <c r="U62">
        <f t="shared" si="5"/>
        <v>2.9172697151265419E-3</v>
      </c>
      <c r="V62">
        <v>1120.5699460000001</v>
      </c>
      <c r="W62">
        <f t="shared" si="6"/>
        <v>2.6087824287473721E-2</v>
      </c>
    </row>
    <row r="63" spans="1:23">
      <c r="A63" s="1">
        <v>43950</v>
      </c>
      <c r="B63">
        <v>53.759998000000003</v>
      </c>
      <c r="C63">
        <v>61</v>
      </c>
      <c r="D63">
        <f t="shared" si="0"/>
        <v>151.00529785896683</v>
      </c>
      <c r="E63">
        <v>19.02</v>
      </c>
      <c r="F63">
        <v>61</v>
      </c>
      <c r="G63">
        <f t="shared" si="1"/>
        <v>33.088182363527295</v>
      </c>
      <c r="H63">
        <v>639.98999000000003</v>
      </c>
      <c r="I63">
        <v>61</v>
      </c>
      <c r="J63">
        <f t="shared" si="2"/>
        <v>1218.0665962383046</v>
      </c>
      <c r="K63">
        <f t="shared" si="3"/>
        <v>165.50890651918689</v>
      </c>
      <c r="L63">
        <v>-101.97591871501754</v>
      </c>
      <c r="Q63" s="1">
        <v>44225</v>
      </c>
      <c r="R63">
        <v>74.309997999999993</v>
      </c>
      <c r="S63">
        <f t="shared" si="4"/>
        <v>-3.1034084469055218E-2</v>
      </c>
      <c r="T63">
        <v>16.73</v>
      </c>
      <c r="U63">
        <f t="shared" si="5"/>
        <v>-2.675980065388003E-2</v>
      </c>
      <c r="V63">
        <v>1098.589966</v>
      </c>
      <c r="W63">
        <f t="shared" si="6"/>
        <v>-1.9615000454420599E-2</v>
      </c>
    </row>
    <row r="64" spans="1:23">
      <c r="A64" s="1">
        <v>43951</v>
      </c>
      <c r="B64">
        <v>50.900002000000001</v>
      </c>
      <c r="C64">
        <v>62</v>
      </c>
      <c r="D64">
        <f t="shared" si="0"/>
        <v>135.39249547591129</v>
      </c>
      <c r="E64">
        <v>17.850000000000001</v>
      </c>
      <c r="F64">
        <v>62</v>
      </c>
      <c r="G64">
        <f t="shared" si="1"/>
        <v>27.216088328075717</v>
      </c>
      <c r="H64">
        <v>632.28997800000002</v>
      </c>
      <c r="I64">
        <v>62</v>
      </c>
      <c r="J64">
        <f t="shared" si="2"/>
        <v>1191.4900629430158</v>
      </c>
      <c r="K64">
        <f t="shared" si="3"/>
        <v>-131.85359443371999</v>
      </c>
      <c r="L64">
        <v>-101.64283584054556</v>
      </c>
      <c r="Q64" s="1">
        <v>44228</v>
      </c>
      <c r="R64">
        <v>74.480002999999996</v>
      </c>
      <c r="S64">
        <f t="shared" si="4"/>
        <v>2.2877809793508987E-3</v>
      </c>
      <c r="T64">
        <v>16.790001</v>
      </c>
      <c r="U64">
        <f t="shared" si="5"/>
        <v>3.5864315600717123E-3</v>
      </c>
      <c r="V64">
        <v>1144.9300539999999</v>
      </c>
      <c r="W64">
        <f t="shared" si="6"/>
        <v>4.2181422945929151E-2</v>
      </c>
    </row>
    <row r="65" spans="1:23">
      <c r="A65" s="1">
        <v>43952</v>
      </c>
      <c r="B65">
        <v>48.779998999999997</v>
      </c>
      <c r="C65">
        <v>63</v>
      </c>
      <c r="D65">
        <f t="shared" si="0"/>
        <v>137.04399966428292</v>
      </c>
      <c r="E65">
        <v>17.170000000000002</v>
      </c>
      <c r="F65">
        <v>63</v>
      </c>
      <c r="G65">
        <f t="shared" si="1"/>
        <v>27.895238095238096</v>
      </c>
      <c r="H65">
        <v>613.64001499999995</v>
      </c>
      <c r="I65">
        <v>63</v>
      </c>
      <c r="J65">
        <f t="shared" si="2"/>
        <v>1170.42794262034</v>
      </c>
      <c r="K65">
        <f t="shared" si="3"/>
        <v>-147.2755466879189</v>
      </c>
      <c r="L65">
        <v>-101.38048758572677</v>
      </c>
      <c r="Q65" s="1">
        <v>44229</v>
      </c>
      <c r="R65">
        <v>75.410004000000001</v>
      </c>
      <c r="S65">
        <f t="shared" si="4"/>
        <v>1.2486586500271816E-2</v>
      </c>
      <c r="T65">
        <v>16.850000000000001</v>
      </c>
      <c r="U65">
        <f t="shared" si="5"/>
        <v>3.5734959158133014E-3</v>
      </c>
      <c r="V65">
        <v>1235.349976</v>
      </c>
      <c r="W65">
        <f t="shared" si="6"/>
        <v>7.8974188583925534E-2</v>
      </c>
    </row>
    <row r="66" spans="1:23">
      <c r="A66" s="1">
        <v>43955</v>
      </c>
      <c r="B66">
        <v>48.57</v>
      </c>
      <c r="C66">
        <v>64</v>
      </c>
      <c r="D66">
        <f t="shared" si="0"/>
        <v>142.38438176269747</v>
      </c>
      <c r="E66">
        <v>16.829999999999998</v>
      </c>
      <c r="F66">
        <v>64</v>
      </c>
      <c r="G66">
        <f t="shared" si="1"/>
        <v>28.42574257425742</v>
      </c>
      <c r="H66">
        <v>658.89001499999995</v>
      </c>
      <c r="I66">
        <v>64</v>
      </c>
      <c r="J66">
        <f t="shared" si="2"/>
        <v>1294.9308041621114</v>
      </c>
      <c r="K66">
        <f t="shared" si="3"/>
        <v>163.09156456505843</v>
      </c>
      <c r="L66">
        <v>-101.14324377694356</v>
      </c>
      <c r="Q66" s="1">
        <v>44230</v>
      </c>
      <c r="R66">
        <v>75.199996999999996</v>
      </c>
      <c r="S66">
        <f t="shared" si="4"/>
        <v>-2.7848692329999676E-3</v>
      </c>
      <c r="T66">
        <v>17.469999000000001</v>
      </c>
      <c r="U66">
        <f t="shared" si="5"/>
        <v>3.6795192878338275E-2</v>
      </c>
      <c r="V66">
        <v>1224.160034</v>
      </c>
      <c r="W66">
        <f t="shared" si="6"/>
        <v>-9.0581148803130541E-3</v>
      </c>
    </row>
    <row r="67" spans="1:23">
      <c r="A67" s="1">
        <v>43956</v>
      </c>
      <c r="B67">
        <v>48.189999</v>
      </c>
      <c r="C67">
        <v>65</v>
      </c>
      <c r="D67">
        <f t="shared" si="0"/>
        <v>141.8811994441013</v>
      </c>
      <c r="E67">
        <v>16.57</v>
      </c>
      <c r="F67">
        <v>65</v>
      </c>
      <c r="G67">
        <f t="shared" si="1"/>
        <v>28.551990493166969</v>
      </c>
      <c r="H67">
        <v>686.10998500000005</v>
      </c>
      <c r="I67">
        <v>65</v>
      </c>
      <c r="J67">
        <f t="shared" si="2"/>
        <v>1255.8220993984862</v>
      </c>
      <c r="K67">
        <f t="shared" si="3"/>
        <v>81.736050635489846</v>
      </c>
      <c r="L67">
        <v>-100.91698919212831</v>
      </c>
      <c r="Q67" s="1">
        <v>44231</v>
      </c>
      <c r="R67">
        <v>76.400002000000001</v>
      </c>
      <c r="S67">
        <f t="shared" si="4"/>
        <v>1.5957513934475351E-2</v>
      </c>
      <c r="T67">
        <v>17.16</v>
      </c>
      <c r="U67">
        <f t="shared" si="5"/>
        <v>-1.7744648983666296E-2</v>
      </c>
      <c r="V67">
        <v>1260.869995</v>
      </c>
      <c r="W67">
        <f t="shared" si="6"/>
        <v>2.9987877385645824E-2</v>
      </c>
    </row>
    <row r="68" spans="1:23">
      <c r="A68" s="1">
        <v>43957</v>
      </c>
      <c r="B68">
        <v>47.939999</v>
      </c>
      <c r="C68">
        <v>66</v>
      </c>
      <c r="D68">
        <f t="shared" ref="D68:D131" si="7">143*B68/B67</f>
        <v>142.2581448279341</v>
      </c>
      <c r="E68">
        <v>15.94</v>
      </c>
      <c r="F68">
        <v>66</v>
      </c>
      <c r="G68">
        <f t="shared" ref="G68:G131" si="8">29 *E68/E67</f>
        <v>27.897404948702473</v>
      </c>
      <c r="H68">
        <v>733.53002900000001</v>
      </c>
      <c r="I68">
        <v>66</v>
      </c>
      <c r="J68">
        <f t="shared" ref="J68:J131" si="9">1206 *H68/H67</f>
        <v>1289.3519032141762</v>
      </c>
      <c r="K68">
        <f t="shared" ref="K68:K131" si="10">(1430*D68/143+435*G68/29+2412*J68/1206)-1430-435-2412</f>
        <v>142.74632893823036</v>
      </c>
      <c r="L68">
        <v>-98.231001951622602</v>
      </c>
      <c r="Q68" s="1">
        <v>44232</v>
      </c>
      <c r="R68">
        <v>76.639999000000003</v>
      </c>
      <c r="S68">
        <f t="shared" ref="S68:S131" si="11">(R68-R67)/R67</f>
        <v>3.14132190729527E-3</v>
      </c>
      <c r="T68">
        <v>17.260000000000002</v>
      </c>
      <c r="U68">
        <f t="shared" ref="U68:U131" si="12">(T68-T67)/T67</f>
        <v>5.8275058275059103E-3</v>
      </c>
      <c r="V68">
        <v>1287.75</v>
      </c>
      <c r="W68">
        <f t="shared" ref="W68:W131" si="13">(V68-V67)/V67</f>
        <v>2.131861738846437E-2</v>
      </c>
    </row>
    <row r="69" spans="1:23">
      <c r="A69" s="1">
        <v>43958</v>
      </c>
      <c r="B69">
        <v>48</v>
      </c>
      <c r="C69">
        <v>67</v>
      </c>
      <c r="D69">
        <f t="shared" si="7"/>
        <v>143.17897670377508</v>
      </c>
      <c r="E69">
        <v>16.530000999999999</v>
      </c>
      <c r="F69">
        <v>67</v>
      </c>
      <c r="G69">
        <f t="shared" si="8"/>
        <v>30.073402070263484</v>
      </c>
      <c r="H69">
        <v>722.76000999999997</v>
      </c>
      <c r="I69">
        <v>67</v>
      </c>
      <c r="J69">
        <f t="shared" si="9"/>
        <v>1188.2929636136273</v>
      </c>
      <c r="K69">
        <f t="shared" si="10"/>
        <v>-17.523274681042494</v>
      </c>
      <c r="L69">
        <v>-97.465596983265641</v>
      </c>
      <c r="Q69" s="1">
        <v>44235</v>
      </c>
      <c r="R69">
        <v>76.790001000000004</v>
      </c>
      <c r="S69">
        <f t="shared" si="11"/>
        <v>1.9572286267905696E-3</v>
      </c>
      <c r="T69">
        <v>17.66</v>
      </c>
      <c r="U69">
        <f t="shared" si="12"/>
        <v>2.3174971031286126E-2</v>
      </c>
      <c r="V69">
        <v>1345.089966</v>
      </c>
      <c r="W69">
        <f t="shared" si="13"/>
        <v>4.4527249854397211E-2</v>
      </c>
    </row>
    <row r="70" spans="1:23">
      <c r="A70" s="1">
        <v>43959</v>
      </c>
      <c r="B70">
        <v>49.080002</v>
      </c>
      <c r="C70">
        <v>68</v>
      </c>
      <c r="D70">
        <f t="shared" si="7"/>
        <v>146.21750595833333</v>
      </c>
      <c r="E70">
        <v>17.100000000000001</v>
      </c>
      <c r="F70">
        <v>68</v>
      </c>
      <c r="G70">
        <f t="shared" si="8"/>
        <v>29.999998185118081</v>
      </c>
      <c r="H70">
        <v>708.96997099999999</v>
      </c>
      <c r="I70">
        <v>68</v>
      </c>
      <c r="J70">
        <f t="shared" si="9"/>
        <v>1182.9898904146621</v>
      </c>
      <c r="K70">
        <f t="shared" si="10"/>
        <v>1.1548131894287508</v>
      </c>
      <c r="L70">
        <v>-95.810567274413188</v>
      </c>
      <c r="Q70" s="1">
        <v>44236</v>
      </c>
      <c r="R70">
        <v>76.860000999999997</v>
      </c>
      <c r="S70">
        <f t="shared" si="11"/>
        <v>9.1157701638776094E-4</v>
      </c>
      <c r="T70">
        <v>17.829999999999998</v>
      </c>
      <c r="U70">
        <f t="shared" si="12"/>
        <v>9.6262740656850587E-3</v>
      </c>
      <c r="V70">
        <v>1432.98999</v>
      </c>
      <c r="W70">
        <f t="shared" si="13"/>
        <v>6.5348806564512002E-2</v>
      </c>
    </row>
    <row r="71" spans="1:23">
      <c r="A71" s="1">
        <v>43962</v>
      </c>
      <c r="B71">
        <v>48.98</v>
      </c>
      <c r="C71">
        <v>69</v>
      </c>
      <c r="D71">
        <f t="shared" si="7"/>
        <v>142.70863314145748</v>
      </c>
      <c r="E71">
        <v>16.969999000000001</v>
      </c>
      <c r="F71">
        <v>69</v>
      </c>
      <c r="G71">
        <f t="shared" si="8"/>
        <v>28.77953046783626</v>
      </c>
      <c r="H71">
        <v>750.34002699999996</v>
      </c>
      <c r="I71">
        <v>69</v>
      </c>
      <c r="J71">
        <f t="shared" si="9"/>
        <v>1276.3729206832654</v>
      </c>
      <c r="K71">
        <f t="shared" si="10"/>
        <v>134.52512979864969</v>
      </c>
      <c r="L71">
        <v>-95.241980771387716</v>
      </c>
      <c r="Q71" s="1">
        <v>44237</v>
      </c>
      <c r="R71">
        <v>76.580001999999993</v>
      </c>
      <c r="S71">
        <f t="shared" si="11"/>
        <v>-3.6429741914783954E-3</v>
      </c>
      <c r="T71">
        <v>18.110001</v>
      </c>
      <c r="U71">
        <f t="shared" si="12"/>
        <v>1.5703925967470677E-2</v>
      </c>
      <c r="V71">
        <v>1462.420044</v>
      </c>
      <c r="W71">
        <f t="shared" si="13"/>
        <v>2.0537515408603744E-2</v>
      </c>
    </row>
    <row r="72" spans="1:23">
      <c r="A72" s="1">
        <v>43963</v>
      </c>
      <c r="B72">
        <v>47.849997999999999</v>
      </c>
      <c r="C72">
        <v>70</v>
      </c>
      <c r="D72">
        <f t="shared" si="7"/>
        <v>139.70089248672929</v>
      </c>
      <c r="E72">
        <v>16.84</v>
      </c>
      <c r="F72">
        <v>70</v>
      </c>
      <c r="G72">
        <f t="shared" si="8"/>
        <v>28.777844948606067</v>
      </c>
      <c r="H72">
        <v>742.28002900000001</v>
      </c>
      <c r="I72">
        <v>70</v>
      </c>
      <c r="J72">
        <f t="shared" si="9"/>
        <v>1193.0453964359815</v>
      </c>
      <c r="K72">
        <f t="shared" si="10"/>
        <v>-62.232608031652489</v>
      </c>
      <c r="L72">
        <v>-95.120878774255289</v>
      </c>
      <c r="Q72" s="1">
        <v>44238</v>
      </c>
      <c r="R72">
        <v>76.25</v>
      </c>
      <c r="S72">
        <f t="shared" si="11"/>
        <v>-4.3092451212000922E-3</v>
      </c>
      <c r="T72">
        <v>17.829999999999998</v>
      </c>
      <c r="U72">
        <f t="shared" si="12"/>
        <v>-1.5461125595741389E-2</v>
      </c>
      <c r="V72">
        <v>1463.3100589999999</v>
      </c>
      <c r="W72">
        <f t="shared" si="13"/>
        <v>6.0859053707003796E-4</v>
      </c>
    </row>
    <row r="73" spans="1:23">
      <c r="A73" s="1">
        <v>43964</v>
      </c>
      <c r="B73">
        <v>45.310001</v>
      </c>
      <c r="C73">
        <v>71</v>
      </c>
      <c r="D73">
        <f t="shared" si="7"/>
        <v>135.40920405054146</v>
      </c>
      <c r="E73">
        <v>15.85</v>
      </c>
      <c r="F73">
        <v>71</v>
      </c>
      <c r="G73">
        <f t="shared" si="8"/>
        <v>27.295130641330164</v>
      </c>
      <c r="H73">
        <v>754.38000499999998</v>
      </c>
      <c r="I73">
        <v>71</v>
      </c>
      <c r="J73">
        <f t="shared" si="9"/>
        <v>1225.6591185076866</v>
      </c>
      <c r="K73">
        <f t="shared" si="10"/>
        <v>-62.162762859259601</v>
      </c>
      <c r="L73">
        <v>-94.493286044431443</v>
      </c>
      <c r="Q73" s="1">
        <v>44239</v>
      </c>
      <c r="R73">
        <v>76.860000999999997</v>
      </c>
      <c r="S73">
        <f t="shared" si="11"/>
        <v>8.0000131147540572E-3</v>
      </c>
      <c r="T73">
        <v>18.030000999999999</v>
      </c>
      <c r="U73">
        <f t="shared" si="12"/>
        <v>1.1217106001121723E-2</v>
      </c>
      <c r="V73">
        <v>1455.48999</v>
      </c>
      <c r="W73">
        <f t="shared" si="13"/>
        <v>-5.3440957040532967E-3</v>
      </c>
    </row>
    <row r="74" spans="1:23">
      <c r="A74" s="1">
        <v>43965</v>
      </c>
      <c r="B74">
        <v>44.959999000000003</v>
      </c>
      <c r="C74">
        <v>72</v>
      </c>
      <c r="D74">
        <f t="shared" si="7"/>
        <v>141.8953810440216</v>
      </c>
      <c r="E74">
        <v>15.8</v>
      </c>
      <c r="F74">
        <v>72</v>
      </c>
      <c r="G74">
        <f t="shared" si="8"/>
        <v>28.908517350157734</v>
      </c>
      <c r="H74">
        <v>754.28997800000002</v>
      </c>
      <c r="I74">
        <v>72</v>
      </c>
      <c r="J74">
        <f t="shared" si="9"/>
        <v>1205.8560770947263</v>
      </c>
      <c r="K74">
        <f t="shared" si="10"/>
        <v>-12.706275117965561</v>
      </c>
      <c r="L74">
        <v>-93.995686282657516</v>
      </c>
      <c r="Q74" s="1">
        <v>44243</v>
      </c>
      <c r="R74">
        <v>77.489998</v>
      </c>
      <c r="S74">
        <f t="shared" si="11"/>
        <v>8.1966821728248884E-3</v>
      </c>
      <c r="T74">
        <v>18.790001</v>
      </c>
      <c r="U74">
        <f t="shared" si="12"/>
        <v>4.21519666027751E-2</v>
      </c>
      <c r="V74">
        <v>1474</v>
      </c>
      <c r="W74">
        <f t="shared" si="13"/>
        <v>1.271737361793877E-2</v>
      </c>
    </row>
    <row r="75" spans="1:23">
      <c r="A75" s="1">
        <v>43966</v>
      </c>
      <c r="B75">
        <v>44.310001</v>
      </c>
      <c r="C75">
        <v>73</v>
      </c>
      <c r="D75">
        <f t="shared" si="7"/>
        <v>140.93261307679299</v>
      </c>
      <c r="E75">
        <v>16.149999999999999</v>
      </c>
      <c r="F75">
        <v>73</v>
      </c>
      <c r="G75">
        <f t="shared" si="8"/>
        <v>29.642405063291136</v>
      </c>
      <c r="H75">
        <v>767</v>
      </c>
      <c r="I75">
        <v>73</v>
      </c>
      <c r="J75">
        <f t="shared" si="9"/>
        <v>1226.3214771229534</v>
      </c>
      <c r="K75">
        <f t="shared" si="10"/>
        <v>29.605160963204071</v>
      </c>
      <c r="L75">
        <v>-93.6395960933678</v>
      </c>
      <c r="Q75" s="1">
        <v>44244</v>
      </c>
      <c r="R75">
        <v>78.279999000000004</v>
      </c>
      <c r="S75">
        <f t="shared" si="11"/>
        <v>1.0194877021418993E-2</v>
      </c>
      <c r="T75">
        <v>19.049999</v>
      </c>
      <c r="U75">
        <f t="shared" si="12"/>
        <v>1.3837040242839769E-2</v>
      </c>
      <c r="V75">
        <v>1425</v>
      </c>
      <c r="W75">
        <f t="shared" si="13"/>
        <v>-3.3242876526458617E-2</v>
      </c>
    </row>
    <row r="76" spans="1:23">
      <c r="A76" s="1">
        <v>43969</v>
      </c>
      <c r="B76">
        <v>47.689999</v>
      </c>
      <c r="C76">
        <v>74</v>
      </c>
      <c r="D76">
        <f t="shared" si="7"/>
        <v>153.90814044441117</v>
      </c>
      <c r="E76">
        <v>17.23</v>
      </c>
      <c r="F76">
        <v>74</v>
      </c>
      <c r="G76">
        <f t="shared" si="8"/>
        <v>30.93931888544892</v>
      </c>
      <c r="H76">
        <v>738.02002000000005</v>
      </c>
      <c r="I76">
        <v>74</v>
      </c>
      <c r="J76">
        <f t="shared" si="9"/>
        <v>1160.4330431812257</v>
      </c>
      <c r="K76">
        <f t="shared" si="10"/>
        <v>47.037274088296726</v>
      </c>
      <c r="L76">
        <v>-92.721857266669758</v>
      </c>
      <c r="Q76" s="1">
        <v>44245</v>
      </c>
      <c r="R76">
        <v>78.620002999999997</v>
      </c>
      <c r="S76">
        <f t="shared" si="11"/>
        <v>4.343433882772447E-3</v>
      </c>
      <c r="T76">
        <v>18.77</v>
      </c>
      <c r="U76">
        <f t="shared" si="12"/>
        <v>-1.4698111007774862E-2</v>
      </c>
      <c r="V76">
        <v>1384.5699460000001</v>
      </c>
      <c r="W76">
        <f t="shared" si="13"/>
        <v>-2.8371967719298195E-2</v>
      </c>
    </row>
    <row r="77" spans="1:23">
      <c r="A77" s="1">
        <v>43970</v>
      </c>
      <c r="B77">
        <v>46.799999</v>
      </c>
      <c r="C77">
        <v>75</v>
      </c>
      <c r="D77">
        <f t="shared" si="7"/>
        <v>140.33130629757406</v>
      </c>
      <c r="E77">
        <v>17.200001</v>
      </c>
      <c r="F77">
        <v>75</v>
      </c>
      <c r="G77">
        <f t="shared" si="8"/>
        <v>28.94950835751596</v>
      </c>
      <c r="H77">
        <v>753.01000999999997</v>
      </c>
      <c r="I77">
        <v>75</v>
      </c>
      <c r="J77">
        <f t="shared" si="9"/>
        <v>1230.4951728274252</v>
      </c>
      <c r="K77">
        <f t="shared" si="10"/>
        <v>21.546033993330639</v>
      </c>
      <c r="L77">
        <v>-92.493957344496266</v>
      </c>
      <c r="Q77" s="1">
        <v>44246</v>
      </c>
      <c r="R77">
        <v>80.290001000000004</v>
      </c>
      <c r="S77">
        <f t="shared" si="11"/>
        <v>2.1241388149018599E-2</v>
      </c>
      <c r="T77">
        <v>18.98</v>
      </c>
      <c r="U77">
        <f t="shared" si="12"/>
        <v>1.1188066062866322E-2</v>
      </c>
      <c r="V77">
        <v>1435.01001</v>
      </c>
      <c r="W77">
        <f t="shared" si="13"/>
        <v>3.6430130630612352E-2</v>
      </c>
    </row>
    <row r="78" spans="1:23">
      <c r="A78" s="1">
        <v>43971</v>
      </c>
      <c r="B78">
        <v>47.82</v>
      </c>
      <c r="C78">
        <v>76</v>
      </c>
      <c r="D78">
        <f t="shared" si="7"/>
        <v>146.11666978881775</v>
      </c>
      <c r="E78">
        <v>18.350000000000001</v>
      </c>
      <c r="F78">
        <v>76</v>
      </c>
      <c r="G78">
        <f t="shared" si="8"/>
        <v>30.938951689595836</v>
      </c>
      <c r="H78">
        <v>778</v>
      </c>
      <c r="I78">
        <v>76</v>
      </c>
      <c r="J78">
        <f t="shared" si="9"/>
        <v>1246.0232766361235</v>
      </c>
      <c r="K78">
        <f t="shared" si="10"/>
        <v>140.29752650436239</v>
      </c>
      <c r="L78">
        <v>-88.683311499713454</v>
      </c>
      <c r="Q78" s="1">
        <v>44249</v>
      </c>
      <c r="R78">
        <v>80.720000999999996</v>
      </c>
      <c r="S78">
        <f t="shared" si="11"/>
        <v>5.3555859340441731E-3</v>
      </c>
      <c r="T78">
        <v>20.52</v>
      </c>
      <c r="U78">
        <f t="shared" si="12"/>
        <v>8.1138040042149584E-2</v>
      </c>
      <c r="V78">
        <v>1381.3000489999999</v>
      </c>
      <c r="W78">
        <f t="shared" si="13"/>
        <v>-3.7428283165773887E-2</v>
      </c>
    </row>
    <row r="79" spans="1:23">
      <c r="A79" s="1">
        <v>43972</v>
      </c>
      <c r="B79">
        <v>46.720001000000003</v>
      </c>
      <c r="C79">
        <v>77</v>
      </c>
      <c r="D79">
        <f t="shared" si="7"/>
        <v>139.71058433709746</v>
      </c>
      <c r="E79">
        <v>17.530000999999999</v>
      </c>
      <c r="F79">
        <v>77</v>
      </c>
      <c r="G79">
        <f t="shared" si="8"/>
        <v>27.704088773841956</v>
      </c>
      <c r="H79">
        <v>802.34997599999997</v>
      </c>
      <c r="I79">
        <v>77</v>
      </c>
      <c r="J79">
        <f t="shared" si="9"/>
        <v>1243.7455926169666</v>
      </c>
      <c r="K79">
        <f t="shared" si="10"/>
        <v>23.158360212537445</v>
      </c>
      <c r="L79">
        <v>-88.10410248306016</v>
      </c>
      <c r="Q79" s="1">
        <v>44250</v>
      </c>
      <c r="R79">
        <v>83.379997000000003</v>
      </c>
      <c r="S79">
        <f t="shared" si="11"/>
        <v>3.295336926470066E-2</v>
      </c>
      <c r="T79">
        <v>20.93</v>
      </c>
      <c r="U79">
        <f t="shared" si="12"/>
        <v>1.9980506822612092E-2</v>
      </c>
      <c r="V79">
        <v>1300.23999</v>
      </c>
      <c r="W79">
        <f t="shared" si="13"/>
        <v>-5.8683889180112463E-2</v>
      </c>
    </row>
    <row r="80" spans="1:23">
      <c r="A80" s="1">
        <v>43973</v>
      </c>
      <c r="B80">
        <v>45.900002000000001</v>
      </c>
      <c r="C80">
        <v>78</v>
      </c>
      <c r="D80">
        <f t="shared" si="7"/>
        <v>140.49015722409766</v>
      </c>
      <c r="E80">
        <v>17.100000000000001</v>
      </c>
      <c r="F80">
        <v>78</v>
      </c>
      <c r="G80">
        <f t="shared" si="8"/>
        <v>28.288646418217549</v>
      </c>
      <c r="H80">
        <v>825.169983</v>
      </c>
      <c r="I80">
        <v>78</v>
      </c>
      <c r="J80">
        <f t="shared" si="9"/>
        <v>1240.3004041443382</v>
      </c>
      <c r="K80">
        <f t="shared" si="10"/>
        <v>32.832076802916163</v>
      </c>
      <c r="L80">
        <v>-85.730702186072449</v>
      </c>
      <c r="Q80" s="1">
        <v>44251</v>
      </c>
      <c r="R80">
        <v>86.25</v>
      </c>
      <c r="S80">
        <f t="shared" si="11"/>
        <v>3.4420761612644298E-2</v>
      </c>
      <c r="T80">
        <v>21.530000999999999</v>
      </c>
      <c r="U80">
        <f t="shared" si="12"/>
        <v>2.8667032967032914E-2</v>
      </c>
      <c r="V80">
        <v>1301.150024</v>
      </c>
      <c r="W80">
        <f t="shared" si="13"/>
        <v>6.998969474858222E-4</v>
      </c>
    </row>
    <row r="81" spans="1:23">
      <c r="A81" s="1">
        <v>43977</v>
      </c>
      <c r="B81">
        <v>50.740001999999997</v>
      </c>
      <c r="C81">
        <v>79</v>
      </c>
      <c r="D81">
        <f t="shared" si="7"/>
        <v>158.07886644536526</v>
      </c>
      <c r="E81">
        <v>17.639999</v>
      </c>
      <c r="F81">
        <v>79</v>
      </c>
      <c r="G81">
        <f t="shared" si="8"/>
        <v>29.915787777777773</v>
      </c>
      <c r="H81">
        <v>767.89001499999995</v>
      </c>
      <c r="I81">
        <v>79</v>
      </c>
      <c r="J81">
        <f t="shared" si="9"/>
        <v>1122.2843500961426</v>
      </c>
      <c r="K81">
        <f t="shared" si="10"/>
        <v>-2.9058186873953673</v>
      </c>
      <c r="L81">
        <v>-82.03622595438992</v>
      </c>
      <c r="Q81" s="1">
        <v>44252</v>
      </c>
      <c r="R81">
        <v>83.830001999999993</v>
      </c>
      <c r="S81">
        <f t="shared" si="11"/>
        <v>-2.8057947826087035E-2</v>
      </c>
      <c r="T81">
        <v>20.65</v>
      </c>
      <c r="U81">
        <f t="shared" si="12"/>
        <v>-4.0873244734173496E-2</v>
      </c>
      <c r="V81">
        <v>1245.099976</v>
      </c>
      <c r="W81">
        <f t="shared" si="13"/>
        <v>-4.3077313888594343E-2</v>
      </c>
    </row>
    <row r="82" spans="1:23">
      <c r="A82" s="1">
        <v>43978</v>
      </c>
      <c r="B82">
        <v>51.66</v>
      </c>
      <c r="C82">
        <v>80</v>
      </c>
      <c r="D82">
        <f t="shared" si="7"/>
        <v>145.59282043386597</v>
      </c>
      <c r="E82">
        <v>17.540001</v>
      </c>
      <c r="F82">
        <v>80</v>
      </c>
      <c r="G82">
        <f t="shared" si="8"/>
        <v>28.835604185691849</v>
      </c>
      <c r="H82">
        <v>750</v>
      </c>
      <c r="I82">
        <v>80</v>
      </c>
      <c r="J82">
        <f t="shared" si="9"/>
        <v>1177.9030620680751</v>
      </c>
      <c r="K82">
        <f t="shared" si="10"/>
        <v>-32.731608739812145</v>
      </c>
      <c r="L82">
        <v>-81.203893726028582</v>
      </c>
      <c r="Q82" s="1">
        <v>44253</v>
      </c>
      <c r="R82">
        <v>81.529999000000004</v>
      </c>
      <c r="S82">
        <f t="shared" si="11"/>
        <v>-2.7436513719753815E-2</v>
      </c>
      <c r="T82">
        <v>19.860001</v>
      </c>
      <c r="U82">
        <f t="shared" si="12"/>
        <v>-3.8256610169491438E-2</v>
      </c>
      <c r="V82">
        <v>1280.969971</v>
      </c>
      <c r="W82">
        <f t="shared" si="13"/>
        <v>2.8808927549123991E-2</v>
      </c>
    </row>
    <row r="83" spans="1:23">
      <c r="A83" s="1">
        <v>43979</v>
      </c>
      <c r="B83">
        <v>50.330002</v>
      </c>
      <c r="C83">
        <v>81</v>
      </c>
      <c r="D83">
        <f t="shared" si="7"/>
        <v>139.31843372048007</v>
      </c>
      <c r="E83">
        <v>17.43</v>
      </c>
      <c r="F83">
        <v>81</v>
      </c>
      <c r="G83">
        <f t="shared" si="8"/>
        <v>28.818128345602716</v>
      </c>
      <c r="H83">
        <v>744.42999299999997</v>
      </c>
      <c r="I83">
        <v>81</v>
      </c>
      <c r="J83">
        <f t="shared" si="9"/>
        <v>1197.0434287439998</v>
      </c>
      <c r="K83">
        <f t="shared" si="10"/>
        <v>-57.456880123158953</v>
      </c>
      <c r="L83">
        <v>-81.196532422750352</v>
      </c>
      <c r="Q83" s="1">
        <v>44256</v>
      </c>
      <c r="R83">
        <v>83.849997999999999</v>
      </c>
      <c r="S83">
        <f t="shared" si="11"/>
        <v>2.8455771230906007E-2</v>
      </c>
      <c r="T83">
        <v>20.239999999999998</v>
      </c>
      <c r="U83">
        <f t="shared" si="12"/>
        <v>1.9133886247034829E-2</v>
      </c>
      <c r="V83">
        <v>1309.9399410000001</v>
      </c>
      <c r="W83">
        <f t="shared" si="13"/>
        <v>2.2615651151747494E-2</v>
      </c>
    </row>
    <row r="84" spans="1:23">
      <c r="A84" s="1">
        <v>43980</v>
      </c>
      <c r="B84">
        <v>49.310001</v>
      </c>
      <c r="C84">
        <v>82</v>
      </c>
      <c r="D84">
        <f t="shared" si="7"/>
        <v>140.10192455386749</v>
      </c>
      <c r="E84">
        <v>17.120000999999998</v>
      </c>
      <c r="F84">
        <v>82</v>
      </c>
      <c r="G84">
        <f t="shared" si="8"/>
        <v>28.484224268502579</v>
      </c>
      <c r="H84">
        <v>757.79998799999998</v>
      </c>
      <c r="I84">
        <v>82</v>
      </c>
      <c r="J84">
        <f t="shared" si="9"/>
        <v>1227.6598123686831</v>
      </c>
      <c r="K84">
        <f t="shared" si="10"/>
        <v>6.6022343035801896</v>
      </c>
      <c r="L84">
        <v>-80.212243301995841</v>
      </c>
      <c r="Q84" s="1">
        <v>44257</v>
      </c>
      <c r="R84">
        <v>85.07</v>
      </c>
      <c r="S84">
        <f t="shared" si="11"/>
        <v>1.4549815493138041E-2</v>
      </c>
      <c r="T84">
        <v>20.67</v>
      </c>
      <c r="U84">
        <f t="shared" si="12"/>
        <v>2.1245059288537711E-2</v>
      </c>
      <c r="V84">
        <v>1309.0600589999999</v>
      </c>
      <c r="W84">
        <f t="shared" si="13"/>
        <v>-6.716964438296943E-4</v>
      </c>
    </row>
    <row r="85" spans="1:23">
      <c r="A85" s="1">
        <v>43983</v>
      </c>
      <c r="B85">
        <v>50.869999</v>
      </c>
      <c r="C85">
        <v>83</v>
      </c>
      <c r="D85">
        <f t="shared" si="7"/>
        <v>147.52402574479768</v>
      </c>
      <c r="E85">
        <v>17.579999999999998</v>
      </c>
      <c r="F85">
        <v>83</v>
      </c>
      <c r="G85">
        <f t="shared" si="8"/>
        <v>29.779203868037158</v>
      </c>
      <c r="H85">
        <v>758</v>
      </c>
      <c r="I85">
        <v>83</v>
      </c>
      <c r="J85">
        <f t="shared" si="9"/>
        <v>1206.318308888651</v>
      </c>
      <c r="K85">
        <f t="shared" si="10"/>
        <v>57.564933245836073</v>
      </c>
      <c r="L85">
        <v>-77.659788366079738</v>
      </c>
      <c r="Q85" s="1">
        <v>44258</v>
      </c>
      <c r="R85">
        <v>84.82</v>
      </c>
      <c r="S85">
        <f t="shared" si="11"/>
        <v>-2.9387563183260845E-3</v>
      </c>
      <c r="T85">
        <v>20.75</v>
      </c>
      <c r="U85">
        <f t="shared" si="12"/>
        <v>3.8703434929849194E-3</v>
      </c>
      <c r="V85">
        <v>1220.3000489999999</v>
      </c>
      <c r="W85">
        <f t="shared" si="13"/>
        <v>-6.7804383297588616E-2</v>
      </c>
    </row>
    <row r="86" spans="1:23">
      <c r="A86" s="1">
        <v>43984</v>
      </c>
      <c r="B86">
        <v>52.169998</v>
      </c>
      <c r="C86">
        <v>84</v>
      </c>
      <c r="D86">
        <f t="shared" si="7"/>
        <v>146.65441047089465</v>
      </c>
      <c r="E86">
        <v>18.280000999999999</v>
      </c>
      <c r="F86">
        <v>84</v>
      </c>
      <c r="G86">
        <f t="shared" si="8"/>
        <v>30.154722923777019</v>
      </c>
      <c r="H86">
        <v>779.5</v>
      </c>
      <c r="I86">
        <v>84</v>
      </c>
      <c r="J86">
        <f t="shared" si="9"/>
        <v>1240.207124010554</v>
      </c>
      <c r="K86">
        <f t="shared" si="10"/>
        <v>122.27919658670999</v>
      </c>
      <c r="L86">
        <v>-76.860173994680736</v>
      </c>
      <c r="Q86" s="1">
        <v>44259</v>
      </c>
      <c r="R86">
        <v>84.07</v>
      </c>
      <c r="S86">
        <f t="shared" si="11"/>
        <v>-8.8422541853336485E-3</v>
      </c>
      <c r="T86">
        <v>21.23</v>
      </c>
      <c r="U86">
        <f t="shared" si="12"/>
        <v>2.3132530120481949E-2</v>
      </c>
      <c r="V86">
        <v>1149.4399410000001</v>
      </c>
      <c r="W86">
        <f t="shared" si="13"/>
        <v>-5.8067774444545528E-2</v>
      </c>
    </row>
    <row r="87" spans="1:23">
      <c r="A87" s="1">
        <v>43985</v>
      </c>
      <c r="B87">
        <v>54.810001</v>
      </c>
      <c r="C87">
        <v>85</v>
      </c>
      <c r="D87">
        <f t="shared" si="7"/>
        <v>150.23635122623543</v>
      </c>
      <c r="E87">
        <v>18.829999999999998</v>
      </c>
      <c r="F87">
        <v>85</v>
      </c>
      <c r="G87">
        <f t="shared" si="8"/>
        <v>29.872536659051605</v>
      </c>
      <c r="H87">
        <v>762.02002000000005</v>
      </c>
      <c r="I87">
        <v>85</v>
      </c>
      <c r="J87">
        <f t="shared" si="9"/>
        <v>1178.955925747274</v>
      </c>
      <c r="K87">
        <f t="shared" si="10"/>
        <v>31.363413642676278</v>
      </c>
      <c r="L87">
        <v>-75.780397481803448</v>
      </c>
      <c r="Q87" s="1">
        <v>44260</v>
      </c>
      <c r="R87">
        <v>85.349997999999999</v>
      </c>
      <c r="S87">
        <f t="shared" si="11"/>
        <v>1.5225383608897422E-2</v>
      </c>
      <c r="T87">
        <v>21.99</v>
      </c>
      <c r="U87">
        <f t="shared" si="12"/>
        <v>3.5798398492698918E-2</v>
      </c>
      <c r="V87">
        <v>1131.01001</v>
      </c>
      <c r="W87">
        <f t="shared" si="13"/>
        <v>-1.603383555992172E-2</v>
      </c>
    </row>
    <row r="88" spans="1:23">
      <c r="A88" s="1">
        <v>43986</v>
      </c>
      <c r="B88">
        <v>54.919998</v>
      </c>
      <c r="C88">
        <v>86</v>
      </c>
      <c r="D88">
        <f t="shared" si="7"/>
        <v>143.28698359264763</v>
      </c>
      <c r="E88">
        <v>19.23</v>
      </c>
      <c r="F88">
        <v>86</v>
      </c>
      <c r="G88">
        <f t="shared" si="8"/>
        <v>29.616038236856081</v>
      </c>
      <c r="H88">
        <v>735.19000200000005</v>
      </c>
      <c r="I88">
        <v>86</v>
      </c>
      <c r="J88">
        <f t="shared" si="9"/>
        <v>1163.5378587717421</v>
      </c>
      <c r="K88">
        <f t="shared" si="10"/>
        <v>-72.813872977198116</v>
      </c>
      <c r="L88">
        <v>-73.615357516804579</v>
      </c>
      <c r="Q88" s="1">
        <v>44263</v>
      </c>
      <c r="R88">
        <v>85.93</v>
      </c>
      <c r="S88">
        <f t="shared" si="11"/>
        <v>6.795571336744583E-3</v>
      </c>
      <c r="T88">
        <v>22.01</v>
      </c>
      <c r="U88">
        <f t="shared" si="12"/>
        <v>9.0950432014566291E-4</v>
      </c>
      <c r="V88">
        <v>1072.4300539999999</v>
      </c>
      <c r="W88">
        <f t="shared" si="13"/>
        <v>-5.1794374481265677E-2</v>
      </c>
    </row>
    <row r="89" spans="1:23">
      <c r="A89" s="1">
        <v>43987</v>
      </c>
      <c r="B89">
        <v>56.66</v>
      </c>
      <c r="C89">
        <v>87</v>
      </c>
      <c r="D89">
        <f t="shared" si="7"/>
        <v>147.53059532158031</v>
      </c>
      <c r="E89">
        <v>21.219999000000001</v>
      </c>
      <c r="F89">
        <v>87</v>
      </c>
      <c r="G89">
        <f t="shared" si="8"/>
        <v>32.001038533541347</v>
      </c>
      <c r="H89">
        <v>727.77002000000005</v>
      </c>
      <c r="I89">
        <v>87</v>
      </c>
      <c r="J89">
        <f t="shared" si="9"/>
        <v>1193.8283188459357</v>
      </c>
      <c r="K89">
        <f t="shared" si="10"/>
        <v>65.978168910794921</v>
      </c>
      <c r="L89">
        <v>-72.813872977198116</v>
      </c>
      <c r="Q89" s="1">
        <v>44264</v>
      </c>
      <c r="R89">
        <v>85.68</v>
      </c>
      <c r="S89">
        <f t="shared" si="11"/>
        <v>-2.9093448155475383E-3</v>
      </c>
      <c r="T89">
        <v>21.860001</v>
      </c>
      <c r="U89">
        <f t="shared" si="12"/>
        <v>-6.8150386188096813E-3</v>
      </c>
      <c r="V89">
        <v>1130.73999</v>
      </c>
      <c r="W89">
        <f t="shared" si="13"/>
        <v>5.4371784698230875E-2</v>
      </c>
    </row>
    <row r="90" spans="1:23">
      <c r="A90" s="1">
        <v>43990</v>
      </c>
      <c r="B90">
        <v>58.299999</v>
      </c>
      <c r="C90">
        <v>88</v>
      </c>
      <c r="D90">
        <f t="shared" si="7"/>
        <v>147.13907266148959</v>
      </c>
      <c r="E90">
        <v>21.280000999999999</v>
      </c>
      <c r="F90">
        <v>88</v>
      </c>
      <c r="G90">
        <f t="shared" si="8"/>
        <v>29.082000852120675</v>
      </c>
      <c r="H90">
        <v>730.669983</v>
      </c>
      <c r="I90">
        <v>88</v>
      </c>
      <c r="J90">
        <f t="shared" si="9"/>
        <v>1210.8055776988449</v>
      </c>
      <c r="K90">
        <f t="shared" si="10"/>
        <v>52.231894794395885</v>
      </c>
      <c r="L90">
        <v>-72.630937334255577</v>
      </c>
      <c r="Q90" s="1">
        <v>44265</v>
      </c>
      <c r="R90">
        <v>87.330001999999993</v>
      </c>
      <c r="S90">
        <f t="shared" si="11"/>
        <v>1.9257726423902735E-2</v>
      </c>
      <c r="T90">
        <v>22.51</v>
      </c>
      <c r="U90">
        <f t="shared" si="12"/>
        <v>2.9734628099971318E-2</v>
      </c>
      <c r="V90">
        <v>1087.900024</v>
      </c>
      <c r="W90">
        <f t="shared" si="13"/>
        <v>-3.7886663935888569E-2</v>
      </c>
    </row>
    <row r="91" spans="1:23">
      <c r="A91" s="1">
        <v>43991</v>
      </c>
      <c r="B91">
        <v>57.66</v>
      </c>
      <c r="C91">
        <v>89</v>
      </c>
      <c r="D91">
        <f t="shared" si="7"/>
        <v>141.43019110514905</v>
      </c>
      <c r="E91">
        <v>20.530000999999999</v>
      </c>
      <c r="F91">
        <v>89</v>
      </c>
      <c r="G91">
        <f t="shared" si="8"/>
        <v>27.977913581864961</v>
      </c>
      <c r="H91">
        <v>741.70001200000002</v>
      </c>
      <c r="I91">
        <v>89</v>
      </c>
      <c r="J91">
        <f t="shared" si="9"/>
        <v>1224.2055035563162</v>
      </c>
      <c r="K91">
        <f t="shared" si="10"/>
        <v>5.3816218920974279</v>
      </c>
      <c r="L91">
        <v>-72.571383777399205</v>
      </c>
      <c r="Q91" s="1">
        <v>44266</v>
      </c>
      <c r="R91">
        <v>87.589995999999999</v>
      </c>
      <c r="S91">
        <f t="shared" si="11"/>
        <v>2.97714409762645E-3</v>
      </c>
      <c r="T91">
        <v>23.01</v>
      </c>
      <c r="U91">
        <f t="shared" si="12"/>
        <v>2.2212350066637049E-2</v>
      </c>
      <c r="V91">
        <v>1142.23999</v>
      </c>
      <c r="W91">
        <f t="shared" si="13"/>
        <v>4.994941152791077E-2</v>
      </c>
    </row>
    <row r="92" spans="1:23">
      <c r="A92" s="1">
        <v>43992</v>
      </c>
      <c r="B92">
        <v>56.580002</v>
      </c>
      <c r="C92">
        <v>90</v>
      </c>
      <c r="D92">
        <f t="shared" si="7"/>
        <v>140.32154502254596</v>
      </c>
      <c r="E92">
        <v>19.77</v>
      </c>
      <c r="F92">
        <v>90</v>
      </c>
      <c r="G92">
        <f t="shared" si="8"/>
        <v>27.926447738604594</v>
      </c>
      <c r="H92">
        <v>743.64001499999995</v>
      </c>
      <c r="I92">
        <v>90</v>
      </c>
      <c r="J92">
        <f t="shared" si="9"/>
        <v>1209.1544338413735</v>
      </c>
      <c r="K92">
        <f t="shared" si="10"/>
        <v>-36.578966012724777</v>
      </c>
      <c r="L92">
        <v>-71.855417037060761</v>
      </c>
      <c r="Q92" s="1">
        <v>44267</v>
      </c>
      <c r="R92">
        <v>88.339995999999999</v>
      </c>
      <c r="S92">
        <f t="shared" si="11"/>
        <v>8.5626216948337351E-3</v>
      </c>
      <c r="T92">
        <v>23.530000999999999</v>
      </c>
      <c r="U92">
        <f t="shared" si="12"/>
        <v>2.2598913515862538E-2</v>
      </c>
      <c r="V92">
        <v>1140.630005</v>
      </c>
      <c r="W92">
        <f t="shared" si="13"/>
        <v>-1.4094980162619342E-3</v>
      </c>
    </row>
    <row r="93" spans="1:23">
      <c r="A93" s="1">
        <v>43993</v>
      </c>
      <c r="B93">
        <v>53.169998</v>
      </c>
      <c r="C93">
        <v>91</v>
      </c>
      <c r="D93">
        <f t="shared" si="7"/>
        <v>134.381573793511</v>
      </c>
      <c r="E93">
        <v>17.77</v>
      </c>
      <c r="F93">
        <v>91</v>
      </c>
      <c r="G93">
        <f t="shared" si="8"/>
        <v>26.066262013151242</v>
      </c>
      <c r="H93">
        <v>725.11999500000002</v>
      </c>
      <c r="I93">
        <v>91</v>
      </c>
      <c r="J93">
        <f t="shared" si="9"/>
        <v>1175.9651125955079</v>
      </c>
      <c r="K93">
        <f t="shared" si="10"/>
        <v>-190.26010667660557</v>
      </c>
      <c r="L93">
        <v>-70.707607184973313</v>
      </c>
      <c r="Q93" s="1">
        <v>44270</v>
      </c>
      <c r="R93">
        <v>87.989998</v>
      </c>
      <c r="S93">
        <f t="shared" si="11"/>
        <v>-3.9619426743012229E-3</v>
      </c>
      <c r="T93">
        <v>23.290001</v>
      </c>
      <c r="U93">
        <f t="shared" si="12"/>
        <v>-1.0199744572896467E-2</v>
      </c>
      <c r="V93">
        <v>1159</v>
      </c>
      <c r="W93">
        <f t="shared" si="13"/>
        <v>1.6105130427460583E-2</v>
      </c>
    </row>
    <row r="94" spans="1:23">
      <c r="A94" s="1">
        <v>43994</v>
      </c>
      <c r="B94">
        <v>54.849997999999999</v>
      </c>
      <c r="C94">
        <v>92</v>
      </c>
      <c r="D94">
        <f t="shared" si="7"/>
        <v>147.51833757827112</v>
      </c>
      <c r="E94">
        <v>18.32</v>
      </c>
      <c r="F94">
        <v>92</v>
      </c>
      <c r="G94">
        <f t="shared" si="8"/>
        <v>29.897580191333709</v>
      </c>
      <c r="H94">
        <v>742.580017</v>
      </c>
      <c r="I94">
        <v>92</v>
      </c>
      <c r="J94">
        <f t="shared" si="9"/>
        <v>1235.0390372313482</v>
      </c>
      <c r="K94">
        <f t="shared" si="10"/>
        <v>116.72515311541247</v>
      </c>
      <c r="L94">
        <v>-70.561897590512672</v>
      </c>
      <c r="Q94" s="1">
        <v>44271</v>
      </c>
      <c r="R94">
        <v>88.120002999999997</v>
      </c>
      <c r="S94">
        <f t="shared" si="11"/>
        <v>1.4774974764745084E-3</v>
      </c>
      <c r="T94">
        <v>22.76</v>
      </c>
      <c r="U94">
        <f t="shared" si="12"/>
        <v>-2.2756589834409993E-2</v>
      </c>
      <c r="V94">
        <v>1143.170044</v>
      </c>
      <c r="W94">
        <f t="shared" si="13"/>
        <v>-1.365828817946509E-2</v>
      </c>
    </row>
    <row r="95" spans="1:23">
      <c r="A95" s="1">
        <v>43997</v>
      </c>
      <c r="B95">
        <v>55.029998999999997</v>
      </c>
      <c r="C95">
        <v>93</v>
      </c>
      <c r="D95">
        <f t="shared" si="7"/>
        <v>143.46928247836945</v>
      </c>
      <c r="E95">
        <v>18.219999000000001</v>
      </c>
      <c r="F95">
        <v>93</v>
      </c>
      <c r="G95">
        <f t="shared" si="8"/>
        <v>28.84170147379913</v>
      </c>
      <c r="H95">
        <v>805.46997099999999</v>
      </c>
      <c r="I95">
        <v>93</v>
      </c>
      <c r="J95">
        <f t="shared" si="9"/>
        <v>1308.1375242905303</v>
      </c>
      <c r="K95">
        <f t="shared" si="10"/>
        <v>206.59339547174204</v>
      </c>
      <c r="L95">
        <v>-69.711921786972198</v>
      </c>
      <c r="Q95" s="1">
        <v>44272</v>
      </c>
      <c r="R95">
        <v>89.209998999999996</v>
      </c>
      <c r="S95">
        <f t="shared" si="11"/>
        <v>1.2369450327867095E-2</v>
      </c>
      <c r="T95">
        <v>23.27</v>
      </c>
      <c r="U95">
        <f t="shared" si="12"/>
        <v>2.2407732864674779E-2</v>
      </c>
      <c r="V95">
        <v>1169.170044</v>
      </c>
      <c r="W95">
        <f t="shared" si="13"/>
        <v>2.2743773016501472E-2</v>
      </c>
    </row>
    <row r="96" spans="1:23">
      <c r="A96" s="1">
        <v>43998</v>
      </c>
      <c r="B96">
        <v>56.610000999999997</v>
      </c>
      <c r="C96">
        <v>94</v>
      </c>
      <c r="D96">
        <f t="shared" si="7"/>
        <v>147.10576576605064</v>
      </c>
      <c r="E96">
        <v>18.559999000000001</v>
      </c>
      <c r="F96">
        <v>94</v>
      </c>
      <c r="G96">
        <f t="shared" si="8"/>
        <v>29.541163586232912</v>
      </c>
      <c r="H96">
        <v>805.76000999999997</v>
      </c>
      <c r="I96">
        <v>94</v>
      </c>
      <c r="J96">
        <f t="shared" si="9"/>
        <v>1206.4342645245554</v>
      </c>
      <c r="K96">
        <f t="shared" si="10"/>
        <v>50.04364050311051</v>
      </c>
      <c r="L96">
        <v>-69.542802006318198</v>
      </c>
      <c r="Q96" s="1">
        <v>44273</v>
      </c>
      <c r="R96">
        <v>89.360000999999997</v>
      </c>
      <c r="S96">
        <f t="shared" si="11"/>
        <v>1.6814482869795867E-3</v>
      </c>
      <c r="T96">
        <v>21.700001</v>
      </c>
      <c r="U96">
        <f t="shared" si="12"/>
        <v>-6.7468801031370831E-2</v>
      </c>
      <c r="V96">
        <v>1117.099976</v>
      </c>
      <c r="W96">
        <f t="shared" si="13"/>
        <v>-4.4535923809556649E-2</v>
      </c>
    </row>
    <row r="97" spans="1:23">
      <c r="A97" s="1">
        <v>43999</v>
      </c>
      <c r="B97">
        <v>56.080002</v>
      </c>
      <c r="C97">
        <v>95</v>
      </c>
      <c r="D97">
        <f t="shared" si="7"/>
        <v>141.6611931520722</v>
      </c>
      <c r="E97">
        <v>17.709999</v>
      </c>
      <c r="F97">
        <v>95</v>
      </c>
      <c r="G97">
        <f t="shared" si="8"/>
        <v>27.671874928441536</v>
      </c>
      <c r="H97">
        <v>817.35998500000005</v>
      </c>
      <c r="I97">
        <v>95</v>
      </c>
      <c r="J97">
        <f t="shared" si="9"/>
        <v>1223.3619560121879</v>
      </c>
      <c r="K97">
        <f t="shared" si="10"/>
        <v>1.4139674717207527</v>
      </c>
      <c r="L97">
        <v>-68.944114053054363</v>
      </c>
      <c r="Q97" s="1">
        <v>44274</v>
      </c>
      <c r="R97">
        <v>89.199996999999996</v>
      </c>
      <c r="S97">
        <f t="shared" si="11"/>
        <v>-1.7905550381540473E-3</v>
      </c>
      <c r="T97">
        <v>22.02</v>
      </c>
      <c r="U97">
        <f t="shared" si="12"/>
        <v>1.4746497016290426E-2</v>
      </c>
      <c r="V97">
        <v>1120.9499510000001</v>
      </c>
      <c r="W97">
        <f t="shared" si="13"/>
        <v>3.4464014705162666E-3</v>
      </c>
    </row>
    <row r="98" spans="1:23">
      <c r="A98" s="1">
        <v>44000</v>
      </c>
      <c r="B98">
        <v>56.150002000000001</v>
      </c>
      <c r="C98">
        <v>96</v>
      </c>
      <c r="D98">
        <f t="shared" si="7"/>
        <v>143.17849500076693</v>
      </c>
      <c r="E98">
        <v>17.450001</v>
      </c>
      <c r="F98">
        <v>96</v>
      </c>
      <c r="G98">
        <f t="shared" si="8"/>
        <v>28.574255086067481</v>
      </c>
      <c r="H98">
        <v>863.55999799999995</v>
      </c>
      <c r="I98">
        <v>96</v>
      </c>
      <c r="J98">
        <f t="shared" si="9"/>
        <v>1274.1672906681379</v>
      </c>
      <c r="K98">
        <f t="shared" si="10"/>
        <v>131.73335763495743</v>
      </c>
      <c r="L98">
        <v>-68.615753974963809</v>
      </c>
      <c r="Q98" s="1">
        <v>44277</v>
      </c>
      <c r="R98">
        <v>88.370002999999997</v>
      </c>
      <c r="S98">
        <f t="shared" si="11"/>
        <v>-9.3048657837959264E-3</v>
      </c>
      <c r="T98">
        <v>21.540001</v>
      </c>
      <c r="U98">
        <f t="shared" si="12"/>
        <v>-2.1798319709355106E-2</v>
      </c>
      <c r="V98">
        <v>1160</v>
      </c>
      <c r="W98">
        <f t="shared" si="13"/>
        <v>3.4836567828174105E-2</v>
      </c>
    </row>
    <row r="99" spans="1:23">
      <c r="A99" s="1">
        <v>44001</v>
      </c>
      <c r="B99">
        <v>55.73</v>
      </c>
      <c r="C99">
        <v>97</v>
      </c>
      <c r="D99">
        <f t="shared" si="7"/>
        <v>141.93036003809937</v>
      </c>
      <c r="E99">
        <v>17.049999</v>
      </c>
      <c r="F99">
        <v>97</v>
      </c>
      <c r="G99">
        <f t="shared" si="8"/>
        <v>28.335240267321474</v>
      </c>
      <c r="H99">
        <v>881</v>
      </c>
      <c r="I99">
        <v>97</v>
      </c>
      <c r="J99">
        <f t="shared" si="9"/>
        <v>1230.3557395672699</v>
      </c>
      <c r="K99">
        <f t="shared" si="10"/>
        <v>28.043683525355846</v>
      </c>
      <c r="L99">
        <v>-66.353761031593422</v>
      </c>
      <c r="Q99" s="1">
        <v>44278</v>
      </c>
      <c r="R99">
        <v>87.099997999999999</v>
      </c>
      <c r="S99">
        <f t="shared" si="11"/>
        <v>-1.4371449099079442E-2</v>
      </c>
      <c r="T99">
        <v>20.370000999999998</v>
      </c>
      <c r="U99">
        <f t="shared" si="12"/>
        <v>-5.4317546224812233E-2</v>
      </c>
      <c r="V99">
        <v>1162</v>
      </c>
      <c r="W99">
        <f t="shared" si="13"/>
        <v>1.7241379310344827E-3</v>
      </c>
    </row>
    <row r="100" spans="1:23">
      <c r="A100" s="1">
        <v>44004</v>
      </c>
      <c r="B100">
        <v>55.540000999999997</v>
      </c>
      <c r="C100">
        <v>98</v>
      </c>
      <c r="D100">
        <f t="shared" si="7"/>
        <v>142.51247340750044</v>
      </c>
      <c r="E100">
        <v>17.32</v>
      </c>
      <c r="F100">
        <v>98</v>
      </c>
      <c r="G100">
        <f t="shared" si="8"/>
        <v>29.459239264471513</v>
      </c>
      <c r="H100">
        <v>904.80999799999995</v>
      </c>
      <c r="I100">
        <v>98</v>
      </c>
      <c r="J100">
        <f t="shared" si="9"/>
        <v>1238.593481938706</v>
      </c>
      <c r="K100">
        <f t="shared" si="10"/>
        <v>67.200286919489372</v>
      </c>
      <c r="L100">
        <v>-65.97565129357281</v>
      </c>
      <c r="Q100" s="1">
        <v>44279</v>
      </c>
      <c r="R100">
        <v>87.849997999999999</v>
      </c>
      <c r="S100">
        <f t="shared" si="11"/>
        <v>8.610792390603729E-3</v>
      </c>
      <c r="T100">
        <v>21.110001</v>
      </c>
      <c r="U100">
        <f t="shared" si="12"/>
        <v>3.6327931451746225E-2</v>
      </c>
      <c r="V100">
        <v>1106.01001</v>
      </c>
      <c r="W100">
        <f t="shared" si="13"/>
        <v>-4.8184156626506054E-2</v>
      </c>
    </row>
    <row r="101" spans="1:23">
      <c r="A101" s="1">
        <v>44005</v>
      </c>
      <c r="B101">
        <v>56.060001</v>
      </c>
      <c r="C101">
        <v>99</v>
      </c>
      <c r="D101">
        <f t="shared" si="7"/>
        <v>144.33885485526011</v>
      </c>
      <c r="E101">
        <v>17.579999999999998</v>
      </c>
      <c r="F101">
        <v>99</v>
      </c>
      <c r="G101">
        <f t="shared" si="8"/>
        <v>29.435334872979212</v>
      </c>
      <c r="H101">
        <v>911.34002699999996</v>
      </c>
      <c r="I101">
        <v>99</v>
      </c>
      <c r="J101">
        <f t="shared" si="9"/>
        <v>1214.7037223189482</v>
      </c>
      <c r="K101">
        <f t="shared" si="10"/>
        <v>37.326016285185688</v>
      </c>
      <c r="L101">
        <v>-65.870817123641245</v>
      </c>
      <c r="Q101" s="1">
        <v>44280</v>
      </c>
      <c r="R101">
        <v>88.949996999999996</v>
      </c>
      <c r="S101">
        <f t="shared" si="11"/>
        <v>1.2521332100656358E-2</v>
      </c>
      <c r="T101">
        <v>21.040001</v>
      </c>
      <c r="U101">
        <f t="shared" si="12"/>
        <v>-3.315963841024938E-3</v>
      </c>
      <c r="V101">
        <v>1061.6800539999999</v>
      </c>
      <c r="W101">
        <f t="shared" si="13"/>
        <v>-4.0080971780716561E-2</v>
      </c>
    </row>
    <row r="102" spans="1:23">
      <c r="A102" s="1">
        <v>44006</v>
      </c>
      <c r="B102">
        <v>54.279998999999997</v>
      </c>
      <c r="C102">
        <v>100</v>
      </c>
      <c r="D102">
        <f t="shared" si="7"/>
        <v>138.45950264966996</v>
      </c>
      <c r="E102">
        <v>16.709999</v>
      </c>
      <c r="F102">
        <v>100</v>
      </c>
      <c r="G102">
        <f t="shared" si="8"/>
        <v>27.564844766780435</v>
      </c>
      <c r="H102">
        <v>897</v>
      </c>
      <c r="I102">
        <v>100</v>
      </c>
      <c r="J102">
        <f t="shared" si="9"/>
        <v>1187.0234686838792</v>
      </c>
      <c r="K102">
        <f t="shared" si="10"/>
        <v>-104.88536463383571</v>
      </c>
      <c r="L102">
        <v>-65.709648276886583</v>
      </c>
      <c r="Q102" s="1">
        <v>44281</v>
      </c>
      <c r="R102">
        <v>89.940002000000007</v>
      </c>
      <c r="S102">
        <f t="shared" si="11"/>
        <v>1.1129904816073358E-2</v>
      </c>
      <c r="T102">
        <v>21.290001</v>
      </c>
      <c r="U102">
        <f t="shared" si="12"/>
        <v>1.1882128712826581E-2</v>
      </c>
      <c r="V102">
        <v>1065.209961</v>
      </c>
      <c r="W102">
        <f t="shared" si="13"/>
        <v>3.3248312301816063E-3</v>
      </c>
    </row>
    <row r="103" spans="1:23">
      <c r="A103" s="1">
        <v>44007</v>
      </c>
      <c r="B103">
        <v>54.02</v>
      </c>
      <c r="C103">
        <v>101</v>
      </c>
      <c r="D103">
        <f t="shared" si="7"/>
        <v>142.31503578325419</v>
      </c>
      <c r="E103">
        <v>16.73</v>
      </c>
      <c r="F103">
        <v>101</v>
      </c>
      <c r="G103">
        <f t="shared" si="8"/>
        <v>29.034711492202963</v>
      </c>
      <c r="H103">
        <v>916.32000700000003</v>
      </c>
      <c r="I103">
        <v>101</v>
      </c>
      <c r="J103">
        <f t="shared" si="9"/>
        <v>1231.9753940267558</v>
      </c>
      <c r="K103">
        <f t="shared" si="10"/>
        <v>45.621818269098185</v>
      </c>
      <c r="L103">
        <v>-65.700885979140367</v>
      </c>
      <c r="Q103" s="1">
        <v>44284</v>
      </c>
      <c r="R103">
        <v>89.300003000000004</v>
      </c>
      <c r="S103">
        <f t="shared" si="11"/>
        <v>-7.1158437376953034E-3</v>
      </c>
      <c r="T103">
        <v>21.040001</v>
      </c>
      <c r="U103">
        <f t="shared" si="12"/>
        <v>-1.1742601609084002E-2</v>
      </c>
      <c r="V103">
        <v>1039.910034</v>
      </c>
      <c r="W103">
        <f t="shared" si="13"/>
        <v>-2.3751117550805577E-2</v>
      </c>
    </row>
    <row r="104" spans="1:23">
      <c r="A104" s="1">
        <v>44008</v>
      </c>
      <c r="B104">
        <v>51.52</v>
      </c>
      <c r="C104">
        <v>102</v>
      </c>
      <c r="D104">
        <f t="shared" si="7"/>
        <v>136.38208071084784</v>
      </c>
      <c r="E104">
        <v>16.299999</v>
      </c>
      <c r="F104">
        <v>102</v>
      </c>
      <c r="G104">
        <f t="shared" si="8"/>
        <v>28.254630663478782</v>
      </c>
      <c r="H104">
        <v>910</v>
      </c>
      <c r="I104">
        <v>102</v>
      </c>
      <c r="J104">
        <f t="shared" si="9"/>
        <v>1197.6820233283413</v>
      </c>
      <c r="K104">
        <f t="shared" si="10"/>
        <v>-93.995686282657516</v>
      </c>
      <c r="L104">
        <v>-65.381965385640797</v>
      </c>
      <c r="Q104" s="1">
        <v>44285</v>
      </c>
      <c r="R104">
        <v>89.660004000000001</v>
      </c>
      <c r="S104">
        <f t="shared" si="11"/>
        <v>4.0313660459787093E-3</v>
      </c>
      <c r="T104">
        <v>21.08</v>
      </c>
      <c r="U104">
        <f t="shared" si="12"/>
        <v>1.9010930655373125E-3</v>
      </c>
      <c r="V104">
        <v>1048.6800539999999</v>
      </c>
      <c r="W104">
        <f t="shared" si="13"/>
        <v>8.4334410797693403E-3</v>
      </c>
    </row>
    <row r="105" spans="1:23">
      <c r="A105" s="1">
        <v>44011</v>
      </c>
      <c r="B105">
        <v>52.220001000000003</v>
      </c>
      <c r="C105">
        <v>103</v>
      </c>
      <c r="D105">
        <f t="shared" si="7"/>
        <v>144.9429375582298</v>
      </c>
      <c r="E105">
        <v>16.959999</v>
      </c>
      <c r="F105">
        <v>103</v>
      </c>
      <c r="G105">
        <f t="shared" si="8"/>
        <v>30.174233200873203</v>
      </c>
      <c r="H105">
        <v>922.419983</v>
      </c>
      <c r="I105">
        <v>103</v>
      </c>
      <c r="J105">
        <f t="shared" si="9"/>
        <v>1222.4598895582417</v>
      </c>
      <c r="K105">
        <f t="shared" si="10"/>
        <v>69.962652711879855</v>
      </c>
      <c r="L105">
        <v>-62.232608031652489</v>
      </c>
      <c r="Q105" s="1">
        <v>44286</v>
      </c>
      <c r="R105">
        <v>89.120002999999997</v>
      </c>
      <c r="S105">
        <f t="shared" si="11"/>
        <v>-6.0227635055649089E-3</v>
      </c>
      <c r="T105">
        <v>20.9</v>
      </c>
      <c r="U105">
        <f t="shared" si="12"/>
        <v>-8.5388994307400243E-3</v>
      </c>
      <c r="V105">
        <v>1106.5</v>
      </c>
      <c r="W105">
        <f t="shared" si="13"/>
        <v>5.5135926138250052E-2</v>
      </c>
    </row>
    <row r="106" spans="1:23">
      <c r="A106" s="1">
        <v>44012</v>
      </c>
      <c r="B106">
        <v>53.049999</v>
      </c>
      <c r="C106">
        <v>104</v>
      </c>
      <c r="D106">
        <f t="shared" si="7"/>
        <v>145.27287843215476</v>
      </c>
      <c r="E106">
        <v>16.860001</v>
      </c>
      <c r="F106">
        <v>104</v>
      </c>
      <c r="G106">
        <f t="shared" si="8"/>
        <v>28.829012843691796</v>
      </c>
      <c r="H106">
        <v>949.20001200000002</v>
      </c>
      <c r="I106">
        <v>104</v>
      </c>
      <c r="J106">
        <f t="shared" si="9"/>
        <v>1241.0130261369241</v>
      </c>
      <c r="K106">
        <f t="shared" si="10"/>
        <v>90.190029250772568</v>
      </c>
      <c r="L106">
        <v>-62.162762859259601</v>
      </c>
      <c r="Q106" s="1">
        <v>44287</v>
      </c>
      <c r="R106">
        <v>90.050003000000004</v>
      </c>
      <c r="S106">
        <f t="shared" si="11"/>
        <v>1.0435367691807718E-2</v>
      </c>
      <c r="T106">
        <v>21.530000999999999</v>
      </c>
      <c r="U106">
        <f t="shared" si="12"/>
        <v>3.0143588516746415E-2</v>
      </c>
      <c r="V106">
        <v>1155.410034</v>
      </c>
      <c r="W106">
        <f t="shared" si="13"/>
        <v>4.420247085404428E-2</v>
      </c>
    </row>
    <row r="107" spans="1:23">
      <c r="A107" s="1">
        <v>44013</v>
      </c>
      <c r="B107">
        <v>52.57</v>
      </c>
      <c r="C107">
        <v>105</v>
      </c>
      <c r="D107">
        <f t="shared" si="7"/>
        <v>141.7061289671278</v>
      </c>
      <c r="E107">
        <v>16.450001</v>
      </c>
      <c r="F107">
        <v>105</v>
      </c>
      <c r="G107">
        <f t="shared" si="8"/>
        <v>28.294780587498185</v>
      </c>
      <c r="H107">
        <v>1016.6400149999999</v>
      </c>
      <c r="I107">
        <v>105</v>
      </c>
      <c r="J107">
        <f t="shared" si="9"/>
        <v>1291.6854641695895</v>
      </c>
      <c r="K107">
        <f t="shared" si="10"/>
        <v>147.85392682292968</v>
      </c>
      <c r="L107">
        <v>-61.444900164859064</v>
      </c>
      <c r="Q107" s="1">
        <v>44291</v>
      </c>
      <c r="R107">
        <v>90.75</v>
      </c>
      <c r="S107">
        <f t="shared" si="11"/>
        <v>7.7734256155438013E-3</v>
      </c>
      <c r="T107">
        <v>21.15</v>
      </c>
      <c r="U107">
        <f t="shared" si="12"/>
        <v>-1.764983661635687E-2</v>
      </c>
      <c r="V107">
        <v>1145.9499510000001</v>
      </c>
      <c r="W107">
        <f t="shared" si="13"/>
        <v>-8.1876413754599087E-3</v>
      </c>
    </row>
    <row r="108" spans="1:23">
      <c r="A108" s="1">
        <v>44014</v>
      </c>
      <c r="B108">
        <v>52.900002000000001</v>
      </c>
      <c r="C108">
        <v>106</v>
      </c>
      <c r="D108">
        <f t="shared" si="7"/>
        <v>143.89766570287236</v>
      </c>
      <c r="E108">
        <v>16.739999999999998</v>
      </c>
      <c r="F108">
        <v>106</v>
      </c>
      <c r="G108">
        <f t="shared" si="8"/>
        <v>29.511244406611279</v>
      </c>
      <c r="H108">
        <v>1029.969971</v>
      </c>
      <c r="I108">
        <v>106</v>
      </c>
      <c r="J108">
        <f t="shared" si="9"/>
        <v>1221.8128016788714</v>
      </c>
      <c r="K108">
        <f t="shared" si="10"/>
        <v>48.270926485635755</v>
      </c>
      <c r="L108">
        <v>-61.017594374860892</v>
      </c>
      <c r="Q108" s="1">
        <v>44292</v>
      </c>
      <c r="R108">
        <v>89.93</v>
      </c>
      <c r="S108">
        <f t="shared" si="11"/>
        <v>-9.0358126721762338E-3</v>
      </c>
      <c r="T108">
        <v>21.139999</v>
      </c>
      <c r="U108">
        <f t="shared" si="12"/>
        <v>-4.7286052009451723E-4</v>
      </c>
      <c r="V108">
        <v>1156.1400149999999</v>
      </c>
      <c r="W108">
        <f t="shared" si="13"/>
        <v>8.8922417520133842E-3</v>
      </c>
    </row>
    <row r="109" spans="1:23">
      <c r="A109" s="1">
        <v>44018</v>
      </c>
      <c r="B109">
        <v>54.459999000000003</v>
      </c>
      <c r="C109">
        <v>107</v>
      </c>
      <c r="D109">
        <f t="shared" si="7"/>
        <v>147.21700496344027</v>
      </c>
      <c r="E109">
        <v>16.940000999999999</v>
      </c>
      <c r="F109">
        <v>107</v>
      </c>
      <c r="G109">
        <f t="shared" si="8"/>
        <v>29.346477240143372</v>
      </c>
      <c r="H109">
        <v>986.77002000000005</v>
      </c>
      <c r="I109">
        <v>107</v>
      </c>
      <c r="J109">
        <f t="shared" si="9"/>
        <v>1155.4168350797484</v>
      </c>
      <c r="K109">
        <f t="shared" si="10"/>
        <v>-53.79912160394997</v>
      </c>
      <c r="L109">
        <v>-60.290189257722886</v>
      </c>
      <c r="Q109" s="1">
        <v>44293</v>
      </c>
      <c r="R109">
        <v>90.260002</v>
      </c>
      <c r="S109">
        <f t="shared" si="11"/>
        <v>3.6695429778716027E-3</v>
      </c>
      <c r="T109">
        <v>21.02</v>
      </c>
      <c r="U109">
        <f t="shared" si="12"/>
        <v>-5.6763957273602509E-3</v>
      </c>
      <c r="V109">
        <v>1159.469971</v>
      </c>
      <c r="W109">
        <f t="shared" si="13"/>
        <v>2.8802359202142473E-3</v>
      </c>
    </row>
    <row r="110" spans="1:23">
      <c r="A110" s="1">
        <v>44019</v>
      </c>
      <c r="B110">
        <v>52.82</v>
      </c>
      <c r="C110">
        <v>108</v>
      </c>
      <c r="D110">
        <f t="shared" si="7"/>
        <v>138.69372270829459</v>
      </c>
      <c r="E110">
        <v>16.389999</v>
      </c>
      <c r="F110">
        <v>108</v>
      </c>
      <c r="G110">
        <f t="shared" si="8"/>
        <v>28.05843819017484</v>
      </c>
      <c r="H110">
        <v>1013.98999</v>
      </c>
      <c r="I110">
        <v>108</v>
      </c>
      <c r="J110">
        <f t="shared" si="9"/>
        <v>1239.267411002211</v>
      </c>
      <c r="K110">
        <f t="shared" si="10"/>
        <v>9.3486219399910624</v>
      </c>
      <c r="L110">
        <v>-60.051248486932309</v>
      </c>
      <c r="Q110" s="1">
        <v>44294</v>
      </c>
      <c r="R110">
        <v>91.029999000000004</v>
      </c>
      <c r="S110">
        <f t="shared" si="11"/>
        <v>8.530877276071892E-3</v>
      </c>
      <c r="T110">
        <v>21.030000999999999</v>
      </c>
      <c r="U110">
        <f t="shared" si="12"/>
        <v>4.7578496669833676E-4</v>
      </c>
      <c r="V110">
        <v>1222.6899410000001</v>
      </c>
      <c r="W110">
        <f t="shared" si="13"/>
        <v>5.4524887734242238E-2</v>
      </c>
    </row>
    <row r="111" spans="1:23">
      <c r="A111" s="1">
        <v>44020</v>
      </c>
      <c r="B111">
        <v>53.310001</v>
      </c>
      <c r="C111">
        <v>109</v>
      </c>
      <c r="D111">
        <f t="shared" si="7"/>
        <v>144.32658354789854</v>
      </c>
      <c r="E111">
        <v>16.239999999999998</v>
      </c>
      <c r="F111">
        <v>109</v>
      </c>
      <c r="G111">
        <f t="shared" si="8"/>
        <v>28.73459601797413</v>
      </c>
      <c r="H111">
        <v>1017.299988</v>
      </c>
      <c r="I111">
        <v>109</v>
      </c>
      <c r="J111">
        <f t="shared" si="9"/>
        <v>1209.9367820465368</v>
      </c>
      <c r="K111">
        <f t="shared" si="10"/>
        <v>17.158339841670568</v>
      </c>
      <c r="L111">
        <v>-59.584031535553549</v>
      </c>
      <c r="Q111" s="1">
        <v>44295</v>
      </c>
      <c r="R111">
        <v>91.669998000000007</v>
      </c>
      <c r="S111">
        <f t="shared" si="11"/>
        <v>7.030638328360336E-3</v>
      </c>
      <c r="T111">
        <v>20.870000999999998</v>
      </c>
      <c r="U111">
        <f t="shared" si="12"/>
        <v>-7.6081784304242381E-3</v>
      </c>
      <c r="V111">
        <v>1227.3000489999999</v>
      </c>
      <c r="W111">
        <f t="shared" si="13"/>
        <v>3.7704636681883475E-3</v>
      </c>
    </row>
    <row r="112" spans="1:23">
      <c r="A112" s="1">
        <v>44021</v>
      </c>
      <c r="B112">
        <v>52.130001</v>
      </c>
      <c r="C112">
        <v>110</v>
      </c>
      <c r="D112">
        <f t="shared" si="7"/>
        <v>139.83474025821158</v>
      </c>
      <c r="E112">
        <v>15.73</v>
      </c>
      <c r="F112">
        <v>110</v>
      </c>
      <c r="G112">
        <f t="shared" si="8"/>
        <v>28.089285714285719</v>
      </c>
      <c r="H112">
        <v>1040.0200199999999</v>
      </c>
      <c r="I112">
        <v>110</v>
      </c>
      <c r="J112">
        <f t="shared" si="9"/>
        <v>1232.9343939007299</v>
      </c>
      <c r="K112">
        <f t="shared" si="10"/>
        <v>8.5554760978611739</v>
      </c>
      <c r="L112">
        <v>-57.650475066571744</v>
      </c>
      <c r="Q112" s="1">
        <v>44298</v>
      </c>
      <c r="R112">
        <v>92.089995999999999</v>
      </c>
      <c r="S112">
        <f t="shared" si="11"/>
        <v>4.5816298588769741E-3</v>
      </c>
      <c r="T112">
        <v>20.76</v>
      </c>
      <c r="U112">
        <f t="shared" si="12"/>
        <v>-5.270771189708947E-3</v>
      </c>
      <c r="V112">
        <v>1202</v>
      </c>
      <c r="W112">
        <f t="shared" si="13"/>
        <v>-2.0614395820006966E-2</v>
      </c>
    </row>
    <row r="113" spans="1:23">
      <c r="A113" s="1">
        <v>44022</v>
      </c>
      <c r="B113">
        <v>53.580002</v>
      </c>
      <c r="C113">
        <v>111</v>
      </c>
      <c r="D113">
        <f t="shared" si="7"/>
        <v>146.97755877656707</v>
      </c>
      <c r="E113">
        <v>16.139999</v>
      </c>
      <c r="F113">
        <v>111</v>
      </c>
      <c r="G113">
        <f t="shared" si="8"/>
        <v>29.755878639542274</v>
      </c>
      <c r="H113">
        <v>1031.8599850000001</v>
      </c>
      <c r="I113">
        <v>111</v>
      </c>
      <c r="J113">
        <f t="shared" si="9"/>
        <v>1196.5376800246597</v>
      </c>
      <c r="K113">
        <f t="shared" si="10"/>
        <v>32.189127408124477</v>
      </c>
      <c r="L113">
        <v>-57.456880123158953</v>
      </c>
      <c r="Q113" s="1">
        <v>44299</v>
      </c>
      <c r="R113">
        <v>90.839995999999999</v>
      </c>
      <c r="S113">
        <f t="shared" si="11"/>
        <v>-1.3573678513353393E-2</v>
      </c>
      <c r="T113">
        <v>20.610001</v>
      </c>
      <c r="U113">
        <f t="shared" si="12"/>
        <v>-7.2253853564547737E-3</v>
      </c>
      <c r="V113">
        <v>1241.540039</v>
      </c>
      <c r="W113">
        <f t="shared" si="13"/>
        <v>3.2895207154742076E-2</v>
      </c>
    </row>
    <row r="114" spans="1:23">
      <c r="A114" s="1">
        <v>44025</v>
      </c>
      <c r="B114">
        <v>53.75</v>
      </c>
      <c r="C114">
        <v>112</v>
      </c>
      <c r="D114">
        <f t="shared" si="7"/>
        <v>143.4537087176667</v>
      </c>
      <c r="E114">
        <v>16.25</v>
      </c>
      <c r="F114">
        <v>112</v>
      </c>
      <c r="G114">
        <f t="shared" si="8"/>
        <v>29.197647410015328</v>
      </c>
      <c r="H114">
        <v>968.75</v>
      </c>
      <c r="I114">
        <v>112</v>
      </c>
      <c r="J114">
        <f t="shared" si="9"/>
        <v>1132.2393706351545</v>
      </c>
      <c r="K114">
        <f t="shared" si="10"/>
        <v>-140.01946040279381</v>
      </c>
      <c r="L114">
        <v>-57.052911503296855</v>
      </c>
      <c r="Q114" s="1">
        <v>44300</v>
      </c>
      <c r="R114">
        <v>91.349997999999999</v>
      </c>
      <c r="S114">
        <f t="shared" si="11"/>
        <v>5.6142891067498518E-3</v>
      </c>
      <c r="T114">
        <v>21.43</v>
      </c>
      <c r="U114">
        <f t="shared" si="12"/>
        <v>3.9786460951651545E-2</v>
      </c>
      <c r="V114">
        <v>1179.8599850000001</v>
      </c>
      <c r="W114">
        <f t="shared" si="13"/>
        <v>-4.9680277769922107E-2</v>
      </c>
    </row>
    <row r="115" spans="1:23">
      <c r="A115" s="1">
        <v>44026</v>
      </c>
      <c r="B115">
        <v>54.209999000000003</v>
      </c>
      <c r="C115">
        <v>113</v>
      </c>
      <c r="D115">
        <f t="shared" si="7"/>
        <v>144.22381129302326</v>
      </c>
      <c r="E115">
        <v>16.969999000000001</v>
      </c>
      <c r="F115">
        <v>113</v>
      </c>
      <c r="G115">
        <f t="shared" si="8"/>
        <v>30.284921292307697</v>
      </c>
      <c r="H115">
        <v>974.40997300000004</v>
      </c>
      <c r="I115">
        <v>113</v>
      </c>
      <c r="J115">
        <f t="shared" si="9"/>
        <v>1213.0461186456773</v>
      </c>
      <c r="K115">
        <f t="shared" si="10"/>
        <v>45.604169606202959</v>
      </c>
      <c r="L115">
        <v>-55.795333669067077</v>
      </c>
      <c r="Q115" s="1">
        <v>44301</v>
      </c>
      <c r="R115">
        <v>91.529999000000004</v>
      </c>
      <c r="S115">
        <f t="shared" si="11"/>
        <v>1.9704543398020029E-3</v>
      </c>
      <c r="T115">
        <v>21.1</v>
      </c>
      <c r="U115">
        <f t="shared" si="12"/>
        <v>-1.5398973401773135E-2</v>
      </c>
      <c r="V115">
        <v>1208.339966</v>
      </c>
      <c r="W115">
        <f t="shared" si="13"/>
        <v>2.4138441308355713E-2</v>
      </c>
    </row>
    <row r="116" spans="1:23">
      <c r="A116" s="1">
        <v>44027</v>
      </c>
      <c r="B116">
        <v>55.970001000000003</v>
      </c>
      <c r="C116">
        <v>114</v>
      </c>
      <c r="D116">
        <f t="shared" si="7"/>
        <v>147.64269121274103</v>
      </c>
      <c r="E116">
        <v>17.299999</v>
      </c>
      <c r="F116">
        <v>114</v>
      </c>
      <c r="G116">
        <f t="shared" si="8"/>
        <v>29.563936391510687</v>
      </c>
      <c r="H116">
        <v>959.45001200000002</v>
      </c>
      <c r="I116">
        <v>114</v>
      </c>
      <c r="J116">
        <f t="shared" si="9"/>
        <v>1187.4844742296166</v>
      </c>
      <c r="K116">
        <f t="shared" si="10"/>
        <v>17.854906459303493</v>
      </c>
      <c r="L116">
        <v>-55.551932254054009</v>
      </c>
      <c r="Q116" s="1">
        <v>44302</v>
      </c>
      <c r="R116">
        <v>91.779999000000004</v>
      </c>
      <c r="S116">
        <f t="shared" si="11"/>
        <v>2.7313449440767501E-3</v>
      </c>
      <c r="T116">
        <v>20.889999</v>
      </c>
      <c r="U116">
        <f t="shared" si="12"/>
        <v>-9.9526540284361076E-3</v>
      </c>
      <c r="V116">
        <v>1207.8000489999999</v>
      </c>
      <c r="W116">
        <f t="shared" si="13"/>
        <v>-4.4682540939811922E-4</v>
      </c>
    </row>
    <row r="117" spans="1:23">
      <c r="A117" s="1">
        <v>44028</v>
      </c>
      <c r="B117">
        <v>55.560001</v>
      </c>
      <c r="C117">
        <v>115</v>
      </c>
      <c r="D117">
        <f t="shared" si="7"/>
        <v>141.95247455864794</v>
      </c>
      <c r="E117">
        <v>17.079999999999998</v>
      </c>
      <c r="F117">
        <v>115</v>
      </c>
      <c r="G117">
        <f t="shared" si="8"/>
        <v>28.631215527815922</v>
      </c>
      <c r="H117">
        <v>925.48999000000003</v>
      </c>
      <c r="I117">
        <v>115</v>
      </c>
      <c r="J117">
        <f t="shared" si="9"/>
        <v>1163.3132669552774</v>
      </c>
      <c r="K117">
        <f t="shared" si="10"/>
        <v>-101.38048758572677</v>
      </c>
      <c r="L117">
        <v>-55.000634872832961</v>
      </c>
      <c r="Q117" s="1">
        <v>44305</v>
      </c>
      <c r="R117">
        <v>90.970000999999996</v>
      </c>
      <c r="S117">
        <f t="shared" si="11"/>
        <v>-8.8254304731470671E-3</v>
      </c>
      <c r="T117">
        <v>20.889999</v>
      </c>
      <c r="U117">
        <f t="shared" si="12"/>
        <v>0</v>
      </c>
      <c r="V117">
        <v>1145.780029</v>
      </c>
      <c r="W117">
        <f t="shared" si="13"/>
        <v>-5.1349575661426332E-2</v>
      </c>
    </row>
    <row r="118" spans="1:23">
      <c r="A118" s="1">
        <v>44029</v>
      </c>
      <c r="B118">
        <v>54.939999</v>
      </c>
      <c r="C118">
        <v>116</v>
      </c>
      <c r="D118">
        <f t="shared" si="7"/>
        <v>141.40424254132031</v>
      </c>
      <c r="E118">
        <v>17</v>
      </c>
      <c r="F118">
        <v>116</v>
      </c>
      <c r="G118">
        <f t="shared" si="8"/>
        <v>28.86416861826698</v>
      </c>
      <c r="H118">
        <v>928.13000499999998</v>
      </c>
      <c r="I118">
        <v>116</v>
      </c>
      <c r="J118">
        <f t="shared" si="9"/>
        <v>1209.4401864141178</v>
      </c>
      <c r="K118">
        <f t="shared" si="10"/>
        <v>-11.11467248455665</v>
      </c>
      <c r="L118">
        <v>-54.298870412488213</v>
      </c>
      <c r="Q118" s="1">
        <v>44306</v>
      </c>
      <c r="R118">
        <v>89.260002</v>
      </c>
      <c r="S118">
        <f t="shared" si="11"/>
        <v>-1.8797394538887565E-2</v>
      </c>
      <c r="T118">
        <v>20.030000999999999</v>
      </c>
      <c r="U118">
        <f t="shared" si="12"/>
        <v>-4.1167929208613223E-2</v>
      </c>
      <c r="V118">
        <v>1123.01001</v>
      </c>
      <c r="W118">
        <f t="shared" si="13"/>
        <v>-1.9872941073927591E-2</v>
      </c>
    </row>
    <row r="119" spans="1:23">
      <c r="A119" s="1">
        <v>44032</v>
      </c>
      <c r="B119">
        <v>54.779998999999997</v>
      </c>
      <c r="C119">
        <v>117</v>
      </c>
      <c r="D119">
        <f t="shared" si="7"/>
        <v>142.58354567862295</v>
      </c>
      <c r="E119">
        <v>16.719999000000001</v>
      </c>
      <c r="F119">
        <v>117</v>
      </c>
      <c r="G119">
        <f t="shared" si="8"/>
        <v>28.522351235294121</v>
      </c>
      <c r="H119">
        <v>1009.3900149999999</v>
      </c>
      <c r="I119">
        <v>117</v>
      </c>
      <c r="J119">
        <f t="shared" si="9"/>
        <v>1311.588195114972</v>
      </c>
      <c r="K119">
        <f t="shared" si="10"/>
        <v>199.84711554558544</v>
      </c>
      <c r="L119">
        <v>-53.79912160394997</v>
      </c>
      <c r="Q119" s="1">
        <v>44307</v>
      </c>
      <c r="R119">
        <v>91.120002999999997</v>
      </c>
      <c r="S119">
        <f t="shared" si="11"/>
        <v>2.0838012080707739E-2</v>
      </c>
      <c r="T119">
        <v>20.379999000000002</v>
      </c>
      <c r="U119">
        <f t="shared" si="12"/>
        <v>1.7473688593425581E-2</v>
      </c>
      <c r="V119">
        <v>1142.0600589999999</v>
      </c>
      <c r="W119">
        <f t="shared" si="13"/>
        <v>1.6963383077947761E-2</v>
      </c>
    </row>
    <row r="120" spans="1:23">
      <c r="A120" s="1">
        <v>44033</v>
      </c>
      <c r="B120">
        <v>55.720001000000003</v>
      </c>
      <c r="C120">
        <v>118</v>
      </c>
      <c r="D120">
        <f t="shared" si="7"/>
        <v>145.45382052672181</v>
      </c>
      <c r="E120">
        <v>18.18</v>
      </c>
      <c r="F120">
        <v>118</v>
      </c>
      <c r="G120">
        <f t="shared" si="8"/>
        <v>31.532298536620726</v>
      </c>
      <c r="H120">
        <v>952.830017</v>
      </c>
      <c r="I120">
        <v>118</v>
      </c>
      <c r="J120">
        <f t="shared" si="9"/>
        <v>1138.4231896746078</v>
      </c>
      <c r="K120">
        <f t="shared" si="10"/>
        <v>-72.630937334255577</v>
      </c>
      <c r="L120">
        <v>-51.236256544212665</v>
      </c>
      <c r="Q120" s="1">
        <v>44308</v>
      </c>
      <c r="R120">
        <v>91.089995999999999</v>
      </c>
      <c r="S120">
        <f t="shared" si="11"/>
        <v>-3.2931298301205799E-4</v>
      </c>
      <c r="T120">
        <v>20.079999999999998</v>
      </c>
      <c r="U120">
        <f t="shared" si="12"/>
        <v>-1.4720265687942536E-2</v>
      </c>
      <c r="V120">
        <v>1096.6400149999999</v>
      </c>
      <c r="W120">
        <f t="shared" si="13"/>
        <v>-3.977027621451909E-2</v>
      </c>
    </row>
    <row r="121" spans="1:23">
      <c r="A121" s="1">
        <v>44034</v>
      </c>
      <c r="B121">
        <v>55.810001</v>
      </c>
      <c r="C121">
        <v>119</v>
      </c>
      <c r="D121">
        <f t="shared" si="7"/>
        <v>143.23097630597672</v>
      </c>
      <c r="E121">
        <v>17.940000999999999</v>
      </c>
      <c r="F121">
        <v>119</v>
      </c>
      <c r="G121">
        <f t="shared" si="8"/>
        <v>28.617163311331129</v>
      </c>
      <c r="H121">
        <v>957.330017</v>
      </c>
      <c r="I121">
        <v>119</v>
      </c>
      <c r="J121">
        <f t="shared" si="9"/>
        <v>1211.6956643925714</v>
      </c>
      <c r="K121">
        <f t="shared" si="10"/>
        <v>7.9585415148767424</v>
      </c>
      <c r="L121">
        <v>-51.186285331188628</v>
      </c>
      <c r="Q121" s="1">
        <v>44309</v>
      </c>
      <c r="R121">
        <v>92.959998999999996</v>
      </c>
      <c r="S121">
        <f t="shared" si="11"/>
        <v>2.0529180833425406E-2</v>
      </c>
      <c r="T121">
        <v>20.370000999999998</v>
      </c>
      <c r="U121">
        <f t="shared" si="12"/>
        <v>1.4442280876494034E-2</v>
      </c>
      <c r="V121">
        <v>1099.030029</v>
      </c>
      <c r="W121">
        <f t="shared" si="13"/>
        <v>2.1793970375958466E-3</v>
      </c>
    </row>
    <row r="122" spans="1:23">
      <c r="A122" s="1">
        <v>44035</v>
      </c>
      <c r="B122">
        <v>55.259998000000003</v>
      </c>
      <c r="C122">
        <v>120</v>
      </c>
      <c r="D122">
        <f t="shared" si="7"/>
        <v>141.59074668355589</v>
      </c>
      <c r="E122">
        <v>17.18</v>
      </c>
      <c r="F122">
        <v>120</v>
      </c>
      <c r="G122">
        <f t="shared" si="8"/>
        <v>27.771458875615448</v>
      </c>
      <c r="H122">
        <v>928.40997300000004</v>
      </c>
      <c r="I122">
        <v>120</v>
      </c>
      <c r="J122">
        <f t="shared" si="9"/>
        <v>1169.5678685044302</v>
      </c>
      <c r="K122">
        <f t="shared" si="10"/>
        <v>-105.38491302134935</v>
      </c>
      <c r="L122">
        <v>-50.90952140369518</v>
      </c>
      <c r="Q122" s="1">
        <v>44312</v>
      </c>
      <c r="R122">
        <v>94.169998000000007</v>
      </c>
      <c r="S122">
        <f t="shared" si="11"/>
        <v>1.301634050146677E-2</v>
      </c>
      <c r="T122">
        <v>20.540001</v>
      </c>
      <c r="U122">
        <f t="shared" si="12"/>
        <v>8.3456058740498697E-3</v>
      </c>
      <c r="V122">
        <v>1166</v>
      </c>
      <c r="W122">
        <f t="shared" si="13"/>
        <v>6.0935524264915226E-2</v>
      </c>
    </row>
    <row r="123" spans="1:23">
      <c r="A123" s="1">
        <v>44036</v>
      </c>
      <c r="B123">
        <v>54.93</v>
      </c>
      <c r="C123">
        <v>121</v>
      </c>
      <c r="D123">
        <f t="shared" si="7"/>
        <v>142.14604206102214</v>
      </c>
      <c r="E123">
        <v>16.700001</v>
      </c>
      <c r="F123">
        <v>121</v>
      </c>
      <c r="G123">
        <f t="shared" si="8"/>
        <v>28.189757217694993</v>
      </c>
      <c r="H123">
        <v>929.80999799999995</v>
      </c>
      <c r="I123">
        <v>121</v>
      </c>
      <c r="J123">
        <f t="shared" si="9"/>
        <v>1207.8186256062545</v>
      </c>
      <c r="K123">
        <f t="shared" si="10"/>
        <v>-17.055969911844841</v>
      </c>
      <c r="L123">
        <v>-50.556972177952957</v>
      </c>
      <c r="Q123" s="1">
        <v>44313</v>
      </c>
      <c r="R123">
        <v>94.230002999999996</v>
      </c>
      <c r="S123">
        <f t="shared" si="11"/>
        <v>6.3719869676528659E-4</v>
      </c>
      <c r="T123">
        <v>20.860001</v>
      </c>
      <c r="U123">
        <f t="shared" si="12"/>
        <v>1.5579356593020628E-2</v>
      </c>
      <c r="V123">
        <v>1156.8900149999999</v>
      </c>
      <c r="W123">
        <f t="shared" si="13"/>
        <v>-7.8130231560892376E-3</v>
      </c>
    </row>
    <row r="124" spans="1:23">
      <c r="A124" s="1">
        <v>44039</v>
      </c>
      <c r="B124">
        <v>55.529998999999997</v>
      </c>
      <c r="C124">
        <v>122</v>
      </c>
      <c r="D124">
        <f t="shared" si="7"/>
        <v>144.56198538139449</v>
      </c>
      <c r="E124">
        <v>16.850000000000001</v>
      </c>
      <c r="F124">
        <v>122</v>
      </c>
      <c r="G124">
        <f t="shared" si="8"/>
        <v>29.26047728979178</v>
      </c>
      <c r="H124">
        <v>976.39001499999995</v>
      </c>
      <c r="I124">
        <v>122</v>
      </c>
      <c r="J124">
        <f t="shared" si="9"/>
        <v>1266.4161071862341</v>
      </c>
      <c r="K124">
        <f t="shared" si="10"/>
        <v>140.35922753329032</v>
      </c>
      <c r="L124">
        <v>-50.359524339515701</v>
      </c>
      <c r="Q124" s="1">
        <v>44314</v>
      </c>
      <c r="R124">
        <v>95.050003000000004</v>
      </c>
      <c r="S124">
        <f t="shared" si="11"/>
        <v>8.7021115769253185E-3</v>
      </c>
      <c r="T124">
        <v>21.57</v>
      </c>
      <c r="U124">
        <f t="shared" si="12"/>
        <v>3.4036383794995975E-2</v>
      </c>
      <c r="V124">
        <v>1288.8000489999999</v>
      </c>
      <c r="W124">
        <f t="shared" si="13"/>
        <v>0.1140212399533935</v>
      </c>
    </row>
    <row r="125" spans="1:23">
      <c r="A125" s="1">
        <v>44040</v>
      </c>
      <c r="B125">
        <v>55.240001999999997</v>
      </c>
      <c r="C125">
        <v>123</v>
      </c>
      <c r="D125">
        <f t="shared" si="7"/>
        <v>142.25320418248162</v>
      </c>
      <c r="E125">
        <v>16.129999000000002</v>
      </c>
      <c r="F125">
        <v>123</v>
      </c>
      <c r="G125">
        <f t="shared" si="8"/>
        <v>27.760829139465876</v>
      </c>
      <c r="H125">
        <v>985</v>
      </c>
      <c r="I125">
        <v>123</v>
      </c>
      <c r="J125">
        <f t="shared" si="9"/>
        <v>1216.6347276707863</v>
      </c>
      <c r="K125">
        <f t="shared" si="10"/>
        <v>-4.7860657416231334</v>
      </c>
      <c r="L125">
        <v>-49.949340077902889</v>
      </c>
      <c r="Q125" s="1">
        <v>44315</v>
      </c>
      <c r="R125">
        <v>95.580001999999993</v>
      </c>
      <c r="S125">
        <f t="shared" si="11"/>
        <v>5.5760019281639516E-3</v>
      </c>
      <c r="T125">
        <v>21.76</v>
      </c>
      <c r="U125">
        <f t="shared" si="12"/>
        <v>8.8085303662494788E-3</v>
      </c>
      <c r="V125">
        <v>1233.0699460000001</v>
      </c>
      <c r="W125">
        <f t="shared" si="13"/>
        <v>-4.3241853570103232E-2</v>
      </c>
    </row>
    <row r="126" spans="1:23">
      <c r="A126" s="1">
        <v>44041</v>
      </c>
      <c r="B126">
        <v>56.290000999999997</v>
      </c>
      <c r="C126">
        <v>124</v>
      </c>
      <c r="D126">
        <f t="shared" si="7"/>
        <v>145.7181363425729</v>
      </c>
      <c r="E126">
        <v>16.43</v>
      </c>
      <c r="F126">
        <v>124</v>
      </c>
      <c r="G126">
        <f t="shared" si="8"/>
        <v>29.539369469272746</v>
      </c>
      <c r="H126">
        <v>1053.589966</v>
      </c>
      <c r="I126">
        <v>124</v>
      </c>
      <c r="J126">
        <f t="shared" si="9"/>
        <v>1289.9791867979695</v>
      </c>
      <c r="K126">
        <f t="shared" si="10"/>
        <v>203.23027906075913</v>
      </c>
      <c r="L126">
        <v>-48.672039854613104</v>
      </c>
      <c r="Q126" s="1">
        <v>44316</v>
      </c>
      <c r="R126">
        <v>94.339995999999999</v>
      </c>
      <c r="S126">
        <f t="shared" si="11"/>
        <v>-1.2973487905974244E-2</v>
      </c>
      <c r="T126">
        <v>21.42</v>
      </c>
      <c r="U126">
        <f t="shared" si="12"/>
        <v>-1.5624999999999993E-2</v>
      </c>
      <c r="V126">
        <v>1182.51001</v>
      </c>
      <c r="W126">
        <f t="shared" si="13"/>
        <v>-4.1003299256472274E-2</v>
      </c>
    </row>
    <row r="127" spans="1:23">
      <c r="A127" s="1">
        <v>44042</v>
      </c>
      <c r="B127">
        <v>55.990001999999997</v>
      </c>
      <c r="C127">
        <v>125</v>
      </c>
      <c r="D127">
        <f t="shared" si="7"/>
        <v>142.23787784263851</v>
      </c>
      <c r="E127">
        <v>16.209999</v>
      </c>
      <c r="F127">
        <v>125</v>
      </c>
      <c r="G127">
        <f t="shared" si="8"/>
        <v>28.611684175289106</v>
      </c>
      <c r="H127">
        <v>1048.839966</v>
      </c>
      <c r="I127">
        <v>125</v>
      </c>
      <c r="J127">
        <f t="shared" si="9"/>
        <v>1200.5628753263961</v>
      </c>
      <c r="K127">
        <f t="shared" si="10"/>
        <v>-24.320208291485869</v>
      </c>
      <c r="L127">
        <v>-48.142027187659551</v>
      </c>
      <c r="Q127" s="1">
        <v>44319</v>
      </c>
      <c r="R127">
        <v>94.32</v>
      </c>
      <c r="S127">
        <f t="shared" si="11"/>
        <v>-2.1195676115998692E-4</v>
      </c>
      <c r="T127">
        <v>21.940000999999999</v>
      </c>
      <c r="U127">
        <f t="shared" si="12"/>
        <v>2.4276423902894351E-2</v>
      </c>
      <c r="V127">
        <v>1122.01001</v>
      </c>
      <c r="W127">
        <f t="shared" si="13"/>
        <v>-5.1162357602368203E-2</v>
      </c>
    </row>
    <row r="128" spans="1:23">
      <c r="A128" s="1">
        <v>44043</v>
      </c>
      <c r="B128">
        <v>55.52</v>
      </c>
      <c r="C128">
        <v>126</v>
      </c>
      <c r="D128">
        <f t="shared" si="7"/>
        <v>141.79960200751557</v>
      </c>
      <c r="E128">
        <v>15.76</v>
      </c>
      <c r="F128">
        <v>126</v>
      </c>
      <c r="G128">
        <f t="shared" si="8"/>
        <v>28.194943133556023</v>
      </c>
      <c r="H128">
        <v>1024</v>
      </c>
      <c r="I128">
        <v>126</v>
      </c>
      <c r="J128">
        <f t="shared" si="9"/>
        <v>1177.4379695977375</v>
      </c>
      <c r="K128">
        <f t="shared" si="10"/>
        <v>-81.203893726028582</v>
      </c>
      <c r="L128">
        <v>-47.47790365286528</v>
      </c>
      <c r="Q128" s="1">
        <v>44320</v>
      </c>
      <c r="R128">
        <v>93.93</v>
      </c>
      <c r="S128">
        <f t="shared" si="11"/>
        <v>-4.1348600508904409E-3</v>
      </c>
      <c r="T128">
        <v>21.889999</v>
      </c>
      <c r="U128">
        <f t="shared" si="12"/>
        <v>-2.279033624474275E-3</v>
      </c>
      <c r="V128">
        <v>1142.9399410000001</v>
      </c>
      <c r="W128">
        <f t="shared" si="13"/>
        <v>1.8653961028387015E-2</v>
      </c>
    </row>
    <row r="129" spans="1:23">
      <c r="A129" s="1">
        <v>44046</v>
      </c>
      <c r="B129">
        <v>54.84</v>
      </c>
      <c r="C129">
        <v>127</v>
      </c>
      <c r="D129">
        <f t="shared" si="7"/>
        <v>141.2485590778098</v>
      </c>
      <c r="E129">
        <v>16.110001</v>
      </c>
      <c r="F129">
        <v>127</v>
      </c>
      <c r="G129">
        <f t="shared" si="8"/>
        <v>29.644037373096449</v>
      </c>
      <c r="H129">
        <v>1083.0500489999999</v>
      </c>
      <c r="I129">
        <v>127</v>
      </c>
      <c r="J129">
        <f t="shared" si="9"/>
        <v>1275.5452725527343</v>
      </c>
      <c r="K129">
        <f t="shared" si="10"/>
        <v>131.23669648001305</v>
      </c>
      <c r="L129">
        <v>-47.323483691828187</v>
      </c>
      <c r="Q129" s="1">
        <v>44321</v>
      </c>
      <c r="R129">
        <v>94.760002</v>
      </c>
      <c r="S129">
        <f t="shared" si="11"/>
        <v>8.8363888001702674E-3</v>
      </c>
      <c r="T129">
        <v>22.75</v>
      </c>
      <c r="U129">
        <f t="shared" si="12"/>
        <v>3.9287393297733841E-2</v>
      </c>
      <c r="V129">
        <v>1120.349976</v>
      </c>
      <c r="W129">
        <f t="shared" si="13"/>
        <v>-1.9764787448267256E-2</v>
      </c>
    </row>
    <row r="130" spans="1:23">
      <c r="A130" s="1">
        <v>44047</v>
      </c>
      <c r="B130">
        <v>54.84</v>
      </c>
      <c r="C130">
        <v>128</v>
      </c>
      <c r="D130">
        <f t="shared" si="7"/>
        <v>143</v>
      </c>
      <c r="E130">
        <v>16.09</v>
      </c>
      <c r="F130">
        <v>128</v>
      </c>
      <c r="G130">
        <f t="shared" si="8"/>
        <v>28.9639957191809</v>
      </c>
      <c r="H130">
        <v>1080</v>
      </c>
      <c r="I130">
        <v>128</v>
      </c>
      <c r="J130">
        <f t="shared" si="9"/>
        <v>1202.6037034969934</v>
      </c>
      <c r="K130">
        <f t="shared" si="10"/>
        <v>-7.3326572182995733</v>
      </c>
      <c r="L130">
        <v>-45.543299249970005</v>
      </c>
      <c r="Q130" s="1">
        <v>44322</v>
      </c>
      <c r="R130">
        <v>96.449996999999996</v>
      </c>
      <c r="S130">
        <f t="shared" si="11"/>
        <v>1.7834476195979779E-2</v>
      </c>
      <c r="T130">
        <v>22.99</v>
      </c>
      <c r="U130">
        <f t="shared" si="12"/>
        <v>1.054945054945048E-2</v>
      </c>
      <c r="V130">
        <v>1090.9300539999999</v>
      </c>
      <c r="W130">
        <f t="shared" si="13"/>
        <v>-2.625958194334807E-2</v>
      </c>
    </row>
    <row r="131" spans="1:23">
      <c r="A131" s="1">
        <v>44048</v>
      </c>
      <c r="B131">
        <v>56.040000999999997</v>
      </c>
      <c r="C131">
        <v>129</v>
      </c>
      <c r="D131">
        <f t="shared" si="7"/>
        <v>146.12910545222465</v>
      </c>
      <c r="E131">
        <v>16.629999000000002</v>
      </c>
      <c r="F131">
        <v>129</v>
      </c>
      <c r="G131">
        <f t="shared" si="8"/>
        <v>29.973273523927908</v>
      </c>
      <c r="H131">
        <v>1094.650024</v>
      </c>
      <c r="I131">
        <v>129</v>
      </c>
      <c r="J131">
        <f t="shared" si="9"/>
        <v>1222.3591934666667</v>
      </c>
      <c r="K131">
        <f t="shared" si="10"/>
        <v>78.608544314498431</v>
      </c>
      <c r="L131">
        <v>-45.512922871344927</v>
      </c>
      <c r="Q131" s="1">
        <v>44323</v>
      </c>
      <c r="R131">
        <v>97.089995999999999</v>
      </c>
      <c r="S131">
        <f t="shared" si="11"/>
        <v>6.6355523059270088E-3</v>
      </c>
      <c r="T131">
        <v>23.629999000000002</v>
      </c>
      <c r="U131">
        <f t="shared" si="12"/>
        <v>2.7838147020443807E-2</v>
      </c>
      <c r="V131">
        <v>1108.599976</v>
      </c>
      <c r="W131">
        <f t="shared" si="13"/>
        <v>1.6197117253495378E-2</v>
      </c>
    </row>
    <row r="132" spans="1:23">
      <c r="A132" s="1">
        <v>44049</v>
      </c>
      <c r="B132">
        <v>55.889999000000003</v>
      </c>
      <c r="C132">
        <v>130</v>
      </c>
      <c r="D132">
        <f t="shared" ref="D132:D195" si="14">143*B132/B131</f>
        <v>142.61723259069893</v>
      </c>
      <c r="E132">
        <v>16.43</v>
      </c>
      <c r="F132">
        <v>130</v>
      </c>
      <c r="G132">
        <f t="shared" ref="G132:G195" si="15">29 *E132/E131</f>
        <v>28.651234434830688</v>
      </c>
      <c r="H132">
        <v>1088.130005</v>
      </c>
      <c r="I132">
        <v>130</v>
      </c>
      <c r="J132">
        <f t="shared" ref="J132:J195" si="16">1206 *H132/H131</f>
        <v>1198.816751709129</v>
      </c>
      <c r="K132">
        <f t="shared" ref="K132:K195" si="17">(1430*D132/143+435*G132/29+2412*J132/1206)-1430-435-2412</f>
        <v>-23.425654152291827</v>
      </c>
      <c r="L132">
        <v>-45.462977487186436</v>
      </c>
      <c r="Q132" s="1">
        <v>44326</v>
      </c>
      <c r="R132">
        <v>97.470000999999996</v>
      </c>
      <c r="S132">
        <f t="shared" ref="S132:S195" si="18">(R132-R131)/R131</f>
        <v>3.9139459847129573E-3</v>
      </c>
      <c r="T132">
        <v>23.34</v>
      </c>
      <c r="U132">
        <f t="shared" ref="U132:U195" si="19">(T132-T131)/T131</f>
        <v>-1.2272493113520726E-2</v>
      </c>
      <c r="V132">
        <v>1080.23999</v>
      </c>
      <c r="W132">
        <f t="shared" ref="W132:W195" si="20">(V132-V131)/V131</f>
        <v>-2.5581802826955803E-2</v>
      </c>
    </row>
    <row r="133" spans="1:23">
      <c r="A133" s="1">
        <v>44050</v>
      </c>
      <c r="B133">
        <v>56.220001000000003</v>
      </c>
      <c r="C133">
        <v>131</v>
      </c>
      <c r="D133">
        <f t="shared" si="14"/>
        <v>143.84434222301562</v>
      </c>
      <c r="E133">
        <v>16.18</v>
      </c>
      <c r="F133">
        <v>131</v>
      </c>
      <c r="G133">
        <f t="shared" si="15"/>
        <v>28.558734023128423</v>
      </c>
      <c r="H133">
        <v>1053.119995</v>
      </c>
      <c r="I133">
        <v>131</v>
      </c>
      <c r="J133">
        <f t="shared" si="16"/>
        <v>1167.1975849705568</v>
      </c>
      <c r="K133">
        <f t="shared" si="17"/>
        <v>-75.780397481803448</v>
      </c>
      <c r="L133">
        <v>-44.303262099306266</v>
      </c>
      <c r="Q133" s="1">
        <v>44327</v>
      </c>
      <c r="R133">
        <v>96.800003000000004</v>
      </c>
      <c r="S133">
        <f t="shared" si="18"/>
        <v>-6.8738893313440366E-3</v>
      </c>
      <c r="T133">
        <v>22.889999</v>
      </c>
      <c r="U133">
        <f t="shared" si="19"/>
        <v>-1.9280248500428462E-2</v>
      </c>
      <c r="V133">
        <v>1110.1999510000001</v>
      </c>
      <c r="W133">
        <f t="shared" si="20"/>
        <v>2.773454165495208E-2</v>
      </c>
    </row>
    <row r="134" spans="1:23">
      <c r="A134" s="1">
        <v>44053</v>
      </c>
      <c r="B134">
        <v>57.369999</v>
      </c>
      <c r="C134">
        <v>132</v>
      </c>
      <c r="D134">
        <f t="shared" si="14"/>
        <v>145.92511047803077</v>
      </c>
      <c r="E134">
        <v>16.91</v>
      </c>
      <c r="F134">
        <v>132</v>
      </c>
      <c r="G134">
        <f t="shared" si="15"/>
        <v>30.308405438813349</v>
      </c>
      <c r="H134">
        <v>1005.559998</v>
      </c>
      <c r="I134">
        <v>132</v>
      </c>
      <c r="J134">
        <f t="shared" si="16"/>
        <v>1151.5357825752799</v>
      </c>
      <c r="K134">
        <f t="shared" si="17"/>
        <v>-60.051248486932309</v>
      </c>
      <c r="L134">
        <v>-42.698498530753568</v>
      </c>
      <c r="Q134" s="1">
        <v>44328</v>
      </c>
      <c r="R134">
        <v>96.010002</v>
      </c>
      <c r="S134">
        <f t="shared" si="18"/>
        <v>-8.1611671024432071E-3</v>
      </c>
      <c r="T134">
        <v>23.299999</v>
      </c>
      <c r="U134">
        <f t="shared" si="19"/>
        <v>1.7911752639220305E-2</v>
      </c>
      <c r="V134">
        <v>1083.900024</v>
      </c>
      <c r="W134">
        <f t="shared" si="20"/>
        <v>-2.368936062040956E-2</v>
      </c>
    </row>
    <row r="135" spans="1:23">
      <c r="A135" s="1">
        <v>44054</v>
      </c>
      <c r="B135">
        <v>58.259998000000003</v>
      </c>
      <c r="C135">
        <v>133</v>
      </c>
      <c r="D135">
        <f t="shared" si="14"/>
        <v>145.21840437891589</v>
      </c>
      <c r="E135">
        <v>16.959999</v>
      </c>
      <c r="F135">
        <v>133</v>
      </c>
      <c r="G135">
        <f t="shared" si="15"/>
        <v>29.085746363098757</v>
      </c>
      <c r="H135">
        <v>971.98999000000003</v>
      </c>
      <c r="I135">
        <v>133</v>
      </c>
      <c r="J135">
        <f t="shared" si="16"/>
        <v>1165.7384246305312</v>
      </c>
      <c r="K135">
        <f t="shared" si="17"/>
        <v>-57.052911503296855</v>
      </c>
      <c r="L135">
        <v>-42.335115331639827</v>
      </c>
      <c r="Q135" s="1">
        <v>44329</v>
      </c>
      <c r="R135">
        <v>98.199996999999996</v>
      </c>
      <c r="S135">
        <f t="shared" si="18"/>
        <v>2.2810071392353436E-2</v>
      </c>
      <c r="T135">
        <v>22.629999000000002</v>
      </c>
      <c r="U135">
        <f t="shared" si="19"/>
        <v>-2.8755366041002754E-2</v>
      </c>
      <c r="V135">
        <v>1047.7700199999999</v>
      </c>
      <c r="W135">
        <f t="shared" si="20"/>
        <v>-3.3333336285635229E-2</v>
      </c>
    </row>
    <row r="136" spans="1:23">
      <c r="A136" s="1">
        <v>44055</v>
      </c>
      <c r="B136">
        <v>59.360000999999997</v>
      </c>
      <c r="C136">
        <v>134</v>
      </c>
      <c r="D136">
        <f t="shared" si="14"/>
        <v>145.69997312735916</v>
      </c>
      <c r="E136">
        <v>17.41</v>
      </c>
      <c r="F136">
        <v>134</v>
      </c>
      <c r="G136">
        <f t="shared" si="15"/>
        <v>29.769459302444535</v>
      </c>
      <c r="H136">
        <v>991</v>
      </c>
      <c r="I136">
        <v>134</v>
      </c>
      <c r="J136">
        <f t="shared" si="16"/>
        <v>1229.586736793452</v>
      </c>
      <c r="K136">
        <f t="shared" si="17"/>
        <v>85.715094397163739</v>
      </c>
      <c r="L136">
        <v>-41.051665998613316</v>
      </c>
      <c r="Q136" s="1">
        <v>44330</v>
      </c>
      <c r="R136">
        <v>99.580001999999993</v>
      </c>
      <c r="S136">
        <f t="shared" si="18"/>
        <v>1.4053004502637582E-2</v>
      </c>
      <c r="T136">
        <v>23.23</v>
      </c>
      <c r="U136">
        <f t="shared" si="19"/>
        <v>2.651352304522854E-2</v>
      </c>
      <c r="V136">
        <v>1085.01001</v>
      </c>
      <c r="W136">
        <f t="shared" si="20"/>
        <v>3.5542141203849333E-2</v>
      </c>
    </row>
    <row r="137" spans="1:23">
      <c r="A137" s="1">
        <v>44056</v>
      </c>
      <c r="B137">
        <v>58.810001</v>
      </c>
      <c r="C137">
        <v>135</v>
      </c>
      <c r="D137">
        <f t="shared" si="14"/>
        <v>141.67503371504321</v>
      </c>
      <c r="E137">
        <v>16.98</v>
      </c>
      <c r="F137">
        <v>135</v>
      </c>
      <c r="G137">
        <f t="shared" si="15"/>
        <v>28.283744974152786</v>
      </c>
      <c r="H137">
        <v>999.90002400000003</v>
      </c>
      <c r="I137">
        <v>135</v>
      </c>
      <c r="J137">
        <f t="shared" si="16"/>
        <v>1216.8309071079718</v>
      </c>
      <c r="K137">
        <f t="shared" si="17"/>
        <v>-2.3316740213322191</v>
      </c>
      <c r="L137">
        <v>-40.730086275480062</v>
      </c>
      <c r="Q137" s="1">
        <v>44333</v>
      </c>
      <c r="R137">
        <v>100.709999</v>
      </c>
      <c r="S137">
        <f t="shared" si="18"/>
        <v>1.1347629818284228E-2</v>
      </c>
      <c r="T137">
        <v>24.08</v>
      </c>
      <c r="U137">
        <f t="shared" si="19"/>
        <v>3.6590615583297369E-2</v>
      </c>
      <c r="V137">
        <v>1096.3900149999999</v>
      </c>
      <c r="W137">
        <f t="shared" si="20"/>
        <v>1.0488387107138286E-2</v>
      </c>
    </row>
    <row r="138" spans="1:23">
      <c r="A138" s="1">
        <v>44057</v>
      </c>
      <c r="B138">
        <v>58.919998</v>
      </c>
      <c r="C138">
        <v>136</v>
      </c>
      <c r="D138">
        <f t="shared" si="14"/>
        <v>143.26746421922351</v>
      </c>
      <c r="E138">
        <v>17</v>
      </c>
      <c r="F138">
        <v>136</v>
      </c>
      <c r="G138">
        <f t="shared" si="15"/>
        <v>29.034157832744405</v>
      </c>
      <c r="H138">
        <v>987.90002400000003</v>
      </c>
      <c r="I138">
        <v>136</v>
      </c>
      <c r="J138">
        <f t="shared" si="16"/>
        <v>1191.5265530026629</v>
      </c>
      <c r="K138">
        <f t="shared" si="17"/>
        <v>-25.759884311272799</v>
      </c>
      <c r="L138">
        <v>-40.144692332327395</v>
      </c>
      <c r="Q138" s="1">
        <v>44334</v>
      </c>
      <c r="R138">
        <v>101.339996</v>
      </c>
      <c r="S138">
        <f t="shared" si="18"/>
        <v>6.2555556176701289E-3</v>
      </c>
      <c r="T138">
        <v>23.83</v>
      </c>
      <c r="U138">
        <f t="shared" si="19"/>
        <v>-1.0382059800664452E-2</v>
      </c>
      <c r="V138">
        <v>1133.3599850000001</v>
      </c>
      <c r="W138">
        <f t="shared" si="20"/>
        <v>3.3719725183743221E-2</v>
      </c>
    </row>
    <row r="139" spans="1:23">
      <c r="A139" s="1">
        <v>44060</v>
      </c>
      <c r="B139">
        <v>58.990001999999997</v>
      </c>
      <c r="C139">
        <v>137</v>
      </c>
      <c r="D139">
        <f t="shared" si="14"/>
        <v>143.16990109198579</v>
      </c>
      <c r="E139">
        <v>16.969999000000001</v>
      </c>
      <c r="F139">
        <v>137</v>
      </c>
      <c r="G139">
        <f t="shared" si="15"/>
        <v>28.948821823529414</v>
      </c>
      <c r="H139">
        <v>1012.960022</v>
      </c>
      <c r="I139">
        <v>137</v>
      </c>
      <c r="J139">
        <f t="shared" si="16"/>
        <v>1236.5925264235036</v>
      </c>
      <c r="K139">
        <f t="shared" si="17"/>
        <v>62.116391119806394</v>
      </c>
      <c r="L139">
        <v>-40.020684129822257</v>
      </c>
      <c r="Q139" s="1">
        <v>44335</v>
      </c>
      <c r="R139">
        <v>100.66999800000001</v>
      </c>
      <c r="S139">
        <f t="shared" si="18"/>
        <v>-6.6113876696816979E-3</v>
      </c>
      <c r="T139">
        <v>22.85</v>
      </c>
      <c r="U139">
        <f t="shared" si="19"/>
        <v>-4.11246328157783E-2</v>
      </c>
      <c r="V139">
        <v>1170.3900149999999</v>
      </c>
      <c r="W139">
        <f t="shared" si="20"/>
        <v>3.2672787543315193E-2</v>
      </c>
    </row>
    <row r="140" spans="1:23">
      <c r="A140" s="1">
        <v>44061</v>
      </c>
      <c r="B140">
        <v>58.669998</v>
      </c>
      <c r="C140">
        <v>138</v>
      </c>
      <c r="D140">
        <f t="shared" si="14"/>
        <v>142.22426563064025</v>
      </c>
      <c r="E140">
        <v>16.799999</v>
      </c>
      <c r="F140">
        <v>138</v>
      </c>
      <c r="G140">
        <f t="shared" si="15"/>
        <v>28.709487313464187</v>
      </c>
      <c r="H140">
        <v>1024.709961</v>
      </c>
      <c r="I140">
        <v>138</v>
      </c>
      <c r="J140">
        <f t="shared" si="16"/>
        <v>1219.9891270398034</v>
      </c>
      <c r="K140">
        <f t="shared" si="17"/>
        <v>15.863220087971968</v>
      </c>
      <c r="L140">
        <v>-39.614313920801578</v>
      </c>
      <c r="Q140" s="1">
        <v>44336</v>
      </c>
      <c r="R140">
        <v>102.129997</v>
      </c>
      <c r="S140">
        <f t="shared" si="18"/>
        <v>1.4502821386765063E-2</v>
      </c>
      <c r="T140">
        <v>23.059999000000001</v>
      </c>
      <c r="U140">
        <f t="shared" si="19"/>
        <v>9.1903282275711071E-3</v>
      </c>
      <c r="V140">
        <v>1214.900024</v>
      </c>
      <c r="W140">
        <f t="shared" si="20"/>
        <v>3.8030065558958208E-2</v>
      </c>
    </row>
    <row r="141" spans="1:23">
      <c r="A141" s="1">
        <v>44062</v>
      </c>
      <c r="B141">
        <v>58.34</v>
      </c>
      <c r="C141">
        <v>139</v>
      </c>
      <c r="D141">
        <f t="shared" si="14"/>
        <v>142.19567554783282</v>
      </c>
      <c r="E141">
        <v>16.549999</v>
      </c>
      <c r="F141">
        <v>139</v>
      </c>
      <c r="G141">
        <f t="shared" si="15"/>
        <v>28.568452355265023</v>
      </c>
      <c r="H141">
        <v>1009.1099850000001</v>
      </c>
      <c r="I141">
        <v>139</v>
      </c>
      <c r="J141">
        <f t="shared" si="16"/>
        <v>1187.6401013242419</v>
      </c>
      <c r="K141">
        <f t="shared" si="17"/>
        <v>-51.236256544212665</v>
      </c>
      <c r="L141">
        <v>-38.567805628470524</v>
      </c>
      <c r="Q141" s="1">
        <v>44337</v>
      </c>
      <c r="R141">
        <v>102.739998</v>
      </c>
      <c r="S141">
        <f t="shared" si="18"/>
        <v>5.9727897573520631E-3</v>
      </c>
      <c r="T141">
        <v>23.15</v>
      </c>
      <c r="U141">
        <f t="shared" si="19"/>
        <v>3.9029056332568501E-3</v>
      </c>
      <c r="V141">
        <v>1224.119995</v>
      </c>
      <c r="W141">
        <f t="shared" si="20"/>
        <v>7.58907796350491E-3</v>
      </c>
    </row>
    <row r="142" spans="1:23">
      <c r="A142" s="1">
        <v>44063</v>
      </c>
      <c r="B142">
        <v>57.720001000000003</v>
      </c>
      <c r="C142">
        <v>140</v>
      </c>
      <c r="D142">
        <f t="shared" si="14"/>
        <v>141.4802904182379</v>
      </c>
      <c r="E142">
        <v>16.290001</v>
      </c>
      <c r="F142">
        <v>140</v>
      </c>
      <c r="G142">
        <f t="shared" si="15"/>
        <v>28.544414353136819</v>
      </c>
      <c r="H142">
        <v>1039.619995</v>
      </c>
      <c r="I142">
        <v>140</v>
      </c>
      <c r="J142">
        <f t="shared" si="16"/>
        <v>1242.4628956277743</v>
      </c>
      <c r="K142">
        <f t="shared" si="17"/>
        <v>50.894910734979931</v>
      </c>
      <c r="L142">
        <v>-37.450650161994417</v>
      </c>
      <c r="Q142" s="1">
        <v>44340</v>
      </c>
      <c r="R142">
        <v>102.639999</v>
      </c>
      <c r="S142">
        <f t="shared" si="18"/>
        <v>-9.73321023424556E-4</v>
      </c>
      <c r="T142">
        <v>23.540001</v>
      </c>
      <c r="U142">
        <f t="shared" si="19"/>
        <v>1.6846695464362921E-2</v>
      </c>
      <c r="V142">
        <v>1261.4300539999999</v>
      </c>
      <c r="W142">
        <f t="shared" si="20"/>
        <v>3.0479086325193069E-2</v>
      </c>
    </row>
    <row r="143" spans="1:23">
      <c r="A143" s="1">
        <v>44064</v>
      </c>
      <c r="B143">
        <v>57.27</v>
      </c>
      <c r="C143">
        <v>141</v>
      </c>
      <c r="D143">
        <f t="shared" si="14"/>
        <v>141.88513267697275</v>
      </c>
      <c r="E143">
        <v>15.83</v>
      </c>
      <c r="F143">
        <v>141</v>
      </c>
      <c r="G143">
        <f t="shared" si="15"/>
        <v>28.181090964942236</v>
      </c>
      <c r="H143">
        <v>1021.119995</v>
      </c>
      <c r="I143">
        <v>141</v>
      </c>
      <c r="J143">
        <f t="shared" si="16"/>
        <v>1184.5392738622729</v>
      </c>
      <c r="K143">
        <f t="shared" si="17"/>
        <v>-66.353761031593422</v>
      </c>
      <c r="L143">
        <v>-36.578966012724777</v>
      </c>
      <c r="Q143" s="1">
        <v>44341</v>
      </c>
      <c r="R143">
        <v>102.5</v>
      </c>
      <c r="S143">
        <f t="shared" si="18"/>
        <v>-1.3639809174199533E-3</v>
      </c>
      <c r="T143">
        <v>23.16</v>
      </c>
      <c r="U143">
        <f t="shared" si="19"/>
        <v>-1.6142777564028141E-2</v>
      </c>
      <c r="V143">
        <v>1240</v>
      </c>
      <c r="W143">
        <f t="shared" si="20"/>
        <v>-1.6988697813283531E-2</v>
      </c>
    </row>
    <row r="144" spans="1:23">
      <c r="A144" s="1">
        <v>44067</v>
      </c>
      <c r="B144">
        <v>58.240001999999997</v>
      </c>
      <c r="C144">
        <v>142</v>
      </c>
      <c r="D144">
        <f t="shared" si="14"/>
        <v>145.42204096385541</v>
      </c>
      <c r="E144">
        <v>16.579999999999998</v>
      </c>
      <c r="F144">
        <v>142</v>
      </c>
      <c r="G144">
        <f t="shared" si="15"/>
        <v>30.373973468098544</v>
      </c>
      <c r="H144">
        <v>999.32000700000003</v>
      </c>
      <c r="I144">
        <v>142</v>
      </c>
      <c r="J144">
        <f t="shared" si="16"/>
        <v>1180.2529911697595</v>
      </c>
      <c r="K144">
        <f t="shared" si="17"/>
        <v>-6.664006000448353</v>
      </c>
      <c r="L144">
        <v>-36.035941901076512</v>
      </c>
      <c r="Q144" s="1">
        <v>44342</v>
      </c>
      <c r="R144">
        <v>103.43</v>
      </c>
      <c r="S144">
        <f t="shared" si="18"/>
        <v>9.0731707317073841E-3</v>
      </c>
      <c r="T144">
        <v>23.08</v>
      </c>
      <c r="U144">
        <f t="shared" si="19"/>
        <v>-3.4542314335061245E-3</v>
      </c>
      <c r="V144">
        <v>1238.829956</v>
      </c>
      <c r="W144">
        <f t="shared" si="20"/>
        <v>-9.4358387096771105E-4</v>
      </c>
    </row>
    <row r="145" spans="1:23">
      <c r="A145" s="1">
        <v>44068</v>
      </c>
      <c r="B145">
        <v>61.650002000000001</v>
      </c>
      <c r="C145">
        <v>143</v>
      </c>
      <c r="D145">
        <f t="shared" si="14"/>
        <v>151.37276756961649</v>
      </c>
      <c r="E145">
        <v>16.620000999999998</v>
      </c>
      <c r="F145">
        <v>143</v>
      </c>
      <c r="G145">
        <f t="shared" si="15"/>
        <v>29.069965560916767</v>
      </c>
      <c r="H145">
        <v>1037.1899410000001</v>
      </c>
      <c r="I145">
        <v>143</v>
      </c>
      <c r="J145">
        <f t="shared" si="16"/>
        <v>1251.7022175920472</v>
      </c>
      <c r="K145">
        <f t="shared" si="17"/>
        <v>176.18159429401021</v>
      </c>
      <c r="L145">
        <v>-35.726048523419195</v>
      </c>
      <c r="Q145" s="1">
        <v>44343</v>
      </c>
      <c r="R145">
        <v>104.32</v>
      </c>
      <c r="S145">
        <f t="shared" si="18"/>
        <v>8.6048535241224633E-3</v>
      </c>
      <c r="T145">
        <v>23.15</v>
      </c>
      <c r="U145">
        <f t="shared" si="19"/>
        <v>3.0329289428076382E-3</v>
      </c>
      <c r="V145">
        <v>1240.839966</v>
      </c>
      <c r="W145">
        <f t="shared" si="20"/>
        <v>1.6225067776775375E-3</v>
      </c>
    </row>
    <row r="146" spans="1:23">
      <c r="A146" s="1">
        <v>44069</v>
      </c>
      <c r="B146">
        <v>63.549999</v>
      </c>
      <c r="C146">
        <v>144</v>
      </c>
      <c r="D146">
        <f t="shared" si="14"/>
        <v>147.40712996246131</v>
      </c>
      <c r="E146">
        <v>16.290001</v>
      </c>
      <c r="F146">
        <v>144</v>
      </c>
      <c r="G146">
        <f t="shared" si="15"/>
        <v>28.424187760277515</v>
      </c>
      <c r="H146">
        <v>1089.329956</v>
      </c>
      <c r="I146">
        <v>144</v>
      </c>
      <c r="J146">
        <f t="shared" si="16"/>
        <v>1266.6261742467091</v>
      </c>
      <c r="K146">
        <f t="shared" si="17"/>
        <v>156.686464522194</v>
      </c>
      <c r="L146">
        <v>-35.682792643865469</v>
      </c>
      <c r="Q146" s="1">
        <v>44344</v>
      </c>
      <c r="R146">
        <v>105.019997</v>
      </c>
      <c r="S146">
        <f t="shared" si="18"/>
        <v>6.7100939417178915E-3</v>
      </c>
      <c r="T146">
        <v>23.1</v>
      </c>
      <c r="U146">
        <f t="shared" si="19"/>
        <v>-2.1598272138227716E-3</v>
      </c>
      <c r="V146">
        <v>1242.869995</v>
      </c>
      <c r="W146">
        <f t="shared" si="20"/>
        <v>1.6360119399958248E-3</v>
      </c>
    </row>
    <row r="147" spans="1:23">
      <c r="A147" s="1">
        <v>44070</v>
      </c>
      <c r="B147">
        <v>63.75</v>
      </c>
      <c r="C147">
        <v>145</v>
      </c>
      <c r="D147">
        <f t="shared" si="14"/>
        <v>143.45004159638145</v>
      </c>
      <c r="E147">
        <v>16.450001</v>
      </c>
      <c r="F147">
        <v>145</v>
      </c>
      <c r="G147">
        <f t="shared" si="15"/>
        <v>29.284837306025949</v>
      </c>
      <c r="H147">
        <v>1053.5</v>
      </c>
      <c r="I147">
        <v>145</v>
      </c>
      <c r="J147">
        <f t="shared" si="16"/>
        <v>1166.3325634276416</v>
      </c>
      <c r="K147">
        <f t="shared" si="17"/>
        <v>-70.561897590512672</v>
      </c>
      <c r="L147">
        <v>-35.130224534921581</v>
      </c>
      <c r="Q147" s="1">
        <v>44348</v>
      </c>
      <c r="R147">
        <v>106.08000199999999</v>
      </c>
      <c r="S147">
        <f t="shared" si="18"/>
        <v>1.0093363457247E-2</v>
      </c>
      <c r="T147">
        <v>24.51</v>
      </c>
      <c r="U147">
        <f t="shared" si="19"/>
        <v>6.1038961038961038E-2</v>
      </c>
      <c r="V147">
        <v>1251.5600589999999</v>
      </c>
      <c r="W147">
        <f t="shared" si="20"/>
        <v>6.9919332150261563E-3</v>
      </c>
    </row>
    <row r="148" spans="1:23">
      <c r="A148" s="1">
        <v>44071</v>
      </c>
      <c r="B148">
        <v>63.200001</v>
      </c>
      <c r="C148">
        <v>146</v>
      </c>
      <c r="D148">
        <f t="shared" si="14"/>
        <v>141.76627675294117</v>
      </c>
      <c r="E148">
        <v>16.600000000000001</v>
      </c>
      <c r="F148">
        <v>146</v>
      </c>
      <c r="G148">
        <f t="shared" si="15"/>
        <v>29.264435910976541</v>
      </c>
      <c r="H148">
        <v>1042.0600589999999</v>
      </c>
      <c r="I148">
        <v>146</v>
      </c>
      <c r="J148">
        <f t="shared" si="16"/>
        <v>1192.9040637437113</v>
      </c>
      <c r="K148">
        <f t="shared" si="17"/>
        <v>-34.562566318517383</v>
      </c>
      <c r="L148">
        <v>-34.822512619006375</v>
      </c>
      <c r="Q148" s="1">
        <v>44349</v>
      </c>
      <c r="R148">
        <v>105.93</v>
      </c>
      <c r="S148">
        <f t="shared" si="18"/>
        <v>-1.4140459763564714E-3</v>
      </c>
      <c r="T148">
        <v>25.110001</v>
      </c>
      <c r="U148">
        <f t="shared" si="19"/>
        <v>2.4479844961240265E-2</v>
      </c>
      <c r="V148">
        <v>1229.589966</v>
      </c>
      <c r="W148">
        <f t="shared" si="20"/>
        <v>-1.7554165972309851E-2</v>
      </c>
    </row>
    <row r="149" spans="1:23">
      <c r="A149" s="1">
        <v>44074</v>
      </c>
      <c r="B149">
        <v>63.57</v>
      </c>
      <c r="C149">
        <v>147</v>
      </c>
      <c r="D149">
        <f t="shared" si="14"/>
        <v>143.83718126839904</v>
      </c>
      <c r="E149">
        <v>16.030000999999999</v>
      </c>
      <c r="F149">
        <v>147</v>
      </c>
      <c r="G149">
        <f t="shared" si="15"/>
        <v>28.004218614457823</v>
      </c>
      <c r="H149">
        <v>1066.420044</v>
      </c>
      <c r="I149">
        <v>147</v>
      </c>
      <c r="J149">
        <f t="shared" si="16"/>
        <v>1234.1923691981749</v>
      </c>
      <c r="K149">
        <f t="shared" si="17"/>
        <v>49.819830297207773</v>
      </c>
      <c r="L149">
        <v>-34.7412538457138</v>
      </c>
      <c r="Q149" s="1">
        <v>44350</v>
      </c>
      <c r="R149">
        <v>106.220001</v>
      </c>
      <c r="S149">
        <f t="shared" si="18"/>
        <v>2.737666383460677E-3</v>
      </c>
      <c r="T149">
        <v>25.02</v>
      </c>
      <c r="U149">
        <f t="shared" si="19"/>
        <v>-3.5842690727093513E-3</v>
      </c>
      <c r="V149">
        <v>1199</v>
      </c>
      <c r="W149">
        <f t="shared" si="20"/>
        <v>-2.487818447275781E-2</v>
      </c>
    </row>
    <row r="150" spans="1:23">
      <c r="A150" s="1">
        <v>44075</v>
      </c>
      <c r="B150">
        <v>62.560001</v>
      </c>
      <c r="C150">
        <v>148</v>
      </c>
      <c r="D150">
        <f t="shared" si="14"/>
        <v>140.72801860940694</v>
      </c>
      <c r="E150">
        <v>16.129999000000002</v>
      </c>
      <c r="F150">
        <v>148</v>
      </c>
      <c r="G150">
        <f t="shared" si="15"/>
        <v>29.180907162763127</v>
      </c>
      <c r="H150">
        <v>1134.3199460000001</v>
      </c>
      <c r="I150">
        <v>148</v>
      </c>
      <c r="J150">
        <f t="shared" si="16"/>
        <v>1282.7870805436589</v>
      </c>
      <c r="K150">
        <f t="shared" si="17"/>
        <v>133.5679546228348</v>
      </c>
      <c r="L150">
        <v>-34.562566318517383</v>
      </c>
      <c r="Q150" s="1">
        <v>44351</v>
      </c>
      <c r="R150">
        <v>106.040001</v>
      </c>
      <c r="S150">
        <f t="shared" si="18"/>
        <v>-1.6945961053040531E-3</v>
      </c>
      <c r="T150">
        <v>25.49</v>
      </c>
      <c r="U150">
        <f t="shared" si="19"/>
        <v>1.8784972022382048E-2</v>
      </c>
      <c r="V150">
        <v>1205.73999</v>
      </c>
      <c r="W150">
        <f t="shared" si="20"/>
        <v>5.6213427856547406E-3</v>
      </c>
    </row>
    <row r="151" spans="1:23">
      <c r="A151" s="1">
        <v>44076</v>
      </c>
      <c r="B151">
        <v>62.810001</v>
      </c>
      <c r="C151">
        <v>149</v>
      </c>
      <c r="D151">
        <f t="shared" si="14"/>
        <v>143.57145139751515</v>
      </c>
      <c r="E151">
        <v>15.92</v>
      </c>
      <c r="F151">
        <v>149</v>
      </c>
      <c r="G151">
        <f t="shared" si="15"/>
        <v>28.622444427925878</v>
      </c>
      <c r="H151">
        <v>1074.589966</v>
      </c>
      <c r="I151">
        <v>149</v>
      </c>
      <c r="J151">
        <f t="shared" si="16"/>
        <v>1142.49555741833</v>
      </c>
      <c r="K151">
        <f t="shared" si="17"/>
        <v>-126.95770476930011</v>
      </c>
      <c r="L151">
        <v>-34.480122471333743</v>
      </c>
      <c r="Q151" s="1">
        <v>44354</v>
      </c>
      <c r="R151">
        <v>106.410004</v>
      </c>
      <c r="S151">
        <f t="shared" si="18"/>
        <v>3.4892775981772857E-3</v>
      </c>
      <c r="T151">
        <v>25.42</v>
      </c>
      <c r="U151">
        <f t="shared" si="19"/>
        <v>-2.7461749705765689E-3</v>
      </c>
      <c r="V151">
        <v>1230.5500489999999</v>
      </c>
      <c r="W151">
        <f t="shared" si="20"/>
        <v>2.0576624484354964E-2</v>
      </c>
    </row>
    <row r="152" spans="1:23">
      <c r="A152" s="1">
        <v>44077</v>
      </c>
      <c r="B152">
        <v>62.02</v>
      </c>
      <c r="C152">
        <v>150</v>
      </c>
      <c r="D152">
        <f t="shared" si="14"/>
        <v>141.20139880271617</v>
      </c>
      <c r="E152">
        <v>15.8</v>
      </c>
      <c r="F152">
        <v>150</v>
      </c>
      <c r="G152">
        <f t="shared" si="15"/>
        <v>28.781407035175882</v>
      </c>
      <c r="H152">
        <v>1015.700012</v>
      </c>
      <c r="I152">
        <v>150</v>
      </c>
      <c r="J152">
        <f t="shared" si="16"/>
        <v>1139.9084797261173</v>
      </c>
      <c r="K152">
        <f t="shared" si="17"/>
        <v>-153.44794699296563</v>
      </c>
      <c r="L152">
        <v>-34.471571231741109</v>
      </c>
      <c r="Q152" s="1">
        <v>44355</v>
      </c>
      <c r="R152">
        <v>105.769997</v>
      </c>
      <c r="S152">
        <f t="shared" si="18"/>
        <v>-6.0145378812315152E-3</v>
      </c>
      <c r="T152">
        <v>25.280000999999999</v>
      </c>
      <c r="U152">
        <f t="shared" si="19"/>
        <v>-5.5074350904800581E-3</v>
      </c>
      <c r="V152">
        <v>1230.73999</v>
      </c>
      <c r="W152">
        <f t="shared" si="20"/>
        <v>1.5435455075918643E-4</v>
      </c>
    </row>
    <row r="153" spans="1:23">
      <c r="A153" s="1">
        <v>44078</v>
      </c>
      <c r="B153">
        <v>62.310001</v>
      </c>
      <c r="C153">
        <v>151</v>
      </c>
      <c r="D153">
        <f t="shared" si="14"/>
        <v>143.66865757820057</v>
      </c>
      <c r="E153">
        <v>15.52</v>
      </c>
      <c r="F153">
        <v>151</v>
      </c>
      <c r="G153">
        <f t="shared" si="15"/>
        <v>28.486075949367088</v>
      </c>
      <c r="H153">
        <v>973.02002000000005</v>
      </c>
      <c r="I153">
        <v>151</v>
      </c>
      <c r="J153">
        <f t="shared" si="16"/>
        <v>1155.3235505130624</v>
      </c>
      <c r="K153">
        <f t="shared" si="17"/>
        <v>-102.3751839513634</v>
      </c>
      <c r="L153">
        <v>-34.43146764222638</v>
      </c>
      <c r="Q153" s="1">
        <v>44356</v>
      </c>
      <c r="R153">
        <v>104.91999800000001</v>
      </c>
      <c r="S153">
        <f t="shared" si="18"/>
        <v>-8.0362959639678992E-3</v>
      </c>
      <c r="T153">
        <v>25.030000999999999</v>
      </c>
      <c r="U153">
        <f t="shared" si="19"/>
        <v>-9.8892401151408193E-3</v>
      </c>
      <c r="V153">
        <v>1215.5600589999999</v>
      </c>
      <c r="W153">
        <f t="shared" si="20"/>
        <v>-1.233398696990428E-2</v>
      </c>
    </row>
    <row r="154" spans="1:23">
      <c r="A154" s="1">
        <v>44082</v>
      </c>
      <c r="B154">
        <v>60.540000999999997</v>
      </c>
      <c r="C154">
        <v>152</v>
      </c>
      <c r="D154">
        <f t="shared" si="14"/>
        <v>138.93789125440711</v>
      </c>
      <c r="E154">
        <v>13.99</v>
      </c>
      <c r="F154">
        <v>152</v>
      </c>
      <c r="G154">
        <f t="shared" si="15"/>
        <v>26.141108247422679</v>
      </c>
      <c r="H154">
        <v>917.40002400000003</v>
      </c>
      <c r="I154">
        <v>152</v>
      </c>
      <c r="J154">
        <f t="shared" si="16"/>
        <v>1137.0623483615475</v>
      </c>
      <c r="K154">
        <f t="shared" si="17"/>
        <v>-221.37976702149399</v>
      </c>
      <c r="L154">
        <v>-34.356261932691268</v>
      </c>
      <c r="Q154" s="1">
        <v>44357</v>
      </c>
      <c r="R154">
        <v>104.949997</v>
      </c>
      <c r="S154">
        <f t="shared" si="18"/>
        <v>2.8592261315130266E-4</v>
      </c>
      <c r="T154">
        <v>24.940000999999999</v>
      </c>
      <c r="U154">
        <f t="shared" si="19"/>
        <v>-3.5956850341316354E-3</v>
      </c>
      <c r="V154">
        <v>1231.099976</v>
      </c>
      <c r="W154">
        <f t="shared" si="20"/>
        <v>1.2784162234471756E-2</v>
      </c>
    </row>
    <row r="155" spans="1:23">
      <c r="A155" s="1">
        <v>44083</v>
      </c>
      <c r="B155">
        <v>61.400002000000001</v>
      </c>
      <c r="C155">
        <v>153</v>
      </c>
      <c r="D155">
        <f t="shared" si="14"/>
        <v>145.03138653730778</v>
      </c>
      <c r="E155">
        <v>14.08</v>
      </c>
      <c r="F155">
        <v>153</v>
      </c>
      <c r="G155">
        <f t="shared" si="15"/>
        <v>29.186561829878485</v>
      </c>
      <c r="H155">
        <v>949.30999799999995</v>
      </c>
      <c r="I155">
        <v>153</v>
      </c>
      <c r="J155">
        <f t="shared" si="16"/>
        <v>1247.9483623689111</v>
      </c>
      <c r="K155">
        <f t="shared" si="17"/>
        <v>107.00901755907762</v>
      </c>
      <c r="L155">
        <v>-34.271771643539068</v>
      </c>
      <c r="Q155" s="1">
        <v>44358</v>
      </c>
      <c r="R155">
        <v>104.410004</v>
      </c>
      <c r="S155">
        <f t="shared" si="18"/>
        <v>-5.1452407378343758E-3</v>
      </c>
      <c r="T155">
        <v>24.98</v>
      </c>
      <c r="U155">
        <f t="shared" si="19"/>
        <v>1.6038090776340256E-3</v>
      </c>
      <c r="V155">
        <v>1247.0200199999999</v>
      </c>
      <c r="W155">
        <f t="shared" si="20"/>
        <v>1.2931560645241993E-2</v>
      </c>
    </row>
    <row r="156" spans="1:23">
      <c r="A156" s="1">
        <v>44084</v>
      </c>
      <c r="B156">
        <v>60.48</v>
      </c>
      <c r="C156">
        <v>154</v>
      </c>
      <c r="D156">
        <f t="shared" si="14"/>
        <v>140.85732440204154</v>
      </c>
      <c r="E156">
        <v>13.73</v>
      </c>
      <c r="F156">
        <v>154</v>
      </c>
      <c r="G156">
        <f t="shared" si="15"/>
        <v>28.27911931818182</v>
      </c>
      <c r="H156">
        <v>934.169983</v>
      </c>
      <c r="I156">
        <v>154</v>
      </c>
      <c r="J156">
        <f t="shared" si="16"/>
        <v>1186.766179510942</v>
      </c>
      <c r="K156">
        <f t="shared" si="17"/>
        <v>-70.707607184973313</v>
      </c>
      <c r="L156">
        <v>-33.723984094767729</v>
      </c>
      <c r="Q156" s="1">
        <v>44361</v>
      </c>
      <c r="R156">
        <v>104.339996</v>
      </c>
      <c r="S156">
        <f t="shared" si="18"/>
        <v>-6.7051046181361516E-4</v>
      </c>
      <c r="T156">
        <v>25.24</v>
      </c>
      <c r="U156">
        <f t="shared" si="19"/>
        <v>1.0408326661328984E-2</v>
      </c>
      <c r="V156">
        <v>1306.6400149999999</v>
      </c>
      <c r="W156">
        <f t="shared" si="20"/>
        <v>4.7809974213565566E-2</v>
      </c>
    </row>
    <row r="157" spans="1:23">
      <c r="A157" s="1">
        <v>44085</v>
      </c>
      <c r="B157">
        <v>61.049999</v>
      </c>
      <c r="C157">
        <v>155</v>
      </c>
      <c r="D157">
        <f t="shared" si="14"/>
        <v>144.34771588955027</v>
      </c>
      <c r="E157">
        <v>13.78</v>
      </c>
      <c r="F157">
        <v>155</v>
      </c>
      <c r="G157">
        <f t="shared" si="15"/>
        <v>29.105608157319736</v>
      </c>
      <c r="H157">
        <v>914.5</v>
      </c>
      <c r="I157">
        <v>155</v>
      </c>
      <c r="J157">
        <f t="shared" si="16"/>
        <v>1180.6063351106411</v>
      </c>
      <c r="K157">
        <f t="shared" si="17"/>
        <v>-35.726048523419195</v>
      </c>
      <c r="L157">
        <v>-33.714001513260882</v>
      </c>
      <c r="Q157" s="1">
        <v>44362</v>
      </c>
      <c r="R157">
        <v>104.629997</v>
      </c>
      <c r="S157">
        <f t="shared" si="18"/>
        <v>2.7793848104039004E-3</v>
      </c>
      <c r="T157">
        <v>25.67</v>
      </c>
      <c r="U157">
        <f t="shared" si="19"/>
        <v>1.7036450079239433E-2</v>
      </c>
      <c r="V157">
        <v>1321.079956</v>
      </c>
      <c r="W157">
        <f t="shared" si="20"/>
        <v>1.1051200662946244E-2</v>
      </c>
    </row>
    <row r="158" spans="1:23">
      <c r="A158" s="1">
        <v>44088</v>
      </c>
      <c r="B158">
        <v>61.689999</v>
      </c>
      <c r="C158">
        <v>156</v>
      </c>
      <c r="D158">
        <f t="shared" si="14"/>
        <v>144.49909912365439</v>
      </c>
      <c r="E158">
        <v>13.52</v>
      </c>
      <c r="F158">
        <v>156</v>
      </c>
      <c r="G158">
        <f t="shared" si="15"/>
        <v>28.452830188679247</v>
      </c>
      <c r="H158">
        <v>931.830017</v>
      </c>
      <c r="I158">
        <v>156</v>
      </c>
      <c r="J158">
        <f t="shared" si="16"/>
        <v>1228.854019138327</v>
      </c>
      <c r="K158">
        <f t="shared" si="17"/>
        <v>52.491482343386451</v>
      </c>
      <c r="L158">
        <v>-33.245799698093833</v>
      </c>
      <c r="Q158" s="1">
        <v>44363</v>
      </c>
      <c r="R158">
        <v>105.489998</v>
      </c>
      <c r="S158">
        <f t="shared" si="18"/>
        <v>8.2194497243462308E-3</v>
      </c>
      <c r="T158">
        <v>25.16</v>
      </c>
      <c r="U158">
        <f t="shared" si="19"/>
        <v>-1.9867549668874232E-2</v>
      </c>
      <c r="V158">
        <v>1366.3000489999999</v>
      </c>
      <c r="W158">
        <f t="shared" si="20"/>
        <v>3.422964128296857E-2</v>
      </c>
    </row>
    <row r="159" spans="1:23">
      <c r="A159" s="1">
        <v>44089</v>
      </c>
      <c r="B159">
        <v>61.630001</v>
      </c>
      <c r="C159">
        <v>157</v>
      </c>
      <c r="D159">
        <f t="shared" si="14"/>
        <v>142.86092212450836</v>
      </c>
      <c r="E159">
        <v>13.35</v>
      </c>
      <c r="F159">
        <v>157</v>
      </c>
      <c r="G159">
        <f t="shared" si="15"/>
        <v>28.635355029585799</v>
      </c>
      <c r="H159">
        <v>929.39001499999995</v>
      </c>
      <c r="I159">
        <v>157</v>
      </c>
      <c r="J159">
        <f t="shared" si="16"/>
        <v>1202.8420823988115</v>
      </c>
      <c r="K159">
        <f t="shared" si="17"/>
        <v>-13.176288513506734</v>
      </c>
      <c r="L159">
        <v>-32.789774028671673</v>
      </c>
      <c r="Q159" s="1">
        <v>44364</v>
      </c>
      <c r="R159">
        <v>103.480003</v>
      </c>
      <c r="S159">
        <f t="shared" si="18"/>
        <v>-1.9053891725355834E-2</v>
      </c>
      <c r="T159">
        <v>24.01</v>
      </c>
      <c r="U159">
        <f t="shared" si="19"/>
        <v>-4.5707472178060357E-2</v>
      </c>
      <c r="V159">
        <v>1449.2700199999999</v>
      </c>
      <c r="W159">
        <f t="shared" si="20"/>
        <v>6.0726025048982481E-2</v>
      </c>
    </row>
    <row r="160" spans="1:23">
      <c r="A160" s="1">
        <v>44090</v>
      </c>
      <c r="B160">
        <v>61.209999000000003</v>
      </c>
      <c r="C160">
        <v>158</v>
      </c>
      <c r="D160">
        <f t="shared" si="14"/>
        <v>142.0254699817383</v>
      </c>
      <c r="E160">
        <v>13.65</v>
      </c>
      <c r="F160">
        <v>158</v>
      </c>
      <c r="G160">
        <f t="shared" si="15"/>
        <v>29.651685393258429</v>
      </c>
      <c r="H160">
        <v>885.17999299999997</v>
      </c>
      <c r="I160">
        <v>158</v>
      </c>
      <c r="J160">
        <f t="shared" si="16"/>
        <v>1148.6319567980297</v>
      </c>
      <c r="K160">
        <f t="shared" si="17"/>
        <v>-114.70610568768097</v>
      </c>
      <c r="L160">
        <v>-32.731608739812145</v>
      </c>
      <c r="Q160" s="1">
        <v>44365</v>
      </c>
      <c r="R160">
        <v>101.769997</v>
      </c>
      <c r="S160">
        <f t="shared" si="18"/>
        <v>-1.6524989857219011E-2</v>
      </c>
      <c r="T160">
        <v>23.389999</v>
      </c>
      <c r="U160">
        <f t="shared" si="19"/>
        <v>-2.5822615576843063E-2</v>
      </c>
      <c r="V160">
        <v>1466.869995</v>
      </c>
      <c r="W160">
        <f t="shared" si="20"/>
        <v>1.2144027515314286E-2</v>
      </c>
    </row>
    <row r="161" spans="1:23">
      <c r="A161" s="1">
        <v>44091</v>
      </c>
      <c r="B161">
        <v>61.459999000000003</v>
      </c>
      <c r="C161">
        <v>159</v>
      </c>
      <c r="D161">
        <f t="shared" si="14"/>
        <v>143.58405490253318</v>
      </c>
      <c r="E161">
        <v>13.58</v>
      </c>
      <c r="F161">
        <v>159</v>
      </c>
      <c r="G161">
        <f t="shared" si="15"/>
        <v>28.851282051282048</v>
      </c>
      <c r="H161">
        <v>870.76000999999997</v>
      </c>
      <c r="I161">
        <v>159</v>
      </c>
      <c r="J161">
        <f t="shared" si="16"/>
        <v>1186.3537137807857</v>
      </c>
      <c r="K161">
        <f t="shared" si="17"/>
        <v>-35.682792643865469</v>
      </c>
      <c r="L161">
        <v>-32.417210262404296</v>
      </c>
      <c r="Q161" s="1">
        <v>44368</v>
      </c>
      <c r="R161">
        <v>103.610001</v>
      </c>
      <c r="S161">
        <f t="shared" si="18"/>
        <v>1.8080024115555326E-2</v>
      </c>
      <c r="T161">
        <v>24.51</v>
      </c>
      <c r="U161">
        <f t="shared" si="19"/>
        <v>4.7883755788104228E-2</v>
      </c>
      <c r="V161">
        <v>1480.2299800000001</v>
      </c>
      <c r="W161">
        <f t="shared" si="20"/>
        <v>9.1078180380941339E-3</v>
      </c>
    </row>
    <row r="162" spans="1:23">
      <c r="A162" s="1">
        <v>44092</v>
      </c>
      <c r="B162">
        <v>60.75</v>
      </c>
      <c r="C162">
        <v>160</v>
      </c>
      <c r="D162">
        <f t="shared" si="14"/>
        <v>141.34803353966862</v>
      </c>
      <c r="E162">
        <v>13.34</v>
      </c>
      <c r="F162">
        <v>160</v>
      </c>
      <c r="G162">
        <f t="shared" si="15"/>
        <v>28.487481590574376</v>
      </c>
      <c r="H162">
        <v>901.34002699999996</v>
      </c>
      <c r="I162">
        <v>160</v>
      </c>
      <c r="J162">
        <f t="shared" si="16"/>
        <v>1248.3532317498136</v>
      </c>
      <c r="K162">
        <f t="shared" si="17"/>
        <v>60.499022754929683</v>
      </c>
      <c r="L162">
        <v>-31.274959434003904</v>
      </c>
      <c r="Q162" s="1">
        <v>44369</v>
      </c>
      <c r="R162">
        <v>104.029999</v>
      </c>
      <c r="S162">
        <f t="shared" si="18"/>
        <v>4.0536434315834704E-3</v>
      </c>
      <c r="T162">
        <v>24.719999000000001</v>
      </c>
      <c r="U162">
        <f t="shared" si="19"/>
        <v>8.5678906568747368E-3</v>
      </c>
      <c r="V162">
        <v>1508.4399410000001</v>
      </c>
      <c r="W162">
        <f t="shared" si="20"/>
        <v>1.9057823028283766E-2</v>
      </c>
    </row>
    <row r="163" spans="1:23">
      <c r="A163" s="1">
        <v>44095</v>
      </c>
      <c r="B163">
        <v>59.490001999999997</v>
      </c>
      <c r="C163">
        <v>161</v>
      </c>
      <c r="D163">
        <f t="shared" si="14"/>
        <v>140.03407878189302</v>
      </c>
      <c r="E163">
        <v>12.72</v>
      </c>
      <c r="F163">
        <v>161</v>
      </c>
      <c r="G163">
        <f t="shared" si="15"/>
        <v>27.652173913043477</v>
      </c>
      <c r="H163">
        <v>927.89001499999995</v>
      </c>
      <c r="I163">
        <v>161</v>
      </c>
      <c r="J163">
        <f t="shared" si="16"/>
        <v>1241.5240914292604</v>
      </c>
      <c r="K163">
        <f t="shared" si="17"/>
        <v>21.171579373102759</v>
      </c>
      <c r="L163">
        <v>-30.449067398365514</v>
      </c>
      <c r="Q163" s="1">
        <v>44370</v>
      </c>
      <c r="R163">
        <v>103.94000200000001</v>
      </c>
      <c r="S163">
        <f t="shared" si="18"/>
        <v>-8.6510622767569929E-4</v>
      </c>
      <c r="T163">
        <v>24.700001</v>
      </c>
      <c r="U163">
        <f t="shared" si="19"/>
        <v>-8.0898061525006817E-4</v>
      </c>
      <c r="V163">
        <v>1500.530029</v>
      </c>
      <c r="W163">
        <f t="shared" si="20"/>
        <v>-5.2437699274631416E-3</v>
      </c>
    </row>
    <row r="164" spans="1:23">
      <c r="A164" s="1">
        <v>44096</v>
      </c>
      <c r="B164">
        <v>58.720001000000003</v>
      </c>
      <c r="C164">
        <v>162</v>
      </c>
      <c r="D164">
        <f t="shared" si="14"/>
        <v>141.14909834765177</v>
      </c>
      <c r="E164">
        <v>12.74</v>
      </c>
      <c r="F164">
        <v>162</v>
      </c>
      <c r="G164">
        <f t="shared" si="15"/>
        <v>29.045597484276726</v>
      </c>
      <c r="H164">
        <v>954.25</v>
      </c>
      <c r="I164">
        <v>162</v>
      </c>
      <c r="J164">
        <f t="shared" si="16"/>
        <v>1240.2606789555764</v>
      </c>
      <c r="K164">
        <f t="shared" si="17"/>
        <v>50.696303651821836</v>
      </c>
      <c r="L164">
        <v>-28.620962696264542</v>
      </c>
      <c r="Q164" s="1">
        <v>44371</v>
      </c>
      <c r="R164">
        <v>103.660004</v>
      </c>
      <c r="S164">
        <f t="shared" si="18"/>
        <v>-2.6938425496663564E-3</v>
      </c>
      <c r="T164">
        <v>24.889999</v>
      </c>
      <c r="U164">
        <f t="shared" si="19"/>
        <v>7.6922264092215715E-3</v>
      </c>
      <c r="V164">
        <v>1478.98999</v>
      </c>
      <c r="W164">
        <f t="shared" si="20"/>
        <v>-1.4354953638851821E-2</v>
      </c>
    </row>
    <row r="165" spans="1:23">
      <c r="A165" s="1">
        <v>44097</v>
      </c>
      <c r="B165">
        <v>58.02</v>
      </c>
      <c r="C165">
        <v>163</v>
      </c>
      <c r="D165">
        <f t="shared" si="14"/>
        <v>141.29529732126537</v>
      </c>
      <c r="E165">
        <v>12.47</v>
      </c>
      <c r="F165">
        <v>163</v>
      </c>
      <c r="G165">
        <f t="shared" si="15"/>
        <v>28.385400313971743</v>
      </c>
      <c r="H165">
        <v>918.80999799999995</v>
      </c>
      <c r="I165">
        <v>163</v>
      </c>
      <c r="J165">
        <f t="shared" si="16"/>
        <v>1161.2102254000522</v>
      </c>
      <c r="K165">
        <f t="shared" si="17"/>
        <v>-115.84557127766584</v>
      </c>
      <c r="L165">
        <v>-28.073168901652934</v>
      </c>
      <c r="Q165" s="1">
        <v>44372</v>
      </c>
      <c r="R165">
        <v>104.629997</v>
      </c>
      <c r="S165">
        <f t="shared" si="18"/>
        <v>9.3574470631894082E-3</v>
      </c>
      <c r="T165">
        <v>24.639999</v>
      </c>
      <c r="U165">
        <f t="shared" si="19"/>
        <v>-1.0044194859148045E-2</v>
      </c>
      <c r="V165">
        <v>1473.540039</v>
      </c>
      <c r="W165">
        <f t="shared" si="20"/>
        <v>-3.6849140540836625E-3</v>
      </c>
    </row>
    <row r="166" spans="1:23">
      <c r="A166" s="1">
        <v>44098</v>
      </c>
      <c r="B166">
        <v>58.400002000000001</v>
      </c>
      <c r="C166">
        <v>164</v>
      </c>
      <c r="D166">
        <f t="shared" si="14"/>
        <v>143.93657852464665</v>
      </c>
      <c r="E166">
        <v>12.78</v>
      </c>
      <c r="F166">
        <v>164</v>
      </c>
      <c r="G166">
        <f t="shared" si="15"/>
        <v>29.720930232558139</v>
      </c>
      <c r="H166">
        <v>908.60998500000005</v>
      </c>
      <c r="I166">
        <v>164</v>
      </c>
      <c r="J166">
        <f t="shared" si="16"/>
        <v>1192.611796013565</v>
      </c>
      <c r="K166">
        <f t="shared" si="17"/>
        <v>-6.596669238031609</v>
      </c>
      <c r="L166">
        <v>-27.668121845660608</v>
      </c>
      <c r="Q166" s="1">
        <v>44375</v>
      </c>
      <c r="R166">
        <v>102.94000200000001</v>
      </c>
      <c r="S166">
        <f t="shared" si="18"/>
        <v>-1.615210788928911E-2</v>
      </c>
      <c r="T166">
        <v>23.77</v>
      </c>
      <c r="U166">
        <f t="shared" si="19"/>
        <v>-3.5308402406996849E-2</v>
      </c>
      <c r="V166">
        <v>1494.98999</v>
      </c>
      <c r="W166">
        <f t="shared" si="20"/>
        <v>1.4556747989390776E-2</v>
      </c>
    </row>
    <row r="167" spans="1:23">
      <c r="A167" s="1">
        <v>44099</v>
      </c>
      <c r="B167">
        <v>58.27</v>
      </c>
      <c r="C167">
        <v>165</v>
      </c>
      <c r="D167">
        <f t="shared" si="14"/>
        <v>142.68167319583313</v>
      </c>
      <c r="E167">
        <v>12.43</v>
      </c>
      <c r="F167">
        <v>165</v>
      </c>
      <c r="G167">
        <f t="shared" si="15"/>
        <v>28.205790297339593</v>
      </c>
      <c r="H167">
        <v>960.919983</v>
      </c>
      <c r="I167">
        <v>165</v>
      </c>
      <c r="J167">
        <f t="shared" si="16"/>
        <v>1275.4311735832398</v>
      </c>
      <c r="K167">
        <f t="shared" si="17"/>
        <v>123.76593358490481</v>
      </c>
      <c r="L167">
        <v>-27.261849499757773</v>
      </c>
      <c r="Q167" s="1">
        <v>44376</v>
      </c>
      <c r="R167">
        <v>102.129997</v>
      </c>
      <c r="S167">
        <f t="shared" si="18"/>
        <v>-7.8687097752339636E-3</v>
      </c>
      <c r="T167">
        <v>23.6</v>
      </c>
      <c r="U167">
        <f t="shared" si="19"/>
        <v>-7.1518721076987025E-3</v>
      </c>
      <c r="V167">
        <v>1482.98999</v>
      </c>
      <c r="W167">
        <f t="shared" si="20"/>
        <v>-8.0268095975679406E-3</v>
      </c>
    </row>
    <row r="168" spans="1:23">
      <c r="A168" s="1">
        <v>44102</v>
      </c>
      <c r="B168">
        <v>59.509998000000003</v>
      </c>
      <c r="C168">
        <v>166</v>
      </c>
      <c r="D168">
        <f t="shared" si="14"/>
        <v>146.04307043075337</v>
      </c>
      <c r="E168">
        <v>12.91</v>
      </c>
      <c r="F168">
        <v>166</v>
      </c>
      <c r="G168">
        <f t="shared" si="15"/>
        <v>30.119871279163313</v>
      </c>
      <c r="H168">
        <v>966.5</v>
      </c>
      <c r="I168">
        <v>166</v>
      </c>
      <c r="J168">
        <f t="shared" si="16"/>
        <v>1213.0031850945491</v>
      </c>
      <c r="K168">
        <f t="shared" si="17"/>
        <v>61.235143684081777</v>
      </c>
      <c r="L168">
        <v>-26.413474471856716</v>
      </c>
      <c r="Q168" s="1">
        <v>44377</v>
      </c>
      <c r="R168">
        <v>102.55999799999999</v>
      </c>
      <c r="S168">
        <f t="shared" si="18"/>
        <v>4.2103300952803322E-3</v>
      </c>
      <c r="T168">
        <v>23.969999000000001</v>
      </c>
      <c r="U168">
        <f t="shared" si="19"/>
        <v>1.5677923728813558E-2</v>
      </c>
      <c r="V168">
        <v>1460.9799800000001</v>
      </c>
      <c r="W168">
        <f t="shared" si="20"/>
        <v>-1.4841644345825938E-2</v>
      </c>
    </row>
    <row r="169" spans="1:23">
      <c r="A169" s="1">
        <v>44103</v>
      </c>
      <c r="B169">
        <v>58.380001</v>
      </c>
      <c r="C169">
        <v>167</v>
      </c>
      <c r="D169">
        <f t="shared" si="14"/>
        <v>140.28466515828146</v>
      </c>
      <c r="E169">
        <v>12.31</v>
      </c>
      <c r="F169">
        <v>167</v>
      </c>
      <c r="G169">
        <f t="shared" si="15"/>
        <v>27.652207591014719</v>
      </c>
      <c r="H169">
        <v>1025.6999510000001</v>
      </c>
      <c r="I169">
        <v>167</v>
      </c>
      <c r="J169">
        <f t="shared" si="16"/>
        <v>1279.8697784852561</v>
      </c>
      <c r="K169">
        <f t="shared" si="17"/>
        <v>100.36932241854811</v>
      </c>
      <c r="L169">
        <v>-25.759884311272799</v>
      </c>
      <c r="Q169" s="1">
        <v>44378</v>
      </c>
      <c r="R169">
        <v>103.41999800000001</v>
      </c>
      <c r="S169">
        <f t="shared" si="18"/>
        <v>8.3853355769372556E-3</v>
      </c>
      <c r="T169">
        <v>24.389999</v>
      </c>
      <c r="U169">
        <f t="shared" si="19"/>
        <v>1.7521903108965425E-2</v>
      </c>
      <c r="V169">
        <v>1458</v>
      </c>
      <c r="W169">
        <f t="shared" si="20"/>
        <v>-2.0397130972322213E-3</v>
      </c>
    </row>
    <row r="170" spans="1:23">
      <c r="A170" s="1">
        <v>44104</v>
      </c>
      <c r="B170">
        <v>58.41</v>
      </c>
      <c r="C170">
        <v>168</v>
      </c>
      <c r="D170">
        <f t="shared" si="14"/>
        <v>143.07348161915925</v>
      </c>
      <c r="E170">
        <v>12.23</v>
      </c>
      <c r="F170">
        <v>168</v>
      </c>
      <c r="G170">
        <f t="shared" si="15"/>
        <v>28.81153533712429</v>
      </c>
      <c r="H170">
        <v>1022.969971</v>
      </c>
      <c r="I170">
        <v>168</v>
      </c>
      <c r="J170">
        <f t="shared" si="16"/>
        <v>1202.7901374307464</v>
      </c>
      <c r="K170">
        <f t="shared" si="17"/>
        <v>-8.5118788900499567</v>
      </c>
      <c r="L170">
        <v>-25.605713689401455</v>
      </c>
      <c r="Q170" s="1">
        <v>44379</v>
      </c>
      <c r="R170">
        <v>103.160004</v>
      </c>
      <c r="S170">
        <f t="shared" si="18"/>
        <v>-2.5139625316953308E-3</v>
      </c>
      <c r="T170">
        <v>23.93</v>
      </c>
      <c r="U170">
        <f t="shared" si="19"/>
        <v>-1.8860148374749825E-2</v>
      </c>
      <c r="V170">
        <v>1464.75</v>
      </c>
      <c r="W170">
        <f t="shared" si="20"/>
        <v>4.6296296296296294E-3</v>
      </c>
    </row>
    <row r="171" spans="1:23">
      <c r="A171" s="1">
        <v>44105</v>
      </c>
      <c r="B171">
        <v>58</v>
      </c>
      <c r="C171">
        <v>169</v>
      </c>
      <c r="D171">
        <f t="shared" si="14"/>
        <v>141.99623352165725</v>
      </c>
      <c r="E171">
        <v>11.68</v>
      </c>
      <c r="F171">
        <v>169</v>
      </c>
      <c r="G171">
        <f t="shared" si="15"/>
        <v>27.695829926410461</v>
      </c>
      <c r="H171">
        <v>1054.4300539999999</v>
      </c>
      <c r="I171">
        <v>169</v>
      </c>
      <c r="J171">
        <f t="shared" si="16"/>
        <v>1243.0889284862496</v>
      </c>
      <c r="K171">
        <f t="shared" si="17"/>
        <v>44.577641085228606</v>
      </c>
      <c r="L171">
        <v>-24.461589588654533</v>
      </c>
      <c r="Q171" s="1">
        <v>44383</v>
      </c>
      <c r="R171">
        <v>101.620003</v>
      </c>
      <c r="S171">
        <f t="shared" si="18"/>
        <v>-1.4928275884905973E-2</v>
      </c>
      <c r="T171">
        <v>23.77</v>
      </c>
      <c r="U171">
        <f t="shared" si="19"/>
        <v>-6.6861679899707536E-3</v>
      </c>
      <c r="V171">
        <v>1538.030029</v>
      </c>
      <c r="W171">
        <f t="shared" si="20"/>
        <v>5.0029034988905964E-2</v>
      </c>
    </row>
    <row r="172" spans="1:23">
      <c r="A172" s="1">
        <v>44106</v>
      </c>
      <c r="B172">
        <v>58.130001</v>
      </c>
      <c r="C172">
        <v>170</v>
      </c>
      <c r="D172">
        <f t="shared" si="14"/>
        <v>143.32051970689653</v>
      </c>
      <c r="E172">
        <v>12.01</v>
      </c>
      <c r="F172">
        <v>170</v>
      </c>
      <c r="G172">
        <f t="shared" si="15"/>
        <v>29.819349315068497</v>
      </c>
      <c r="H172">
        <v>1028.98999</v>
      </c>
      <c r="I172">
        <v>170</v>
      </c>
      <c r="J172">
        <f t="shared" si="16"/>
        <v>1176.9030323371267</v>
      </c>
      <c r="K172">
        <f t="shared" si="17"/>
        <v>-42.698498530753568</v>
      </c>
      <c r="L172">
        <v>-24.320208291485869</v>
      </c>
      <c r="Q172" s="1">
        <v>44384</v>
      </c>
      <c r="R172">
        <v>101.57</v>
      </c>
      <c r="S172">
        <f t="shared" si="18"/>
        <v>-4.9205863534567892E-4</v>
      </c>
      <c r="T172">
        <v>23.17</v>
      </c>
      <c r="U172">
        <f t="shared" si="19"/>
        <v>-2.5241901556583839E-2</v>
      </c>
      <c r="V172">
        <v>1520.219971</v>
      </c>
      <c r="W172">
        <f t="shared" si="20"/>
        <v>-1.1579785611585108E-2</v>
      </c>
    </row>
    <row r="173" spans="1:23">
      <c r="A173" s="1">
        <v>44109</v>
      </c>
      <c r="B173">
        <v>59.119999</v>
      </c>
      <c r="C173">
        <v>171</v>
      </c>
      <c r="D173">
        <f t="shared" si="14"/>
        <v>145.43539844425601</v>
      </c>
      <c r="E173">
        <v>12.1</v>
      </c>
      <c r="F173">
        <v>171</v>
      </c>
      <c r="G173">
        <f t="shared" si="15"/>
        <v>29.217318900915902</v>
      </c>
      <c r="H173">
        <v>1065.530029</v>
      </c>
      <c r="I173">
        <v>171</v>
      </c>
      <c r="J173">
        <f t="shared" si="16"/>
        <v>1248.825768435318</v>
      </c>
      <c r="K173">
        <f t="shared" si="17"/>
        <v>113.26530482693488</v>
      </c>
      <c r="L173">
        <v>-23.909965310407642</v>
      </c>
      <c r="Q173" s="1">
        <v>44385</v>
      </c>
      <c r="R173">
        <v>99.699996999999996</v>
      </c>
      <c r="S173">
        <f t="shared" si="18"/>
        <v>-1.8410977650881136E-2</v>
      </c>
      <c r="T173">
        <v>23.030000999999999</v>
      </c>
      <c r="U173">
        <f t="shared" si="19"/>
        <v>-6.0422529132500248E-3</v>
      </c>
      <c r="V173">
        <v>1463.339966</v>
      </c>
      <c r="W173">
        <f t="shared" si="20"/>
        <v>-3.7415641213149137E-2</v>
      </c>
    </row>
    <row r="174" spans="1:23">
      <c r="A174" s="1">
        <v>44110</v>
      </c>
      <c r="B174">
        <v>60.41</v>
      </c>
      <c r="C174">
        <v>172</v>
      </c>
      <c r="D174">
        <f t="shared" si="14"/>
        <v>146.12026634168242</v>
      </c>
      <c r="E174">
        <v>11.98</v>
      </c>
      <c r="F174">
        <v>172</v>
      </c>
      <c r="G174">
        <f t="shared" si="15"/>
        <v>28.712396694214878</v>
      </c>
      <c r="H174">
        <v>1041.25</v>
      </c>
      <c r="I174">
        <v>172</v>
      </c>
      <c r="J174">
        <f t="shared" si="16"/>
        <v>1178.5191086341499</v>
      </c>
      <c r="K174">
        <f t="shared" si="17"/>
        <v>-28.073168901652934</v>
      </c>
      <c r="L174">
        <v>-23.52849510240685</v>
      </c>
      <c r="Q174" s="1">
        <v>44386</v>
      </c>
      <c r="R174">
        <v>101.269997</v>
      </c>
      <c r="S174">
        <f t="shared" si="18"/>
        <v>1.5747242199014383E-2</v>
      </c>
      <c r="T174">
        <v>23.27</v>
      </c>
      <c r="U174">
        <f t="shared" si="19"/>
        <v>1.042114587836974E-2</v>
      </c>
      <c r="V174">
        <v>1494.98999</v>
      </c>
      <c r="W174">
        <f t="shared" si="20"/>
        <v>2.1628619962123025E-2</v>
      </c>
    </row>
    <row r="175" spans="1:23">
      <c r="A175" s="1">
        <v>44111</v>
      </c>
      <c r="B175">
        <v>61.549999</v>
      </c>
      <c r="C175">
        <v>173</v>
      </c>
      <c r="D175">
        <f t="shared" si="14"/>
        <v>145.69855747392816</v>
      </c>
      <c r="E175">
        <v>12.28</v>
      </c>
      <c r="F175">
        <v>173</v>
      </c>
      <c r="G175">
        <f t="shared" si="15"/>
        <v>29.726210350584306</v>
      </c>
      <c r="H175">
        <v>1073.4300539999999</v>
      </c>
      <c r="I175">
        <v>173</v>
      </c>
      <c r="J175">
        <f t="shared" si="16"/>
        <v>1243.2716879942375</v>
      </c>
      <c r="K175">
        <f t="shared" si="17"/>
        <v>112.42210598652127</v>
      </c>
      <c r="L175">
        <v>-23.425654152291827</v>
      </c>
      <c r="Q175" s="1">
        <v>44389</v>
      </c>
      <c r="R175">
        <v>101.970001</v>
      </c>
      <c r="S175">
        <f t="shared" si="18"/>
        <v>6.9122545742742814E-3</v>
      </c>
      <c r="T175">
        <v>22.93</v>
      </c>
      <c r="U175">
        <f t="shared" si="19"/>
        <v>-1.4611087236785555E-2</v>
      </c>
      <c r="V175">
        <v>1494.73999</v>
      </c>
      <c r="W175">
        <f t="shared" si="20"/>
        <v>-1.6722519994933209E-4</v>
      </c>
    </row>
    <row r="176" spans="1:23">
      <c r="A176" s="1">
        <v>44112</v>
      </c>
      <c r="B176">
        <v>62.299999</v>
      </c>
      <c r="C176">
        <v>174</v>
      </c>
      <c r="D176">
        <f t="shared" si="14"/>
        <v>144.7424858122256</v>
      </c>
      <c r="E176">
        <v>12.92</v>
      </c>
      <c r="F176">
        <v>174</v>
      </c>
      <c r="G176">
        <f t="shared" si="15"/>
        <v>30.511400651465799</v>
      </c>
      <c r="H176">
        <v>1069.209961</v>
      </c>
      <c r="I176">
        <v>174</v>
      </c>
      <c r="J176">
        <f t="shared" si="16"/>
        <v>1201.2587202686987</v>
      </c>
      <c r="K176">
        <f t="shared" si="17"/>
        <v>30.613308431640689</v>
      </c>
      <c r="L176">
        <v>-22.957377303846442</v>
      </c>
      <c r="Q176" s="1">
        <v>44390</v>
      </c>
      <c r="R176">
        <v>101.230003</v>
      </c>
      <c r="S176">
        <f t="shared" si="18"/>
        <v>-7.2570166984699744E-3</v>
      </c>
      <c r="T176">
        <v>22.65</v>
      </c>
      <c r="U176">
        <f t="shared" si="19"/>
        <v>-1.2211077191452296E-2</v>
      </c>
      <c r="V176">
        <v>1516.469971</v>
      </c>
      <c r="W176">
        <f t="shared" si="20"/>
        <v>1.4537632729020618E-2</v>
      </c>
    </row>
    <row r="177" spans="1:23">
      <c r="A177" s="1">
        <v>44113</v>
      </c>
      <c r="B177">
        <v>62.310001</v>
      </c>
      <c r="C177">
        <v>175</v>
      </c>
      <c r="D177">
        <f t="shared" si="14"/>
        <v>143.02295804210203</v>
      </c>
      <c r="E177">
        <v>12.86</v>
      </c>
      <c r="F177">
        <v>175</v>
      </c>
      <c r="G177">
        <f t="shared" si="15"/>
        <v>28.86532507739938</v>
      </c>
      <c r="H177">
        <v>1096</v>
      </c>
      <c r="I177">
        <v>175</v>
      </c>
      <c r="J177">
        <f t="shared" si="16"/>
        <v>1236.2174392425063</v>
      </c>
      <c r="K177">
        <f t="shared" si="17"/>
        <v>58.644335067023349</v>
      </c>
      <c r="L177">
        <v>-22.279471289548383</v>
      </c>
      <c r="Q177" s="1">
        <v>44391</v>
      </c>
      <c r="R177">
        <v>100.989998</v>
      </c>
      <c r="S177">
        <f t="shared" si="18"/>
        <v>-2.3708880063946702E-3</v>
      </c>
      <c r="T177">
        <v>22.139999</v>
      </c>
      <c r="U177">
        <f t="shared" si="19"/>
        <v>-2.2516600441501063E-2</v>
      </c>
      <c r="V177">
        <v>1463</v>
      </c>
      <c r="W177">
        <f t="shared" si="20"/>
        <v>-3.5259498719081454E-2</v>
      </c>
    </row>
    <row r="178" spans="1:23">
      <c r="A178" s="1">
        <v>44116</v>
      </c>
      <c r="B178">
        <v>62.900002000000001</v>
      </c>
      <c r="C178">
        <v>176</v>
      </c>
      <c r="D178">
        <f t="shared" si="14"/>
        <v>144.35403854350764</v>
      </c>
      <c r="E178">
        <v>12.74</v>
      </c>
      <c r="F178">
        <v>176</v>
      </c>
      <c r="G178">
        <f t="shared" si="15"/>
        <v>28.729393468118197</v>
      </c>
      <c r="H178">
        <v>1090</v>
      </c>
      <c r="I178">
        <v>176</v>
      </c>
      <c r="J178">
        <f t="shared" si="16"/>
        <v>1199.3978102189781</v>
      </c>
      <c r="K178">
        <f t="shared" si="17"/>
        <v>-3.723092105194155</v>
      </c>
      <c r="L178">
        <v>-21.777200234659176</v>
      </c>
      <c r="Q178" s="1">
        <v>44392</v>
      </c>
      <c r="R178">
        <v>100.25</v>
      </c>
      <c r="S178">
        <f t="shared" si="18"/>
        <v>-7.3274385053458454E-3</v>
      </c>
      <c r="T178">
        <v>21.65</v>
      </c>
      <c r="U178">
        <f t="shared" si="19"/>
        <v>-2.2131843818059837E-2</v>
      </c>
      <c r="V178">
        <v>1441.5</v>
      </c>
      <c r="W178">
        <f t="shared" si="20"/>
        <v>-1.469583048530417E-2</v>
      </c>
    </row>
    <row r="179" spans="1:23">
      <c r="A179" s="1">
        <v>44117</v>
      </c>
      <c r="B179">
        <v>61.849997999999999</v>
      </c>
      <c r="C179">
        <v>177</v>
      </c>
      <c r="D179">
        <f t="shared" si="14"/>
        <v>140.61286856556859</v>
      </c>
      <c r="E179">
        <v>12.54</v>
      </c>
      <c r="F179">
        <v>177</v>
      </c>
      <c r="G179">
        <f t="shared" si="15"/>
        <v>28.5447409733124</v>
      </c>
      <c r="H179">
        <v>1106.589966</v>
      </c>
      <c r="I179">
        <v>177</v>
      </c>
      <c r="J179">
        <f t="shared" si="16"/>
        <v>1224.355503666055</v>
      </c>
      <c r="K179">
        <f t="shared" si="17"/>
        <v>6.0108075874823044</v>
      </c>
      <c r="L179">
        <v>-19.717677844389982</v>
      </c>
      <c r="Q179" s="1">
        <v>44393</v>
      </c>
      <c r="R179">
        <v>99.150002000000001</v>
      </c>
      <c r="S179">
        <f t="shared" si="18"/>
        <v>-1.0972548628428922E-2</v>
      </c>
      <c r="T179">
        <v>20.98</v>
      </c>
      <c r="U179">
        <f t="shared" si="19"/>
        <v>-3.0946882217089987E-2</v>
      </c>
      <c r="V179">
        <v>1442.630005</v>
      </c>
      <c r="W179">
        <f t="shared" si="20"/>
        <v>7.8390912244188894E-4</v>
      </c>
    </row>
    <row r="180" spans="1:23">
      <c r="A180" s="1">
        <v>44118</v>
      </c>
      <c r="B180">
        <v>61.43</v>
      </c>
      <c r="C180">
        <v>178</v>
      </c>
      <c r="D180">
        <f t="shared" si="14"/>
        <v>142.02894557894732</v>
      </c>
      <c r="E180">
        <v>12.37</v>
      </c>
      <c r="F180">
        <v>178</v>
      </c>
      <c r="G180">
        <f t="shared" si="15"/>
        <v>28.606858054226475</v>
      </c>
      <c r="H180">
        <v>1082.119995</v>
      </c>
      <c r="I180">
        <v>178</v>
      </c>
      <c r="J180">
        <f t="shared" si="16"/>
        <v>1179.331779672038</v>
      </c>
      <c r="K180">
        <f t="shared" si="17"/>
        <v>-68.944114053054363</v>
      </c>
      <c r="L180">
        <v>-19.071732895295099</v>
      </c>
      <c r="Q180" s="1">
        <v>44396</v>
      </c>
      <c r="R180">
        <v>95.959998999999996</v>
      </c>
      <c r="S180">
        <f t="shared" si="18"/>
        <v>-3.2173504141734706E-2</v>
      </c>
      <c r="T180">
        <v>19.91</v>
      </c>
      <c r="U180">
        <f t="shared" si="19"/>
        <v>-5.1000953288846532E-2</v>
      </c>
      <c r="V180">
        <v>1472.01001</v>
      </c>
      <c r="W180">
        <f t="shared" si="20"/>
        <v>2.0365585699848233E-2</v>
      </c>
    </row>
    <row r="181" spans="1:23">
      <c r="A181" s="1">
        <v>44119</v>
      </c>
      <c r="B181">
        <v>61.349997999999999</v>
      </c>
      <c r="C181">
        <v>179</v>
      </c>
      <c r="D181">
        <f t="shared" si="14"/>
        <v>142.8137671170438</v>
      </c>
      <c r="E181">
        <v>12.14</v>
      </c>
      <c r="F181">
        <v>179</v>
      </c>
      <c r="G181">
        <f t="shared" si="15"/>
        <v>28.460792239288605</v>
      </c>
      <c r="H181">
        <v>1078.3000489999999</v>
      </c>
      <c r="I181">
        <v>179</v>
      </c>
      <c r="J181">
        <f t="shared" si="16"/>
        <v>1201.7427504368404</v>
      </c>
      <c r="K181">
        <f t="shared" si="17"/>
        <v>-18.464944366552118</v>
      </c>
      <c r="L181">
        <v>-18.464944366552118</v>
      </c>
      <c r="Q181" s="1">
        <v>44397</v>
      </c>
      <c r="R181">
        <v>97.129997000000003</v>
      </c>
      <c r="S181">
        <f t="shared" si="18"/>
        <v>1.2192559526808736E-2</v>
      </c>
      <c r="T181">
        <v>20.389999</v>
      </c>
      <c r="U181">
        <f t="shared" si="19"/>
        <v>2.4108437970868878E-2</v>
      </c>
      <c r="V181">
        <v>1524.780029</v>
      </c>
      <c r="W181">
        <f t="shared" si="20"/>
        <v>3.5848953907589291E-2</v>
      </c>
    </row>
    <row r="182" spans="1:23">
      <c r="A182" s="1">
        <v>44120</v>
      </c>
      <c r="B182">
        <v>61.34</v>
      </c>
      <c r="C182">
        <v>180</v>
      </c>
      <c r="D182">
        <f t="shared" si="14"/>
        <v>142.97669577756142</v>
      </c>
      <c r="E182">
        <v>11.88</v>
      </c>
      <c r="F182">
        <v>180</v>
      </c>
      <c r="G182">
        <f t="shared" si="15"/>
        <v>28.378912685337728</v>
      </c>
      <c r="H182">
        <v>1067.209961</v>
      </c>
      <c r="I182">
        <v>180</v>
      </c>
      <c r="J182">
        <f t="shared" si="16"/>
        <v>1193.5965450058141</v>
      </c>
      <c r="K182">
        <f t="shared" si="17"/>
        <v>-34.356261932691268</v>
      </c>
      <c r="L182">
        <v>-17.946615256462792</v>
      </c>
      <c r="Q182" s="1">
        <v>44398</v>
      </c>
      <c r="R182">
        <v>98.809997999999993</v>
      </c>
      <c r="S182">
        <f t="shared" si="18"/>
        <v>1.7296417707085794E-2</v>
      </c>
      <c r="T182">
        <v>21.040001</v>
      </c>
      <c r="U182">
        <f t="shared" si="19"/>
        <v>3.1878471401592549E-2</v>
      </c>
      <c r="V182">
        <v>1569.3599850000001</v>
      </c>
      <c r="W182">
        <f t="shared" si="20"/>
        <v>2.9236975269958783E-2</v>
      </c>
    </row>
    <row r="183" spans="1:23">
      <c r="A183" s="1">
        <v>44123</v>
      </c>
      <c r="B183">
        <v>60.529998999999997</v>
      </c>
      <c r="C183">
        <v>181</v>
      </c>
      <c r="D183">
        <f t="shared" si="14"/>
        <v>141.11167031300945</v>
      </c>
      <c r="E183">
        <v>11.81</v>
      </c>
      <c r="F183">
        <v>181</v>
      </c>
      <c r="G183">
        <f t="shared" si="15"/>
        <v>28.829124579124578</v>
      </c>
      <c r="H183">
        <v>1069</v>
      </c>
      <c r="I183">
        <v>181</v>
      </c>
      <c r="J183">
        <f t="shared" si="16"/>
        <v>1208.0228325380108</v>
      </c>
      <c r="K183">
        <f t="shared" si="17"/>
        <v>-17.400763107015337</v>
      </c>
      <c r="L183">
        <v>-17.523274681042494</v>
      </c>
      <c r="Q183" s="1">
        <v>44399</v>
      </c>
      <c r="R183">
        <v>98.309997999999993</v>
      </c>
      <c r="S183">
        <f t="shared" si="18"/>
        <v>-5.0602166796926765E-3</v>
      </c>
      <c r="T183">
        <v>20.93</v>
      </c>
      <c r="U183">
        <f t="shared" si="19"/>
        <v>-5.228184162158569E-3</v>
      </c>
      <c r="V183">
        <v>1594.089966</v>
      </c>
      <c r="W183">
        <f t="shared" si="20"/>
        <v>1.5758004050294396E-2</v>
      </c>
    </row>
    <row r="184" spans="1:23">
      <c r="A184" s="1">
        <v>44124</v>
      </c>
      <c r="B184">
        <v>61.619999</v>
      </c>
      <c r="C184">
        <v>182</v>
      </c>
      <c r="D184">
        <f t="shared" si="14"/>
        <v>145.57508677639333</v>
      </c>
      <c r="E184">
        <v>11.93</v>
      </c>
      <c r="F184">
        <v>182</v>
      </c>
      <c r="G184">
        <f t="shared" si="15"/>
        <v>29.294665537679929</v>
      </c>
      <c r="H184">
        <v>1056.48999</v>
      </c>
      <c r="I184">
        <v>182</v>
      </c>
      <c r="J184">
        <f t="shared" si="16"/>
        <v>1191.8867426941067</v>
      </c>
      <c r="K184">
        <f t="shared" si="17"/>
        <v>1.9443362173460628</v>
      </c>
      <c r="L184">
        <v>-17.400763107015337</v>
      </c>
      <c r="Q184" s="1">
        <v>44400</v>
      </c>
      <c r="R184">
        <v>99.019997000000004</v>
      </c>
      <c r="S184">
        <f t="shared" si="18"/>
        <v>7.2220426654877011E-3</v>
      </c>
      <c r="T184">
        <v>20.809999000000001</v>
      </c>
      <c r="U184">
        <f t="shared" si="19"/>
        <v>-5.7334448160534391E-3</v>
      </c>
      <c r="V184">
        <v>1643.3199460000001</v>
      </c>
      <c r="W184">
        <f t="shared" si="20"/>
        <v>3.08828115413908E-2</v>
      </c>
    </row>
    <row r="185" spans="1:23">
      <c r="A185" s="1">
        <v>44125</v>
      </c>
      <c r="B185">
        <v>62.360000999999997</v>
      </c>
      <c r="C185">
        <v>183</v>
      </c>
      <c r="D185">
        <f t="shared" si="14"/>
        <v>144.71730424727852</v>
      </c>
      <c r="E185">
        <v>11.51</v>
      </c>
      <c r="F185">
        <v>183</v>
      </c>
      <c r="G185">
        <f t="shared" si="15"/>
        <v>27.979044425817271</v>
      </c>
      <c r="H185">
        <v>1022.01001</v>
      </c>
      <c r="I185">
        <v>183</v>
      </c>
      <c r="J185">
        <f t="shared" si="16"/>
        <v>1166.6405585726372</v>
      </c>
      <c r="K185">
        <f t="shared" si="17"/>
        <v>-76.860173994680736</v>
      </c>
      <c r="L185">
        <v>-17.055969911844841</v>
      </c>
      <c r="Q185" s="1">
        <v>44403</v>
      </c>
      <c r="R185">
        <v>99.949996999999996</v>
      </c>
      <c r="S185">
        <f t="shared" si="18"/>
        <v>9.3920422962645873E-3</v>
      </c>
      <c r="T185">
        <v>21.309999000000001</v>
      </c>
      <c r="U185">
        <f t="shared" si="19"/>
        <v>2.4026911293940953E-2</v>
      </c>
      <c r="V185">
        <v>1582.280029</v>
      </c>
      <c r="W185">
        <f t="shared" si="20"/>
        <v>-3.7144268314017077E-2</v>
      </c>
    </row>
    <row r="186" spans="1:23">
      <c r="A186" s="1">
        <v>44126</v>
      </c>
      <c r="B186">
        <v>62.939999</v>
      </c>
      <c r="C186">
        <v>184</v>
      </c>
      <c r="D186">
        <f t="shared" si="14"/>
        <v>144.33001463550332</v>
      </c>
      <c r="E186">
        <v>12.22</v>
      </c>
      <c r="F186">
        <v>184</v>
      </c>
      <c r="G186">
        <f t="shared" si="15"/>
        <v>30.788879235447435</v>
      </c>
      <c r="H186">
        <v>1007.070007</v>
      </c>
      <c r="I186">
        <v>184</v>
      </c>
      <c r="J186">
        <f t="shared" si="16"/>
        <v>1188.3703843977028</v>
      </c>
      <c r="K186">
        <f t="shared" si="17"/>
        <v>4.8741036821502348</v>
      </c>
      <c r="L186">
        <v>-16.310271295496932</v>
      </c>
      <c r="Q186" s="1">
        <v>44404</v>
      </c>
      <c r="R186">
        <v>99.589995999999999</v>
      </c>
      <c r="S186">
        <f t="shared" si="18"/>
        <v>-3.6018110135610801E-3</v>
      </c>
      <c r="T186">
        <v>20.360001</v>
      </c>
      <c r="U186">
        <f t="shared" si="19"/>
        <v>-4.4579917624585561E-2</v>
      </c>
      <c r="V186">
        <v>1555.099976</v>
      </c>
      <c r="W186">
        <f t="shared" si="20"/>
        <v>-1.7177776690500114E-2</v>
      </c>
    </row>
    <row r="187" spans="1:23">
      <c r="A187" s="1">
        <v>44127</v>
      </c>
      <c r="B187">
        <v>63.990001999999997</v>
      </c>
      <c r="C187">
        <v>185</v>
      </c>
      <c r="D187">
        <f t="shared" si="14"/>
        <v>145.38561219233574</v>
      </c>
      <c r="E187">
        <v>12.53</v>
      </c>
      <c r="F187">
        <v>185</v>
      </c>
      <c r="G187">
        <f t="shared" si="15"/>
        <v>29.735679214402616</v>
      </c>
      <c r="H187">
        <v>1026.219971</v>
      </c>
      <c r="I187">
        <v>185</v>
      </c>
      <c r="J187">
        <f t="shared" si="16"/>
        <v>1228.9327220783766</v>
      </c>
      <c r="K187">
        <f t="shared" si="17"/>
        <v>80.756754296149666</v>
      </c>
      <c r="L187">
        <v>-16.246963805027917</v>
      </c>
      <c r="Q187" s="1">
        <v>44405</v>
      </c>
      <c r="R187">
        <v>100.120003</v>
      </c>
      <c r="S187">
        <f t="shared" si="18"/>
        <v>5.3218899617186212E-3</v>
      </c>
      <c r="T187">
        <v>20.51</v>
      </c>
      <c r="U187">
        <f t="shared" si="19"/>
        <v>7.3673375556318052E-3</v>
      </c>
      <c r="V187">
        <v>1538</v>
      </c>
      <c r="W187">
        <f t="shared" si="20"/>
        <v>-1.0996062159285874E-2</v>
      </c>
    </row>
    <row r="188" spans="1:23">
      <c r="A188" s="1">
        <v>44130</v>
      </c>
      <c r="B188">
        <v>63.360000999999997</v>
      </c>
      <c r="C188">
        <v>186</v>
      </c>
      <c r="D188">
        <f t="shared" si="14"/>
        <v>141.59212157861785</v>
      </c>
      <c r="E188">
        <v>12.28</v>
      </c>
      <c r="F188">
        <v>186</v>
      </c>
      <c r="G188">
        <f t="shared" si="15"/>
        <v>28.421388667198723</v>
      </c>
      <c r="H188">
        <v>1038.0500489999999</v>
      </c>
      <c r="I188">
        <v>186</v>
      </c>
      <c r="J188">
        <f t="shared" si="16"/>
        <v>1219.9025496201341</v>
      </c>
      <c r="K188">
        <f t="shared" si="17"/>
        <v>5.0471450344275581</v>
      </c>
      <c r="L188">
        <v>-15.707407446239813</v>
      </c>
      <c r="Q188" s="1">
        <v>44406</v>
      </c>
      <c r="R188">
        <v>101.370003</v>
      </c>
      <c r="S188">
        <f t="shared" si="18"/>
        <v>1.2485017604324283E-2</v>
      </c>
      <c r="T188">
        <v>19.920000000000002</v>
      </c>
      <c r="U188">
        <f t="shared" si="19"/>
        <v>-2.8766455387615786E-2</v>
      </c>
      <c r="V188">
        <v>1525</v>
      </c>
      <c r="W188">
        <f t="shared" si="20"/>
        <v>-8.4525357607282189E-3</v>
      </c>
    </row>
    <row r="189" spans="1:23">
      <c r="A189" s="1">
        <v>44131</v>
      </c>
      <c r="B189">
        <v>62.299999</v>
      </c>
      <c r="C189">
        <v>187</v>
      </c>
      <c r="D189">
        <f t="shared" si="14"/>
        <v>140.6076344127583</v>
      </c>
      <c r="E189">
        <v>12</v>
      </c>
      <c r="F189">
        <v>187</v>
      </c>
      <c r="G189">
        <f t="shared" si="15"/>
        <v>28.338762214983714</v>
      </c>
      <c r="H189">
        <v>1082.8900149999999</v>
      </c>
      <c r="I189">
        <v>187</v>
      </c>
      <c r="J189">
        <f t="shared" si="16"/>
        <v>1258.0947896954438</v>
      </c>
      <c r="K189">
        <f t="shared" si="17"/>
        <v>70.347356743226555</v>
      </c>
      <c r="L189">
        <v>-15.047349174305964</v>
      </c>
      <c r="Q189" s="1">
        <v>44407</v>
      </c>
      <c r="R189">
        <v>99.699996999999996</v>
      </c>
      <c r="S189">
        <f t="shared" si="18"/>
        <v>-1.6474360763311813E-2</v>
      </c>
      <c r="T189">
        <v>19.629999000000002</v>
      </c>
      <c r="U189">
        <f t="shared" si="19"/>
        <v>-1.4558283132530127E-2</v>
      </c>
      <c r="V189">
        <v>1499.9300539999999</v>
      </c>
      <c r="W189">
        <f t="shared" si="20"/>
        <v>-1.6439308852459065E-2</v>
      </c>
    </row>
    <row r="190" spans="1:23">
      <c r="A190" s="1">
        <v>44132</v>
      </c>
      <c r="B190">
        <v>60.07</v>
      </c>
      <c r="C190">
        <v>188</v>
      </c>
      <c r="D190">
        <f t="shared" si="14"/>
        <v>137.88138263051979</v>
      </c>
      <c r="E190">
        <v>11.28</v>
      </c>
      <c r="F190">
        <v>188</v>
      </c>
      <c r="G190">
        <f t="shared" si="15"/>
        <v>27.26</v>
      </c>
      <c r="H190">
        <v>1026.709961</v>
      </c>
      <c r="I190">
        <v>188</v>
      </c>
      <c r="J190">
        <f t="shared" si="16"/>
        <v>1143.433031807944</v>
      </c>
      <c r="K190">
        <f t="shared" si="17"/>
        <v>-202.42011007891415</v>
      </c>
      <c r="L190">
        <v>-14.985823059011636</v>
      </c>
      <c r="Q190" s="1">
        <v>44410</v>
      </c>
      <c r="R190">
        <v>98.120002999999997</v>
      </c>
      <c r="S190">
        <f t="shared" si="18"/>
        <v>-1.5847482924197073E-2</v>
      </c>
      <c r="T190">
        <v>19.260000000000002</v>
      </c>
      <c r="U190">
        <f t="shared" si="19"/>
        <v>-1.8848650985667393E-2</v>
      </c>
      <c r="V190">
        <v>1538.670044</v>
      </c>
      <c r="W190">
        <f t="shared" si="20"/>
        <v>2.58278643705342E-2</v>
      </c>
    </row>
    <row r="191" spans="1:23">
      <c r="A191" s="1">
        <v>44133</v>
      </c>
      <c r="B191">
        <v>60.91</v>
      </c>
      <c r="C191">
        <v>189</v>
      </c>
      <c r="D191">
        <f t="shared" si="14"/>
        <v>144.99966705510238</v>
      </c>
      <c r="E191">
        <v>11.32</v>
      </c>
      <c r="F191">
        <v>189</v>
      </c>
      <c r="G191">
        <f t="shared" si="15"/>
        <v>29.10283687943263</v>
      </c>
      <c r="H191">
        <v>977</v>
      </c>
      <c r="I191">
        <v>189</v>
      </c>
      <c r="J191">
        <f t="shared" si="16"/>
        <v>1147.6093977430496</v>
      </c>
      <c r="K191">
        <f t="shared" si="17"/>
        <v>-95.241980771387716</v>
      </c>
      <c r="L191">
        <v>-14.236981538250802</v>
      </c>
      <c r="Q191" s="1">
        <v>44411</v>
      </c>
      <c r="R191">
        <v>99.129997000000003</v>
      </c>
      <c r="S191">
        <f t="shared" si="18"/>
        <v>1.0293456676718672E-2</v>
      </c>
      <c r="T191">
        <v>19.739999999999998</v>
      </c>
      <c r="U191">
        <f t="shared" si="19"/>
        <v>2.4922118380062142E-2</v>
      </c>
      <c r="V191">
        <v>1522.5600589999999</v>
      </c>
      <c r="W191">
        <f t="shared" si="20"/>
        <v>-1.0470071255900821E-2</v>
      </c>
    </row>
    <row r="192" spans="1:23">
      <c r="A192" s="1">
        <v>44134</v>
      </c>
      <c r="B192">
        <v>59.470001000000003</v>
      </c>
      <c r="C192">
        <v>190</v>
      </c>
      <c r="D192">
        <f t="shared" si="14"/>
        <v>139.61927668691513</v>
      </c>
      <c r="E192">
        <v>11.29</v>
      </c>
      <c r="F192">
        <v>190</v>
      </c>
      <c r="G192">
        <f t="shared" si="15"/>
        <v>28.923144876325086</v>
      </c>
      <c r="H192">
        <v>925.42999299999997</v>
      </c>
      <c r="I192">
        <v>190</v>
      </c>
      <c r="J192">
        <f t="shared" si="16"/>
        <v>1142.3424478587513</v>
      </c>
      <c r="K192">
        <f t="shared" si="17"/>
        <v>-162.27516426846978</v>
      </c>
      <c r="L192">
        <v>-14.189863163563132</v>
      </c>
      <c r="Q192" s="1">
        <v>44412</v>
      </c>
      <c r="R192">
        <v>98.790001000000004</v>
      </c>
      <c r="S192">
        <f t="shared" si="18"/>
        <v>-3.4297993573025056E-3</v>
      </c>
      <c r="T192">
        <v>19.059999000000001</v>
      </c>
      <c r="U192">
        <f t="shared" si="19"/>
        <v>-3.4447872340425394E-2</v>
      </c>
      <c r="V192">
        <v>1555.5200199999999</v>
      </c>
      <c r="W192">
        <f t="shared" si="20"/>
        <v>2.1647724702333088E-2</v>
      </c>
    </row>
    <row r="193" spans="1:23">
      <c r="A193" s="1">
        <v>44137</v>
      </c>
      <c r="B193">
        <v>60.110000999999997</v>
      </c>
      <c r="C193">
        <v>191</v>
      </c>
      <c r="D193">
        <f t="shared" si="14"/>
        <v>144.53892716430252</v>
      </c>
      <c r="E193">
        <v>11.75</v>
      </c>
      <c r="F193">
        <v>191</v>
      </c>
      <c r="G193">
        <f t="shared" si="15"/>
        <v>30.181576616474757</v>
      </c>
      <c r="H193">
        <v>914.98999000000003</v>
      </c>
      <c r="I193">
        <v>191</v>
      </c>
      <c r="J193">
        <f t="shared" si="16"/>
        <v>1192.3948178541477</v>
      </c>
      <c r="K193">
        <f t="shared" si="17"/>
        <v>5.9025565984420609</v>
      </c>
      <c r="L193">
        <v>-14.173779782559905</v>
      </c>
      <c r="Q193" s="1">
        <v>44413</v>
      </c>
      <c r="R193">
        <v>100.32</v>
      </c>
      <c r="S193">
        <f t="shared" si="18"/>
        <v>1.5487387230616481E-2</v>
      </c>
      <c r="T193">
        <v>19.559999000000001</v>
      </c>
      <c r="U193">
        <f t="shared" si="19"/>
        <v>2.623294995975603E-2</v>
      </c>
      <c r="V193">
        <v>1545.5500489999999</v>
      </c>
      <c r="W193">
        <f t="shared" si="20"/>
        <v>-6.4094134899015873E-3</v>
      </c>
    </row>
    <row r="194" spans="1:23">
      <c r="A194" s="1">
        <v>44138</v>
      </c>
      <c r="B194">
        <v>61.990001999999997</v>
      </c>
      <c r="C194">
        <v>192</v>
      </c>
      <c r="D194">
        <f t="shared" si="14"/>
        <v>147.47246944813728</v>
      </c>
      <c r="E194">
        <v>11.9</v>
      </c>
      <c r="F194">
        <v>192</v>
      </c>
      <c r="G194">
        <f t="shared" si="15"/>
        <v>29.370212765957447</v>
      </c>
      <c r="H194">
        <v>941.71997099999999</v>
      </c>
      <c r="I194">
        <v>192</v>
      </c>
      <c r="J194">
        <f t="shared" si="16"/>
        <v>1241.2313767782309</v>
      </c>
      <c r="K194">
        <f t="shared" si="17"/>
        <v>120.74063952719644</v>
      </c>
      <c r="L194">
        <v>-13.487314536159829</v>
      </c>
      <c r="Q194" s="1">
        <v>44414</v>
      </c>
      <c r="R194">
        <v>100.660004</v>
      </c>
      <c r="S194">
        <f t="shared" si="18"/>
        <v>3.3891945773525472E-3</v>
      </c>
      <c r="T194">
        <v>19.68</v>
      </c>
      <c r="U194">
        <f t="shared" si="19"/>
        <v>6.1350207635490405E-3</v>
      </c>
      <c r="V194">
        <v>1525.0600589999999</v>
      </c>
      <c r="W194">
        <f t="shared" si="20"/>
        <v>-1.3257409563189134E-2</v>
      </c>
    </row>
    <row r="195" spans="1:23">
      <c r="A195" s="1">
        <v>44139</v>
      </c>
      <c r="B195">
        <v>62.439999</v>
      </c>
      <c r="C195">
        <v>193</v>
      </c>
      <c r="D195">
        <f t="shared" si="14"/>
        <v>144.03806370259517</v>
      </c>
      <c r="E195">
        <v>11.94</v>
      </c>
      <c r="F195">
        <v>193</v>
      </c>
      <c r="G195">
        <f t="shared" si="15"/>
        <v>29.097478991596638</v>
      </c>
      <c r="H195">
        <v>996</v>
      </c>
      <c r="I195">
        <v>193</v>
      </c>
      <c r="J195">
        <f t="shared" si="16"/>
        <v>1275.5129305843298</v>
      </c>
      <c r="K195">
        <f t="shared" si="17"/>
        <v>150.86868306856104</v>
      </c>
      <c r="L195">
        <v>-13.345051823199356</v>
      </c>
      <c r="Q195" s="1">
        <v>44417</v>
      </c>
      <c r="R195">
        <v>100.58000199999999</v>
      </c>
      <c r="S195">
        <f t="shared" si="18"/>
        <v>-7.9477445679425416E-4</v>
      </c>
      <c r="T195">
        <v>19.170000000000002</v>
      </c>
      <c r="U195">
        <f t="shared" si="19"/>
        <v>-2.5914634146341362E-2</v>
      </c>
      <c r="V195">
        <v>1549.98999</v>
      </c>
      <c r="W195">
        <f t="shared" si="20"/>
        <v>1.6346851950438581E-2</v>
      </c>
    </row>
    <row r="196" spans="1:23">
      <c r="A196" s="1">
        <v>44140</v>
      </c>
      <c r="B196">
        <v>62.919998</v>
      </c>
      <c r="C196">
        <v>194</v>
      </c>
      <c r="D196">
        <f t="shared" ref="D196:D259" si="21">143*B196/B195</f>
        <v>144.09929305091757</v>
      </c>
      <c r="E196">
        <v>11.87</v>
      </c>
      <c r="F196">
        <v>194</v>
      </c>
      <c r="G196">
        <f t="shared" ref="G196:G259" si="22">29 *E196/E195</f>
        <v>28.829983249581236</v>
      </c>
      <c r="H196">
        <v>1036.5</v>
      </c>
      <c r="I196">
        <v>194</v>
      </c>
      <c r="J196">
        <f t="shared" ref="J196:J259" si="23">1206 *H196/H195</f>
        <v>1255.0391566265059</v>
      </c>
      <c r="K196">
        <f t="shared" ref="K196:K259" si="24">(1430*D196/143+435*G196/29+2412*J196/1206)-1430-435-2412</f>
        <v>106.52099250590618</v>
      </c>
      <c r="L196">
        <v>-13.176288513506734</v>
      </c>
      <c r="Q196" s="1">
        <v>44418</v>
      </c>
      <c r="R196">
        <v>102.110001</v>
      </c>
      <c r="S196">
        <f t="shared" ref="S196:S259" si="25">(R196-R195)/R195</f>
        <v>1.5211761479185532E-2</v>
      </c>
      <c r="T196">
        <v>19.719999000000001</v>
      </c>
      <c r="U196">
        <f t="shared" ref="U196:U259" si="26">(T196-T195)/T195</f>
        <v>2.8690610328638479E-2</v>
      </c>
      <c r="V196">
        <v>1525.9399410000001</v>
      </c>
      <c r="W196">
        <f t="shared" ref="W196:W259" si="27">(V196-V195)/V195</f>
        <v>-1.5516260850174874E-2</v>
      </c>
    </row>
    <row r="197" spans="1:23">
      <c r="A197" s="1">
        <v>44141</v>
      </c>
      <c r="B197">
        <v>62.360000999999997</v>
      </c>
      <c r="C197">
        <v>195</v>
      </c>
      <c r="D197">
        <f t="shared" si="21"/>
        <v>141.72727950499933</v>
      </c>
      <c r="E197">
        <v>11.71</v>
      </c>
      <c r="F197">
        <v>195</v>
      </c>
      <c r="G197">
        <f t="shared" si="22"/>
        <v>28.609098567818034</v>
      </c>
      <c r="H197">
        <v>1045</v>
      </c>
      <c r="I197">
        <v>195</v>
      </c>
      <c r="J197">
        <f t="shared" si="23"/>
        <v>1215.89001447178</v>
      </c>
      <c r="K197">
        <f t="shared" si="24"/>
        <v>1.1893025108238362</v>
      </c>
      <c r="L197">
        <v>-13.139058703150113</v>
      </c>
      <c r="Q197" s="1">
        <v>44419</v>
      </c>
      <c r="R197">
        <v>103.220001</v>
      </c>
      <c r="S197">
        <f t="shared" si="25"/>
        <v>1.0870629606594554E-2</v>
      </c>
      <c r="T197">
        <v>19.75</v>
      </c>
      <c r="U197">
        <f t="shared" si="26"/>
        <v>1.5213489615287816E-3</v>
      </c>
      <c r="V197">
        <v>1485.2299800000001</v>
      </c>
      <c r="W197">
        <f t="shared" si="27"/>
        <v>-2.6678612903546783E-2</v>
      </c>
    </row>
    <row r="198" spans="1:23">
      <c r="A198" s="1">
        <v>44144</v>
      </c>
      <c r="B198">
        <v>65.239998</v>
      </c>
      <c r="C198">
        <v>196</v>
      </c>
      <c r="D198">
        <f t="shared" si="21"/>
        <v>149.60422649768719</v>
      </c>
      <c r="E198">
        <v>14.54</v>
      </c>
      <c r="F198">
        <v>196</v>
      </c>
      <c r="G198">
        <f t="shared" si="22"/>
        <v>36.008539709649867</v>
      </c>
      <c r="H198">
        <v>902.59997599999997</v>
      </c>
      <c r="I198">
        <v>196</v>
      </c>
      <c r="J198">
        <f t="shared" si="23"/>
        <v>1041.6608335464114</v>
      </c>
      <c r="K198">
        <f t="shared" si="24"/>
        <v>-157.50797228555712</v>
      </c>
      <c r="L198">
        <v>-12.915681985785341</v>
      </c>
      <c r="Q198" s="1">
        <v>44420</v>
      </c>
      <c r="R198">
        <v>103.160004</v>
      </c>
      <c r="S198">
        <f t="shared" si="25"/>
        <v>-5.8125362738560365E-4</v>
      </c>
      <c r="T198">
        <v>19.52</v>
      </c>
      <c r="U198">
        <f t="shared" si="26"/>
        <v>-1.1645569620253185E-2</v>
      </c>
      <c r="V198">
        <v>1503.1999510000001</v>
      </c>
      <c r="W198">
        <f t="shared" si="27"/>
        <v>1.2099116798059776E-2</v>
      </c>
    </row>
    <row r="199" spans="1:23">
      <c r="A199" s="1">
        <v>44145</v>
      </c>
      <c r="B199">
        <v>67.199996999999996</v>
      </c>
      <c r="C199">
        <v>197</v>
      </c>
      <c r="D199">
        <f t="shared" si="21"/>
        <v>147.29613527885147</v>
      </c>
      <c r="E199">
        <v>14.62</v>
      </c>
      <c r="F199">
        <v>197</v>
      </c>
      <c r="G199">
        <f t="shared" si="22"/>
        <v>29.159559834938101</v>
      </c>
      <c r="H199">
        <v>885.76000999999997</v>
      </c>
      <c r="I199">
        <v>197</v>
      </c>
      <c r="J199">
        <f t="shared" si="23"/>
        <v>1183.4994465588152</v>
      </c>
      <c r="K199">
        <f t="shared" si="24"/>
        <v>0.35364343021683453</v>
      </c>
      <c r="L199">
        <v>-12.706275117965561</v>
      </c>
      <c r="Q199" s="1">
        <v>44421</v>
      </c>
      <c r="R199">
        <v>102.870003</v>
      </c>
      <c r="S199">
        <f t="shared" si="25"/>
        <v>-2.8111767037155575E-3</v>
      </c>
      <c r="T199">
        <v>19.190000999999999</v>
      </c>
      <c r="U199">
        <f t="shared" si="26"/>
        <v>-1.6905686475409878E-2</v>
      </c>
      <c r="V199">
        <v>1498</v>
      </c>
      <c r="W199">
        <f t="shared" si="27"/>
        <v>-3.4592543703456089E-3</v>
      </c>
    </row>
    <row r="200" spans="1:23">
      <c r="A200" s="1">
        <v>44146</v>
      </c>
      <c r="B200">
        <v>66.930000000000007</v>
      </c>
      <c r="C200">
        <v>198</v>
      </c>
      <c r="D200">
        <f t="shared" si="21"/>
        <v>142.4254527868506</v>
      </c>
      <c r="E200">
        <v>14.62</v>
      </c>
      <c r="F200">
        <v>198</v>
      </c>
      <c r="G200">
        <f t="shared" si="22"/>
        <v>29</v>
      </c>
      <c r="H200">
        <v>947.17999299999997</v>
      </c>
      <c r="I200">
        <v>198</v>
      </c>
      <c r="J200">
        <f t="shared" si="23"/>
        <v>1289.6259242478106</v>
      </c>
      <c r="K200">
        <f t="shared" si="24"/>
        <v>161.50637636412739</v>
      </c>
      <c r="L200">
        <v>-12.527851571785504</v>
      </c>
      <c r="Q200" s="1">
        <v>44424</v>
      </c>
      <c r="R200">
        <v>101.989998</v>
      </c>
      <c r="S200">
        <f t="shared" si="25"/>
        <v>-8.5545346003343369E-3</v>
      </c>
      <c r="T200">
        <v>18.850000000000001</v>
      </c>
      <c r="U200">
        <f t="shared" si="26"/>
        <v>-1.7717612417008075E-2</v>
      </c>
      <c r="V200">
        <v>1489</v>
      </c>
      <c r="W200">
        <f t="shared" si="27"/>
        <v>-6.0080106809078772E-3</v>
      </c>
    </row>
    <row r="201" spans="1:23">
      <c r="A201" s="1">
        <v>44147</v>
      </c>
      <c r="B201">
        <v>66.050003000000004</v>
      </c>
      <c r="C201">
        <v>199</v>
      </c>
      <c r="D201">
        <f t="shared" si="21"/>
        <v>141.1198330942776</v>
      </c>
      <c r="E201">
        <v>13.69</v>
      </c>
      <c r="F201">
        <v>199</v>
      </c>
      <c r="G201">
        <f t="shared" si="22"/>
        <v>27.155266757865938</v>
      </c>
      <c r="H201">
        <v>925.79998799999998</v>
      </c>
      <c r="I201">
        <v>199</v>
      </c>
      <c r="J201">
        <f t="shared" si="23"/>
        <v>1178.7778392485534</v>
      </c>
      <c r="K201">
        <f t="shared" si="24"/>
        <v>-100.91698919212831</v>
      </c>
      <c r="L201">
        <v>-12.388936346360424</v>
      </c>
      <c r="Q201" s="1">
        <v>44425</v>
      </c>
      <c r="R201">
        <v>100.980003</v>
      </c>
      <c r="S201">
        <f t="shared" si="25"/>
        <v>-9.9028828297457513E-3</v>
      </c>
      <c r="T201">
        <v>18.469999000000001</v>
      </c>
      <c r="U201">
        <f t="shared" si="26"/>
        <v>-2.0159204244031829E-2</v>
      </c>
      <c r="V201">
        <v>1481.869995</v>
      </c>
      <c r="W201">
        <f t="shared" si="27"/>
        <v>-4.7884519811954218E-3</v>
      </c>
    </row>
    <row r="202" spans="1:23">
      <c r="A202" s="1">
        <v>44148</v>
      </c>
      <c r="B202">
        <v>66.669998000000007</v>
      </c>
      <c r="C202">
        <v>200</v>
      </c>
      <c r="D202">
        <f t="shared" si="21"/>
        <v>144.34230554084911</v>
      </c>
      <c r="E202">
        <v>13.91</v>
      </c>
      <c r="F202">
        <v>200</v>
      </c>
      <c r="G202">
        <f t="shared" si="22"/>
        <v>29.466033601168736</v>
      </c>
      <c r="H202">
        <v>918.29998799999998</v>
      </c>
      <c r="I202">
        <v>200</v>
      </c>
      <c r="J202">
        <f t="shared" si="23"/>
        <v>1196.2300711630598</v>
      </c>
      <c r="K202">
        <f t="shared" si="24"/>
        <v>0.87370175214164192</v>
      </c>
      <c r="L202">
        <v>-11.815463387019918</v>
      </c>
      <c r="Q202" s="1">
        <v>44426</v>
      </c>
      <c r="R202">
        <v>101.269997</v>
      </c>
      <c r="S202">
        <f t="shared" si="25"/>
        <v>2.8717963100081032E-3</v>
      </c>
      <c r="T202">
        <v>17.989999999999998</v>
      </c>
      <c r="U202">
        <f t="shared" si="26"/>
        <v>-2.5988036057825608E-2</v>
      </c>
      <c r="V202">
        <v>1489.1800539999999</v>
      </c>
      <c r="W202">
        <f t="shared" si="27"/>
        <v>4.9329961634049487E-3</v>
      </c>
    </row>
    <row r="203" spans="1:23">
      <c r="A203" s="1">
        <v>44151</v>
      </c>
      <c r="B203">
        <v>68.639999000000003</v>
      </c>
      <c r="C203">
        <v>201</v>
      </c>
      <c r="D203">
        <f t="shared" si="21"/>
        <v>147.22544099971324</v>
      </c>
      <c r="E203">
        <v>14.98</v>
      </c>
      <c r="F203">
        <v>201</v>
      </c>
      <c r="G203">
        <f t="shared" si="22"/>
        <v>31.23076923076923</v>
      </c>
      <c r="H203">
        <v>919.21997099999999</v>
      </c>
      <c r="I203">
        <v>201</v>
      </c>
      <c r="J203">
        <f t="shared" si="23"/>
        <v>1207.2082102934753</v>
      </c>
      <c r="K203">
        <f t="shared" si="24"/>
        <v>78.13236904562109</v>
      </c>
      <c r="L203">
        <v>-11.419889782050632</v>
      </c>
      <c r="Q203" s="1">
        <v>44427</v>
      </c>
      <c r="R203">
        <v>98.860000999999997</v>
      </c>
      <c r="S203">
        <f t="shared" si="25"/>
        <v>-2.379772954866392E-2</v>
      </c>
      <c r="T203">
        <v>17.549999</v>
      </c>
      <c r="U203">
        <f t="shared" si="26"/>
        <v>-2.445808782657025E-2</v>
      </c>
      <c r="V203">
        <v>1466.1099850000001</v>
      </c>
      <c r="W203">
        <f t="shared" si="27"/>
        <v>-1.5491792908475174E-2</v>
      </c>
    </row>
    <row r="204" spans="1:23">
      <c r="A204" s="1">
        <v>44152</v>
      </c>
      <c r="B204">
        <v>69.400002000000001</v>
      </c>
      <c r="C204">
        <v>202</v>
      </c>
      <c r="D204">
        <f t="shared" si="21"/>
        <v>144.58333960640061</v>
      </c>
      <c r="E204">
        <v>15.25</v>
      </c>
      <c r="F204">
        <v>202</v>
      </c>
      <c r="G204">
        <f t="shared" si="22"/>
        <v>29.522696929238986</v>
      </c>
      <c r="H204">
        <v>914.02002000000005</v>
      </c>
      <c r="I204">
        <v>202</v>
      </c>
      <c r="J204">
        <f t="shared" si="23"/>
        <v>1199.177758203863</v>
      </c>
      <c r="K204">
        <f t="shared" si="24"/>
        <v>10.02936641031738</v>
      </c>
      <c r="L204">
        <v>-11.156797598148842</v>
      </c>
      <c r="Q204" s="1">
        <v>44428</v>
      </c>
      <c r="R204">
        <v>99.790001000000004</v>
      </c>
      <c r="S204">
        <f t="shared" si="25"/>
        <v>9.4072424700866308E-3</v>
      </c>
      <c r="T204">
        <v>17.5</v>
      </c>
      <c r="U204">
        <f t="shared" si="26"/>
        <v>-2.8489460312789579E-3</v>
      </c>
      <c r="V204">
        <v>1450.6999510000001</v>
      </c>
      <c r="W204">
        <f t="shared" si="27"/>
        <v>-1.0510830809190618E-2</v>
      </c>
    </row>
    <row r="205" spans="1:23">
      <c r="A205" s="1">
        <v>44153</v>
      </c>
      <c r="B205">
        <v>69.949996999999996</v>
      </c>
      <c r="C205">
        <v>203</v>
      </c>
      <c r="D205">
        <f t="shared" si="21"/>
        <v>144.13327496734075</v>
      </c>
      <c r="E205">
        <v>15.36</v>
      </c>
      <c r="F205">
        <v>203</v>
      </c>
      <c r="G205">
        <f t="shared" si="22"/>
        <v>29.209180327868854</v>
      </c>
      <c r="H205">
        <v>931.42999299999997</v>
      </c>
      <c r="I205">
        <v>203</v>
      </c>
      <c r="J205">
        <f t="shared" si="23"/>
        <v>1228.97151810526</v>
      </c>
      <c r="K205">
        <f t="shared" si="24"/>
        <v>60.413490801960506</v>
      </c>
      <c r="L205">
        <v>-11.11467248455665</v>
      </c>
      <c r="Q205" s="1">
        <v>44431</v>
      </c>
      <c r="R205">
        <v>101.779999</v>
      </c>
      <c r="S205">
        <f t="shared" si="25"/>
        <v>1.9941857701755106E-2</v>
      </c>
      <c r="T205">
        <v>18.299999</v>
      </c>
      <c r="U205">
        <f t="shared" si="26"/>
        <v>4.5714228571428553E-2</v>
      </c>
      <c r="V205">
        <v>1481.410034</v>
      </c>
      <c r="W205">
        <f t="shared" si="27"/>
        <v>2.1169148712544446E-2</v>
      </c>
    </row>
    <row r="206" spans="1:23">
      <c r="A206" s="1">
        <v>44154</v>
      </c>
      <c r="B206">
        <v>70.680000000000007</v>
      </c>
      <c r="C206">
        <v>204</v>
      </c>
      <c r="D206">
        <f t="shared" si="21"/>
        <v>144.49235787672731</v>
      </c>
      <c r="E206">
        <v>15.44</v>
      </c>
      <c r="F206">
        <v>204</v>
      </c>
      <c r="G206">
        <f t="shared" si="22"/>
        <v>29.151041666666668</v>
      </c>
      <c r="H206">
        <v>966.77002000000005</v>
      </c>
      <c r="I206">
        <v>204</v>
      </c>
      <c r="J206">
        <f t="shared" si="23"/>
        <v>1251.7576767790429</v>
      </c>
      <c r="K206">
        <f t="shared" si="24"/>
        <v>108.70455732535902</v>
      </c>
      <c r="L206">
        <v>-10.624220258088826</v>
      </c>
      <c r="Q206" s="1">
        <v>44432</v>
      </c>
      <c r="R206">
        <v>103.83000199999999</v>
      </c>
      <c r="S206">
        <f t="shared" si="25"/>
        <v>2.0141511300270198E-2</v>
      </c>
      <c r="T206">
        <v>18.709999</v>
      </c>
      <c r="U206">
        <f t="shared" si="26"/>
        <v>2.240437280898213E-2</v>
      </c>
      <c r="V206">
        <v>1538.51001</v>
      </c>
      <c r="W206">
        <f t="shared" si="27"/>
        <v>3.8544342679941619E-2</v>
      </c>
    </row>
    <row r="207" spans="1:23">
      <c r="A207" s="1">
        <v>44155</v>
      </c>
      <c r="B207">
        <v>71.339995999999999</v>
      </c>
      <c r="C207">
        <v>205</v>
      </c>
      <c r="D207">
        <f t="shared" si="21"/>
        <v>144.33530599886814</v>
      </c>
      <c r="E207">
        <v>15.41</v>
      </c>
      <c r="F207">
        <v>205</v>
      </c>
      <c r="G207">
        <f t="shared" si="22"/>
        <v>28.943652849740932</v>
      </c>
      <c r="H207">
        <v>988.51000999999997</v>
      </c>
      <c r="I207">
        <v>205</v>
      </c>
      <c r="J207">
        <f t="shared" si="23"/>
        <v>1233.1196121079549</v>
      </c>
      <c r="K207">
        <f t="shared" si="24"/>
        <v>66.747076950705377</v>
      </c>
      <c r="L207">
        <v>-9.8246271924281245</v>
      </c>
      <c r="Q207" s="1">
        <v>44433</v>
      </c>
      <c r="R207">
        <v>103.739998</v>
      </c>
      <c r="S207">
        <f t="shared" si="25"/>
        <v>-8.6684001026979967E-4</v>
      </c>
      <c r="T207">
        <v>18.719999000000001</v>
      </c>
      <c r="U207">
        <f t="shared" si="26"/>
        <v>5.344735721258758E-4</v>
      </c>
      <c r="V207">
        <v>1552.23999</v>
      </c>
      <c r="W207">
        <f t="shared" si="27"/>
        <v>8.924205829509077E-3</v>
      </c>
    </row>
    <row r="208" spans="1:23">
      <c r="A208" s="1">
        <v>44158</v>
      </c>
      <c r="B208">
        <v>72.580001999999993</v>
      </c>
      <c r="C208">
        <v>206</v>
      </c>
      <c r="D208">
        <f t="shared" si="21"/>
        <v>145.48557426327861</v>
      </c>
      <c r="E208">
        <v>16.760000000000002</v>
      </c>
      <c r="F208">
        <v>206</v>
      </c>
      <c r="G208">
        <f t="shared" si="22"/>
        <v>31.540558079169372</v>
      </c>
      <c r="H208">
        <v>980.01000999999997</v>
      </c>
      <c r="I208">
        <v>206</v>
      </c>
      <c r="J208">
        <f t="shared" si="23"/>
        <v>1195.629847046263</v>
      </c>
      <c r="K208">
        <f t="shared" si="24"/>
        <v>42.223807912852863</v>
      </c>
      <c r="L208">
        <v>-8.5118788900499567</v>
      </c>
      <c r="Q208" s="1">
        <v>44434</v>
      </c>
      <c r="R208">
        <v>100.599998</v>
      </c>
      <c r="S208">
        <f t="shared" si="25"/>
        <v>-3.0267978219934037E-2</v>
      </c>
      <c r="T208">
        <v>18.66</v>
      </c>
      <c r="U208">
        <f t="shared" si="26"/>
        <v>-3.2050749575361216E-3</v>
      </c>
      <c r="V208">
        <v>1515.579956</v>
      </c>
      <c r="W208">
        <f t="shared" si="27"/>
        <v>-2.3617503888686695E-2</v>
      </c>
    </row>
    <row r="209" spans="1:23">
      <c r="A209" s="1">
        <v>44159</v>
      </c>
      <c r="B209">
        <v>74.809997999999993</v>
      </c>
      <c r="C209">
        <v>207</v>
      </c>
      <c r="D209">
        <f t="shared" si="21"/>
        <v>147.39362660805659</v>
      </c>
      <c r="E209">
        <v>17.670000000000002</v>
      </c>
      <c r="F209">
        <v>207</v>
      </c>
      <c r="G209">
        <f t="shared" si="22"/>
        <v>30.57458233890215</v>
      </c>
      <c r="H209">
        <v>971.23999000000003</v>
      </c>
      <c r="I209">
        <v>207</v>
      </c>
      <c r="J209">
        <f t="shared" si="23"/>
        <v>1195.2076162364915</v>
      </c>
      <c r="K209">
        <f t="shared" si="24"/>
        <v>45.970233637081037</v>
      </c>
      <c r="L209">
        <v>-7.9984971383373704</v>
      </c>
      <c r="Q209" s="1">
        <v>44435</v>
      </c>
      <c r="R209">
        <v>100.650002</v>
      </c>
      <c r="S209">
        <f t="shared" si="25"/>
        <v>4.9705766395742145E-4</v>
      </c>
      <c r="T209">
        <v>19.209999</v>
      </c>
      <c r="U209">
        <f t="shared" si="26"/>
        <v>2.9474758842443712E-2</v>
      </c>
      <c r="V209">
        <v>1531.420044</v>
      </c>
      <c r="W209">
        <f t="shared" si="27"/>
        <v>1.0451502698548438E-2</v>
      </c>
    </row>
    <row r="210" spans="1:23">
      <c r="A210" s="1">
        <v>44160</v>
      </c>
      <c r="B210">
        <v>74.809997999999993</v>
      </c>
      <c r="C210">
        <v>208</v>
      </c>
      <c r="D210">
        <f t="shared" si="21"/>
        <v>143</v>
      </c>
      <c r="E210">
        <v>17.559999000000001</v>
      </c>
      <c r="F210">
        <v>208</v>
      </c>
      <c r="G210">
        <f t="shared" si="22"/>
        <v>28.819466383701187</v>
      </c>
      <c r="H210">
        <v>1019.52002</v>
      </c>
      <c r="I210">
        <v>208</v>
      </c>
      <c r="J210">
        <f t="shared" si="23"/>
        <v>1265.9498751899621</v>
      </c>
      <c r="K210">
        <f t="shared" si="24"/>
        <v>117.19174613544237</v>
      </c>
      <c r="L210">
        <v>-7.3326572182995733</v>
      </c>
      <c r="Q210" s="1">
        <v>44438</v>
      </c>
      <c r="R210">
        <v>99.82</v>
      </c>
      <c r="S210">
        <f t="shared" si="25"/>
        <v>-8.2464181173092024E-3</v>
      </c>
      <c r="T210">
        <v>18.940000999999999</v>
      </c>
      <c r="U210">
        <f t="shared" si="26"/>
        <v>-1.4055076213174247E-2</v>
      </c>
      <c r="V210">
        <v>1549</v>
      </c>
      <c r="W210">
        <f t="shared" si="27"/>
        <v>1.1479512801779704E-2</v>
      </c>
    </row>
    <row r="211" spans="1:23">
      <c r="A211" s="1">
        <v>44162</v>
      </c>
      <c r="B211">
        <v>74.739998</v>
      </c>
      <c r="C211">
        <v>209</v>
      </c>
      <c r="D211">
        <f t="shared" si="21"/>
        <v>142.86619435546569</v>
      </c>
      <c r="E211">
        <v>17.25</v>
      </c>
      <c r="F211">
        <v>209</v>
      </c>
      <c r="G211">
        <f t="shared" si="22"/>
        <v>28.488042624603793</v>
      </c>
      <c r="H211">
        <v>1034.3900149999999</v>
      </c>
      <c r="I211">
        <v>209</v>
      </c>
      <c r="J211">
        <f t="shared" si="23"/>
        <v>1223.5898595595993</v>
      </c>
      <c r="K211">
        <f t="shared" si="24"/>
        <v>26.162302042912415</v>
      </c>
      <c r="L211">
        <v>-6.664006000448353</v>
      </c>
      <c r="Q211" s="1">
        <v>44439</v>
      </c>
      <c r="R211">
        <v>99.519997000000004</v>
      </c>
      <c r="S211">
        <f t="shared" si="25"/>
        <v>-3.0054397916248208E-3</v>
      </c>
      <c r="T211">
        <v>18.649999999999999</v>
      </c>
      <c r="U211">
        <f t="shared" si="26"/>
        <v>-1.5311562021564846E-2</v>
      </c>
      <c r="V211">
        <v>1524.780029</v>
      </c>
      <c r="W211">
        <f t="shared" si="27"/>
        <v>-1.5635875403486113E-2</v>
      </c>
    </row>
    <row r="212" spans="1:23">
      <c r="A212" s="1">
        <v>44165</v>
      </c>
      <c r="B212">
        <v>72.720000999999996</v>
      </c>
      <c r="C212">
        <v>210</v>
      </c>
      <c r="D212">
        <f t="shared" si="21"/>
        <v>139.13514077161201</v>
      </c>
      <c r="E212">
        <v>16.09</v>
      </c>
      <c r="F212">
        <v>210</v>
      </c>
      <c r="G212">
        <f t="shared" si="22"/>
        <v>27.049855072463767</v>
      </c>
      <c r="H212">
        <v>1090.380005</v>
      </c>
      <c r="I212">
        <v>210</v>
      </c>
      <c r="J212">
        <f t="shared" si="23"/>
        <v>1271.2789827442409</v>
      </c>
      <c r="K212">
        <f t="shared" si="24"/>
        <v>62.657199291557845</v>
      </c>
      <c r="L212">
        <v>-6.596669238031609</v>
      </c>
      <c r="Q212" s="1">
        <v>44440</v>
      </c>
      <c r="R212">
        <v>100.610001</v>
      </c>
      <c r="S212">
        <f t="shared" si="25"/>
        <v>1.0952612870356027E-2</v>
      </c>
      <c r="T212">
        <v>18.459999</v>
      </c>
      <c r="U212">
        <f t="shared" si="26"/>
        <v>-1.0187721179624598E-2</v>
      </c>
      <c r="V212">
        <v>1539.030029</v>
      </c>
      <c r="W212">
        <f t="shared" si="27"/>
        <v>9.3456103365582577E-3</v>
      </c>
    </row>
    <row r="213" spans="1:23">
      <c r="A213" s="1">
        <v>44166</v>
      </c>
      <c r="B213">
        <v>74.589995999999999</v>
      </c>
      <c r="C213">
        <v>211</v>
      </c>
      <c r="D213">
        <f t="shared" si="21"/>
        <v>146.67724534272216</v>
      </c>
      <c r="E213">
        <v>15.95</v>
      </c>
      <c r="F213">
        <v>211</v>
      </c>
      <c r="G213">
        <f t="shared" si="22"/>
        <v>28.747669359850835</v>
      </c>
      <c r="H213">
        <v>1069.0600589999999</v>
      </c>
      <c r="I213">
        <v>211</v>
      </c>
      <c r="J213">
        <f t="shared" si="23"/>
        <v>1182.419363196228</v>
      </c>
      <c r="K213">
        <f t="shared" si="24"/>
        <v>-14.173779782559905</v>
      </c>
      <c r="L213">
        <v>-5.9630768614233602</v>
      </c>
      <c r="Q213" s="1">
        <v>44441</v>
      </c>
      <c r="R213">
        <v>101.82</v>
      </c>
      <c r="S213">
        <f t="shared" si="25"/>
        <v>1.2026627452274813E-2</v>
      </c>
      <c r="T213">
        <v>18.899999999999999</v>
      </c>
      <c r="U213">
        <f t="shared" si="26"/>
        <v>2.3835375072338776E-2</v>
      </c>
      <c r="V213">
        <v>1542.599976</v>
      </c>
      <c r="W213">
        <f t="shared" si="27"/>
        <v>2.3196084109675008E-3</v>
      </c>
    </row>
    <row r="214" spans="1:23">
      <c r="A214" s="1">
        <v>44167</v>
      </c>
      <c r="B214">
        <v>75.319999999999993</v>
      </c>
      <c r="C214">
        <v>212</v>
      </c>
      <c r="D214">
        <f t="shared" si="21"/>
        <v>144.3995251052165</v>
      </c>
      <c r="E214">
        <v>16.219999000000001</v>
      </c>
      <c r="F214">
        <v>212</v>
      </c>
      <c r="G214">
        <f t="shared" si="22"/>
        <v>29.490907272727277</v>
      </c>
      <c r="H214">
        <v>1079.4399410000001</v>
      </c>
      <c r="I214">
        <v>212</v>
      </c>
      <c r="J214">
        <f t="shared" si="23"/>
        <v>1217.709480292164</v>
      </c>
      <c r="K214">
        <f t="shared" si="24"/>
        <v>44.777820727402286</v>
      </c>
      <c r="L214">
        <v>-5.5721789048120627</v>
      </c>
      <c r="Q214" s="1">
        <v>44442</v>
      </c>
      <c r="R214">
        <v>101.970001</v>
      </c>
      <c r="S214">
        <f t="shared" si="25"/>
        <v>1.4731978000393161E-3</v>
      </c>
      <c r="T214">
        <v>18.719999000000001</v>
      </c>
      <c r="U214">
        <f t="shared" si="26"/>
        <v>-9.5238624338622856E-3</v>
      </c>
      <c r="V214">
        <v>1554.25</v>
      </c>
      <c r="W214">
        <f t="shared" si="27"/>
        <v>7.552200299010008E-3</v>
      </c>
    </row>
    <row r="215" spans="1:23">
      <c r="A215" s="1">
        <v>44168</v>
      </c>
      <c r="B215">
        <v>75.900002000000001</v>
      </c>
      <c r="C215">
        <v>213</v>
      </c>
      <c r="D215">
        <f t="shared" si="21"/>
        <v>144.10117214551249</v>
      </c>
      <c r="E215">
        <v>16.600000000000001</v>
      </c>
      <c r="F215">
        <v>213</v>
      </c>
      <c r="G215">
        <f t="shared" si="22"/>
        <v>29.679409967904437</v>
      </c>
      <c r="H215">
        <v>1062.6800539999999</v>
      </c>
      <c r="I215">
        <v>213</v>
      </c>
      <c r="J215">
        <f t="shared" si="23"/>
        <v>1187.2750826106403</v>
      </c>
      <c r="K215">
        <f t="shared" si="24"/>
        <v>-16.246963805027917</v>
      </c>
      <c r="L215">
        <v>-5.0040257469454446</v>
      </c>
      <c r="Q215" s="1">
        <v>44446</v>
      </c>
      <c r="R215">
        <v>101.529999</v>
      </c>
      <c r="S215">
        <f t="shared" si="25"/>
        <v>-4.3150141775520102E-3</v>
      </c>
      <c r="T215">
        <v>18.43</v>
      </c>
      <c r="U215">
        <f t="shared" si="26"/>
        <v>-1.5491400400181734E-2</v>
      </c>
      <c r="V215">
        <v>1536.6999510000001</v>
      </c>
      <c r="W215">
        <f t="shared" si="27"/>
        <v>-1.1291651278751773E-2</v>
      </c>
    </row>
    <row r="216" spans="1:23">
      <c r="A216" s="1">
        <v>44169</v>
      </c>
      <c r="B216">
        <v>76.779999000000004</v>
      </c>
      <c r="C216">
        <v>214</v>
      </c>
      <c r="D216">
        <f t="shared" si="21"/>
        <v>144.65796531863069</v>
      </c>
      <c r="E216">
        <v>17.98</v>
      </c>
      <c r="F216">
        <v>214</v>
      </c>
      <c r="G216">
        <f t="shared" si="22"/>
        <v>31.410843373493972</v>
      </c>
      <c r="H216">
        <v>1053.8900149999999</v>
      </c>
      <c r="I216">
        <v>214</v>
      </c>
      <c r="J216">
        <f t="shared" si="23"/>
        <v>1196.0244791514644</v>
      </c>
      <c r="K216">
        <f t="shared" si="24"/>
        <v>32.791262091644967</v>
      </c>
      <c r="L216">
        <v>-4.7860657416231334</v>
      </c>
      <c r="Q216" s="1">
        <v>44447</v>
      </c>
      <c r="R216">
        <v>101.230003</v>
      </c>
      <c r="S216">
        <f t="shared" si="25"/>
        <v>-2.9547523190658876E-3</v>
      </c>
      <c r="T216">
        <v>18.239999999999998</v>
      </c>
      <c r="U216">
        <f t="shared" si="26"/>
        <v>-1.0309278350515533E-2</v>
      </c>
      <c r="V216">
        <v>1477.8100589999999</v>
      </c>
      <c r="W216">
        <f t="shared" si="27"/>
        <v>-3.8322310065590767E-2</v>
      </c>
    </row>
    <row r="217" spans="1:23">
      <c r="A217" s="1">
        <v>44172</v>
      </c>
      <c r="B217">
        <v>76.089995999999999</v>
      </c>
      <c r="C217">
        <v>215</v>
      </c>
      <c r="D217">
        <f t="shared" si="21"/>
        <v>141.714894109337</v>
      </c>
      <c r="E217">
        <v>17.860001</v>
      </c>
      <c r="F217">
        <v>215</v>
      </c>
      <c r="G217">
        <f t="shared" si="22"/>
        <v>28.80645322580645</v>
      </c>
      <c r="H217">
        <v>1084.400024</v>
      </c>
      <c r="I217">
        <v>215</v>
      </c>
      <c r="J217">
        <f t="shared" si="23"/>
        <v>1240.913577631723</v>
      </c>
      <c r="K217">
        <f t="shared" si="24"/>
        <v>54.072894743912912</v>
      </c>
      <c r="L217">
        <v>-3.723092105194155</v>
      </c>
      <c r="Q217" s="1">
        <v>44448</v>
      </c>
      <c r="R217">
        <v>101.349998</v>
      </c>
      <c r="S217">
        <f t="shared" si="25"/>
        <v>1.1853699144906966E-3</v>
      </c>
      <c r="T217">
        <v>18.540001</v>
      </c>
      <c r="U217">
        <f t="shared" si="26"/>
        <v>1.6447423245614132E-2</v>
      </c>
      <c r="V217">
        <v>1504.079956</v>
      </c>
      <c r="W217">
        <f t="shared" si="27"/>
        <v>1.7776233718273891E-2</v>
      </c>
    </row>
    <row r="218" spans="1:23">
      <c r="A218" s="1">
        <v>44173</v>
      </c>
      <c r="B218">
        <v>76.269997000000004</v>
      </c>
      <c r="C218">
        <v>216</v>
      </c>
      <c r="D218">
        <f t="shared" si="21"/>
        <v>143.33828550864953</v>
      </c>
      <c r="E218">
        <v>18.23</v>
      </c>
      <c r="F218">
        <v>216</v>
      </c>
      <c r="G218">
        <f t="shared" si="22"/>
        <v>29.600782217201441</v>
      </c>
      <c r="H218">
        <v>1102.089966</v>
      </c>
      <c r="I218">
        <v>216</v>
      </c>
      <c r="J218">
        <f t="shared" si="23"/>
        <v>1225.6736163591231</v>
      </c>
      <c r="K218">
        <f t="shared" si="24"/>
        <v>51.741821062762938</v>
      </c>
      <c r="L218">
        <v>-3.601708526179209</v>
      </c>
      <c r="Q218" s="1">
        <v>44449</v>
      </c>
      <c r="R218">
        <v>100.879997</v>
      </c>
      <c r="S218">
        <f t="shared" si="25"/>
        <v>-4.6374051235797391E-3</v>
      </c>
      <c r="T218">
        <v>18.299999</v>
      </c>
      <c r="U218">
        <f t="shared" si="26"/>
        <v>-1.2945090995410437E-2</v>
      </c>
      <c r="V218">
        <v>1484.099976</v>
      </c>
      <c r="W218">
        <f t="shared" si="27"/>
        <v>-1.3283854970805866E-2</v>
      </c>
    </row>
    <row r="219" spans="1:23">
      <c r="A219" s="1">
        <v>44174</v>
      </c>
      <c r="B219">
        <v>76.730002999999996</v>
      </c>
      <c r="C219">
        <v>217</v>
      </c>
      <c r="D219">
        <f t="shared" si="21"/>
        <v>143.862473588402</v>
      </c>
      <c r="E219">
        <v>17.989999999999998</v>
      </c>
      <c r="F219">
        <v>217</v>
      </c>
      <c r="G219">
        <f t="shared" si="22"/>
        <v>28.618211738891933</v>
      </c>
      <c r="H219">
        <v>1038.1899410000001</v>
      </c>
      <c r="I219">
        <v>217</v>
      </c>
      <c r="J219">
        <f t="shared" si="23"/>
        <v>1136.0751912026756</v>
      </c>
      <c r="K219">
        <f t="shared" si="24"/>
        <v>-136.95170562724979</v>
      </c>
      <c r="L219">
        <v>-3.3457931783159438</v>
      </c>
      <c r="Q219" s="1">
        <v>44452</v>
      </c>
      <c r="R219">
        <v>101.769997</v>
      </c>
      <c r="S219">
        <f t="shared" si="25"/>
        <v>8.822363466168626E-3</v>
      </c>
      <c r="T219">
        <v>19</v>
      </c>
      <c r="U219">
        <f t="shared" si="26"/>
        <v>3.8251422855269029E-2</v>
      </c>
      <c r="V219">
        <v>1476.869995</v>
      </c>
      <c r="W219">
        <f t="shared" si="27"/>
        <v>-4.8716266538097108E-3</v>
      </c>
    </row>
    <row r="220" spans="1:23">
      <c r="A220" s="1">
        <v>44175</v>
      </c>
      <c r="B220">
        <v>76.580001999999993</v>
      </c>
      <c r="C220">
        <v>218</v>
      </c>
      <c r="D220">
        <f t="shared" si="21"/>
        <v>142.72044647254867</v>
      </c>
      <c r="E220">
        <v>18.780000999999999</v>
      </c>
      <c r="F220">
        <v>218</v>
      </c>
      <c r="G220">
        <f t="shared" si="22"/>
        <v>30.273486881600888</v>
      </c>
      <c r="H220">
        <v>1067.369995</v>
      </c>
      <c r="I220">
        <v>218</v>
      </c>
      <c r="J220">
        <f t="shared" si="23"/>
        <v>1239.8966346467421</v>
      </c>
      <c r="K220">
        <f t="shared" si="24"/>
        <v>84.100037242984399</v>
      </c>
      <c r="L220">
        <v>-3.1919867624283143</v>
      </c>
      <c r="Q220" s="1">
        <v>44453</v>
      </c>
      <c r="R220">
        <v>100.5</v>
      </c>
      <c r="S220">
        <f t="shared" si="25"/>
        <v>-1.2479090473000639E-2</v>
      </c>
      <c r="T220">
        <v>18.559999000000001</v>
      </c>
      <c r="U220">
        <f t="shared" si="26"/>
        <v>-2.3157947368420986E-2</v>
      </c>
      <c r="V220">
        <v>1451.280029</v>
      </c>
      <c r="W220">
        <f t="shared" si="27"/>
        <v>-1.732716223271907E-2</v>
      </c>
    </row>
    <row r="221" spans="1:23">
      <c r="A221" s="1">
        <v>44176</v>
      </c>
      <c r="B221">
        <v>76.129997000000003</v>
      </c>
      <c r="C221">
        <v>219</v>
      </c>
      <c r="D221">
        <f t="shared" si="21"/>
        <v>142.15969295743818</v>
      </c>
      <c r="E221">
        <v>18.59</v>
      </c>
      <c r="F221">
        <v>219</v>
      </c>
      <c r="G221">
        <f t="shared" si="22"/>
        <v>28.706601240330077</v>
      </c>
      <c r="H221">
        <v>1057.869995</v>
      </c>
      <c r="I221">
        <v>219</v>
      </c>
      <c r="J221">
        <f t="shared" si="23"/>
        <v>1195.266140088564</v>
      </c>
      <c r="K221">
        <f t="shared" si="24"/>
        <v>-34.271771643539068</v>
      </c>
      <c r="L221">
        <v>-2.9058186873953673</v>
      </c>
      <c r="Q221" s="1">
        <v>44454</v>
      </c>
      <c r="R221">
        <v>101.629997</v>
      </c>
      <c r="S221">
        <f t="shared" si="25"/>
        <v>1.1243751243781125E-2</v>
      </c>
      <c r="T221">
        <v>19.620000999999998</v>
      </c>
      <c r="U221">
        <f t="shared" si="26"/>
        <v>5.7112179801302634E-2</v>
      </c>
      <c r="V221">
        <v>1474.9399410000001</v>
      </c>
      <c r="W221">
        <f t="shared" si="27"/>
        <v>1.6302788936124798E-2</v>
      </c>
    </row>
    <row r="222" spans="1:23">
      <c r="A222" s="1">
        <v>44179</v>
      </c>
      <c r="B222">
        <v>75.330001999999993</v>
      </c>
      <c r="C222">
        <v>220</v>
      </c>
      <c r="D222">
        <f t="shared" si="21"/>
        <v>141.49731657023446</v>
      </c>
      <c r="E222">
        <v>18.100000000000001</v>
      </c>
      <c r="F222">
        <v>220</v>
      </c>
      <c r="G222">
        <f t="shared" si="22"/>
        <v>28.235610543302855</v>
      </c>
      <c r="H222">
        <v>1059.170044</v>
      </c>
      <c r="I222">
        <v>220</v>
      </c>
      <c r="J222">
        <f t="shared" si="23"/>
        <v>1207.4820905228528</v>
      </c>
      <c r="K222">
        <f t="shared" si="24"/>
        <v>-23.52849510240685</v>
      </c>
      <c r="L222">
        <v>-2.5025979880374507</v>
      </c>
      <c r="Q222" s="1">
        <v>44455</v>
      </c>
      <c r="R222">
        <v>101.58000199999999</v>
      </c>
      <c r="S222">
        <f t="shared" si="25"/>
        <v>-4.919315308059074E-4</v>
      </c>
      <c r="T222">
        <v>19.57</v>
      </c>
      <c r="U222">
        <f t="shared" si="26"/>
        <v>-2.5484708181206612E-3</v>
      </c>
      <c r="V222">
        <v>1475.969971</v>
      </c>
      <c r="W222">
        <f t="shared" si="27"/>
        <v>6.9835385927751272E-4</v>
      </c>
    </row>
    <row r="223" spans="1:23">
      <c r="A223" s="1">
        <v>44180</v>
      </c>
      <c r="B223">
        <v>76.940002000000007</v>
      </c>
      <c r="C223">
        <v>221</v>
      </c>
      <c r="D223">
        <f t="shared" si="21"/>
        <v>146.05628559521347</v>
      </c>
      <c r="E223">
        <v>18.040001</v>
      </c>
      <c r="F223">
        <v>221</v>
      </c>
      <c r="G223">
        <f t="shared" si="22"/>
        <v>28.903869005524861</v>
      </c>
      <c r="H223">
        <v>1074.099976</v>
      </c>
      <c r="I223">
        <v>221</v>
      </c>
      <c r="J223">
        <f t="shared" si="23"/>
        <v>1222.9996291851321</v>
      </c>
      <c r="K223">
        <f t="shared" si="24"/>
        <v>63.120149405272059</v>
      </c>
      <c r="L223">
        <v>-2.3316740213322191</v>
      </c>
      <c r="Q223" s="1">
        <v>44456</v>
      </c>
      <c r="R223">
        <v>100.290001</v>
      </c>
      <c r="S223">
        <f t="shared" si="25"/>
        <v>-1.2699359860221204E-2</v>
      </c>
      <c r="T223">
        <v>19.360001</v>
      </c>
      <c r="U223">
        <f t="shared" si="26"/>
        <v>-1.0730659172202341E-2</v>
      </c>
      <c r="V223">
        <v>1486.290039</v>
      </c>
      <c r="W223">
        <f t="shared" si="27"/>
        <v>6.9920582415426338E-3</v>
      </c>
    </row>
    <row r="224" spans="1:23">
      <c r="A224" s="1">
        <v>44181</v>
      </c>
      <c r="B224">
        <v>76.440002000000007</v>
      </c>
      <c r="C224">
        <v>222</v>
      </c>
      <c r="D224">
        <f t="shared" si="21"/>
        <v>142.07070446917845</v>
      </c>
      <c r="E224">
        <v>17.52</v>
      </c>
      <c r="F224">
        <v>222</v>
      </c>
      <c r="G224">
        <f t="shared" si="22"/>
        <v>28.16407826141473</v>
      </c>
      <c r="H224">
        <v>1157.3100589999999</v>
      </c>
      <c r="I224">
        <v>222</v>
      </c>
      <c r="J224">
        <f t="shared" si="23"/>
        <v>1299.4283235641744</v>
      </c>
      <c r="K224">
        <f t="shared" si="24"/>
        <v>165.02486574135401</v>
      </c>
      <c r="L224">
        <v>-1.8898341794520093</v>
      </c>
      <c r="Q224" s="1">
        <v>44459</v>
      </c>
      <c r="R224">
        <v>97.599997999999999</v>
      </c>
      <c r="S224">
        <f t="shared" si="25"/>
        <v>-2.6822245220637742E-2</v>
      </c>
      <c r="T224">
        <v>18.709999</v>
      </c>
      <c r="U224">
        <f t="shared" si="26"/>
        <v>-3.3574481736855316E-2</v>
      </c>
      <c r="V224">
        <v>1434.530029</v>
      </c>
      <c r="W224">
        <f t="shared" si="27"/>
        <v>-3.4824972678162425E-2</v>
      </c>
    </row>
    <row r="225" spans="1:23">
      <c r="A225" s="1">
        <v>44182</v>
      </c>
      <c r="B225">
        <v>76.699996999999996</v>
      </c>
      <c r="C225">
        <v>223</v>
      </c>
      <c r="D225">
        <f t="shared" si="21"/>
        <v>143.48638519135568</v>
      </c>
      <c r="E225">
        <v>17.57</v>
      </c>
      <c r="F225">
        <v>223</v>
      </c>
      <c r="G225">
        <f t="shared" si="22"/>
        <v>29.082762557077629</v>
      </c>
      <c r="H225">
        <v>1180</v>
      </c>
      <c r="I225">
        <v>223</v>
      </c>
      <c r="J225">
        <f t="shared" si="23"/>
        <v>1229.6445442024799</v>
      </c>
      <c r="K225">
        <f t="shared" si="24"/>
        <v>53.39437867468132</v>
      </c>
      <c r="L225">
        <v>-1.501324119808487</v>
      </c>
      <c r="Q225" s="1">
        <v>44460</v>
      </c>
      <c r="R225">
        <v>97.82</v>
      </c>
      <c r="S225">
        <f t="shared" si="25"/>
        <v>2.2541188986499139E-3</v>
      </c>
      <c r="T225">
        <v>18.940000999999999</v>
      </c>
      <c r="U225">
        <f t="shared" si="26"/>
        <v>1.2292999053607589E-2</v>
      </c>
      <c r="V225">
        <v>1437.150024</v>
      </c>
      <c r="W225">
        <f t="shared" si="27"/>
        <v>1.8263786376269836E-3</v>
      </c>
    </row>
    <row r="226" spans="1:23">
      <c r="A226" s="1">
        <v>44183</v>
      </c>
      <c r="B226">
        <v>75.449996999999996</v>
      </c>
      <c r="C226">
        <v>224</v>
      </c>
      <c r="D226">
        <f t="shared" si="21"/>
        <v>140.66949143426953</v>
      </c>
      <c r="E226">
        <v>17.34</v>
      </c>
      <c r="F226">
        <v>224</v>
      </c>
      <c r="G226">
        <f t="shared" si="22"/>
        <v>28.620375640295958</v>
      </c>
      <c r="H226">
        <v>1170.959961</v>
      </c>
      <c r="I226">
        <v>224</v>
      </c>
      <c r="J226">
        <f t="shared" si="23"/>
        <v>1196.7607737000001</v>
      </c>
      <c r="K226">
        <f t="shared" si="24"/>
        <v>-47.47790365286528</v>
      </c>
      <c r="L226">
        <v>-1.3290094654839777</v>
      </c>
      <c r="Q226" s="1">
        <v>44461</v>
      </c>
      <c r="R226">
        <v>99.150002000000001</v>
      </c>
      <c r="S226">
        <f t="shared" si="25"/>
        <v>1.3596421999591162E-2</v>
      </c>
      <c r="T226">
        <v>19.739999999999998</v>
      </c>
      <c r="U226">
        <f t="shared" si="26"/>
        <v>4.2238593334815541E-2</v>
      </c>
      <c r="V226">
        <v>1465.900024</v>
      </c>
      <c r="W226">
        <f t="shared" si="27"/>
        <v>2.0004870417063707E-2</v>
      </c>
    </row>
    <row r="227" spans="1:23">
      <c r="A227" s="1">
        <v>44186</v>
      </c>
      <c r="B227">
        <v>75.300003000000004</v>
      </c>
      <c r="C227">
        <v>225</v>
      </c>
      <c r="D227">
        <f t="shared" si="21"/>
        <v>142.71571712587345</v>
      </c>
      <c r="E227">
        <v>16.899999999999999</v>
      </c>
      <c r="F227">
        <v>225</v>
      </c>
      <c r="G227">
        <f t="shared" si="22"/>
        <v>28.264129181084197</v>
      </c>
      <c r="H227">
        <v>1197.26001</v>
      </c>
      <c r="I227">
        <v>225</v>
      </c>
      <c r="J227">
        <f t="shared" si="23"/>
        <v>1233.0870569023666</v>
      </c>
      <c r="K227">
        <f t="shared" si="24"/>
        <v>40.293222779730968</v>
      </c>
      <c r="L227">
        <v>-0.63246429667378834</v>
      </c>
      <c r="Q227" s="1">
        <v>44462</v>
      </c>
      <c r="R227">
        <v>101.43</v>
      </c>
      <c r="S227">
        <f t="shared" si="25"/>
        <v>2.2995440786778867E-2</v>
      </c>
      <c r="T227">
        <v>20.170000000000002</v>
      </c>
      <c r="U227">
        <f t="shared" si="26"/>
        <v>2.178318135764961E-2</v>
      </c>
      <c r="V227">
        <v>1476.599976</v>
      </c>
      <c r="W227">
        <f t="shared" si="27"/>
        <v>7.2992372090990151E-3</v>
      </c>
    </row>
    <row r="228" spans="1:23">
      <c r="A228" s="1">
        <v>44187</v>
      </c>
      <c r="B228">
        <v>74.870002999999997</v>
      </c>
      <c r="C228">
        <v>226</v>
      </c>
      <c r="D228">
        <f t="shared" si="21"/>
        <v>142.18339976692963</v>
      </c>
      <c r="E228">
        <v>16.440000999999999</v>
      </c>
      <c r="F228">
        <v>226</v>
      </c>
      <c r="G228">
        <f t="shared" si="22"/>
        <v>28.210652603550297</v>
      </c>
      <c r="H228">
        <v>1277.079956</v>
      </c>
      <c r="I228">
        <v>226</v>
      </c>
      <c r="J228">
        <f t="shared" si="23"/>
        <v>1286.4026310675824</v>
      </c>
      <c r="K228">
        <f t="shared" si="24"/>
        <v>140.79904885771612</v>
      </c>
      <c r="L228">
        <v>-0.12761738635799702</v>
      </c>
      <c r="Q228" s="1">
        <v>44463</v>
      </c>
      <c r="R228">
        <v>101.5</v>
      </c>
      <c r="S228">
        <f t="shared" si="25"/>
        <v>6.9013112491366629E-4</v>
      </c>
      <c r="T228">
        <v>20.219999000000001</v>
      </c>
      <c r="U228">
        <f t="shared" si="26"/>
        <v>2.4788795240455962E-3</v>
      </c>
      <c r="V228">
        <v>1444</v>
      </c>
      <c r="W228">
        <f t="shared" si="27"/>
        <v>-2.207773027892828E-2</v>
      </c>
    </row>
    <row r="229" spans="1:23">
      <c r="A229" s="1">
        <v>44188</v>
      </c>
      <c r="B229">
        <v>75.709998999999996</v>
      </c>
      <c r="C229">
        <v>227</v>
      </c>
      <c r="D229">
        <f t="shared" si="21"/>
        <v>144.6043732227445</v>
      </c>
      <c r="E229">
        <v>17.18</v>
      </c>
      <c r="F229">
        <v>227</v>
      </c>
      <c r="G229">
        <f t="shared" si="22"/>
        <v>30.305350954662352</v>
      </c>
      <c r="H229">
        <v>1197.959961</v>
      </c>
      <c r="I229">
        <v>227</v>
      </c>
      <c r="J229">
        <f t="shared" si="23"/>
        <v>1131.2836805387931</v>
      </c>
      <c r="K229">
        <f t="shared" si="24"/>
        <v>-113.80864237503374</v>
      </c>
      <c r="L229">
        <v>-0.10399678904832399</v>
      </c>
      <c r="Q229" s="1">
        <v>44466</v>
      </c>
      <c r="R229">
        <v>102.470001</v>
      </c>
      <c r="S229">
        <f t="shared" si="25"/>
        <v>9.5566600985221312E-3</v>
      </c>
      <c r="T229">
        <v>20.99</v>
      </c>
      <c r="U229">
        <f t="shared" si="26"/>
        <v>3.8081159153370729E-2</v>
      </c>
      <c r="V229">
        <v>1443.8100589999999</v>
      </c>
      <c r="W229">
        <f t="shared" si="27"/>
        <v>-1.315380886427215E-4</v>
      </c>
    </row>
    <row r="230" spans="1:23">
      <c r="A230" s="1">
        <v>44189</v>
      </c>
      <c r="B230">
        <v>75.900002000000001</v>
      </c>
      <c r="C230">
        <v>228</v>
      </c>
      <c r="D230">
        <f t="shared" si="21"/>
        <v>143.35887504106293</v>
      </c>
      <c r="E230">
        <v>17.100000000000001</v>
      </c>
      <c r="F230">
        <v>228</v>
      </c>
      <c r="G230">
        <f t="shared" si="22"/>
        <v>28.864959254947617</v>
      </c>
      <c r="H230">
        <v>1225.5200199999999</v>
      </c>
      <c r="I230">
        <v>228</v>
      </c>
      <c r="J230">
        <f t="shared" si="23"/>
        <v>1233.745026742175</v>
      </c>
      <c r="K230">
        <f t="shared" si="24"/>
        <v>57.053192719193248</v>
      </c>
      <c r="L230">
        <v>-9.7361810507209157E-2</v>
      </c>
      <c r="Q230" s="1">
        <v>44467</v>
      </c>
      <c r="R230">
        <v>100.989998</v>
      </c>
      <c r="S230">
        <f t="shared" si="25"/>
        <v>-1.4443280819329713E-2</v>
      </c>
      <c r="T230">
        <v>20.9</v>
      </c>
      <c r="U230">
        <f t="shared" si="26"/>
        <v>-4.287756074321099E-3</v>
      </c>
      <c r="V230">
        <v>1369.3100589999999</v>
      </c>
      <c r="W230">
        <f t="shared" si="27"/>
        <v>-5.1599585094731636E-2</v>
      </c>
    </row>
    <row r="231" spans="1:23">
      <c r="A231" s="1">
        <v>44193</v>
      </c>
      <c r="B231">
        <v>75.910004000000001</v>
      </c>
      <c r="C231">
        <v>229</v>
      </c>
      <c r="D231">
        <f t="shared" si="21"/>
        <v>143.01884434732952</v>
      </c>
      <c r="E231">
        <v>17.049999</v>
      </c>
      <c r="F231">
        <v>229</v>
      </c>
      <c r="G231">
        <f t="shared" si="22"/>
        <v>28.915202982456137</v>
      </c>
      <c r="H231">
        <v>1147.0600589999999</v>
      </c>
      <c r="I231">
        <v>229</v>
      </c>
      <c r="J231">
        <f t="shared" si="23"/>
        <v>1128.7897452332113</v>
      </c>
      <c r="K231">
        <f t="shared" si="24"/>
        <v>-155.50402132344061</v>
      </c>
      <c r="L231">
        <v>0.12391183818181162</v>
      </c>
      <c r="Q231" s="1">
        <v>44468</v>
      </c>
      <c r="R231">
        <v>100.5</v>
      </c>
      <c r="S231">
        <f t="shared" si="25"/>
        <v>-4.8519458332893515E-3</v>
      </c>
      <c r="T231">
        <v>20.74</v>
      </c>
      <c r="U231">
        <f t="shared" si="26"/>
        <v>-7.6555023923445048E-3</v>
      </c>
      <c r="V231">
        <v>1346.5500489999999</v>
      </c>
      <c r="W231">
        <f t="shared" si="27"/>
        <v>-1.6621516690399168E-2</v>
      </c>
    </row>
    <row r="232" spans="1:23">
      <c r="A232" s="1">
        <v>44194</v>
      </c>
      <c r="B232">
        <v>75.830001999999993</v>
      </c>
      <c r="C232">
        <v>230</v>
      </c>
      <c r="D232">
        <f t="shared" si="21"/>
        <v>142.8492914583432</v>
      </c>
      <c r="E232">
        <v>16.850000000000001</v>
      </c>
      <c r="F232">
        <v>230</v>
      </c>
      <c r="G232">
        <f t="shared" si="22"/>
        <v>28.659825727849018</v>
      </c>
      <c r="H232">
        <v>1171.6099850000001</v>
      </c>
      <c r="I232">
        <v>230</v>
      </c>
      <c r="J232">
        <f t="shared" si="23"/>
        <v>1231.8113867043819</v>
      </c>
      <c r="K232">
        <f t="shared" si="24"/>
        <v>45.013073909931336</v>
      </c>
      <c r="L232">
        <v>0.30695267380178848</v>
      </c>
      <c r="Q232" s="1">
        <v>44469</v>
      </c>
      <c r="R232">
        <v>99.730002999999996</v>
      </c>
      <c r="S232">
        <f t="shared" si="25"/>
        <v>-7.6616616915423244E-3</v>
      </c>
      <c r="T232">
        <v>20.74</v>
      </c>
      <c r="U232">
        <f t="shared" si="26"/>
        <v>0</v>
      </c>
      <c r="V232">
        <v>1355.780029</v>
      </c>
      <c r="W232">
        <f t="shared" si="27"/>
        <v>6.8545391289797268E-3</v>
      </c>
    </row>
    <row r="233" spans="1:23">
      <c r="A233" s="1">
        <v>44195</v>
      </c>
      <c r="B233">
        <v>75.730002999999996</v>
      </c>
      <c r="C233">
        <v>231</v>
      </c>
      <c r="D233">
        <f t="shared" si="21"/>
        <v>142.81142217298108</v>
      </c>
      <c r="E233">
        <v>17.059999000000001</v>
      </c>
      <c r="F233">
        <v>231</v>
      </c>
      <c r="G233">
        <f t="shared" si="22"/>
        <v>29.361422611275962</v>
      </c>
      <c r="H233">
        <v>1163</v>
      </c>
      <c r="I233">
        <v>231</v>
      </c>
      <c r="J233">
        <f t="shared" si="23"/>
        <v>1197.1372879687433</v>
      </c>
      <c r="K233">
        <f t="shared" si="24"/>
        <v>-14.189863163563132</v>
      </c>
      <c r="L233">
        <v>0.35364343021683453</v>
      </c>
      <c r="Q233" s="1">
        <v>44470</v>
      </c>
      <c r="R233">
        <v>100.75</v>
      </c>
      <c r="S233">
        <f t="shared" si="25"/>
        <v>1.022758417043268E-2</v>
      </c>
      <c r="T233">
        <v>20.959999</v>
      </c>
      <c r="U233">
        <f t="shared" si="26"/>
        <v>1.0607473481195825E-2</v>
      </c>
      <c r="V233">
        <v>1350.76001</v>
      </c>
      <c r="W233">
        <f t="shared" si="27"/>
        <v>-3.7026795590894839E-3</v>
      </c>
    </row>
    <row r="234" spans="1:23">
      <c r="A234" s="1">
        <v>44196</v>
      </c>
      <c r="B234">
        <v>76.029999000000004</v>
      </c>
      <c r="C234">
        <v>232</v>
      </c>
      <c r="D234">
        <f t="shared" si="21"/>
        <v>143.56647862538708</v>
      </c>
      <c r="E234">
        <v>16.780000999999999</v>
      </c>
      <c r="F234">
        <v>232</v>
      </c>
      <c r="G234">
        <f t="shared" si="22"/>
        <v>28.524036197188515</v>
      </c>
      <c r="H234">
        <v>1131.9499510000001</v>
      </c>
      <c r="I234">
        <v>232</v>
      </c>
      <c r="J234">
        <f t="shared" si="23"/>
        <v>1173.8019268323303</v>
      </c>
      <c r="K234">
        <f t="shared" si="24"/>
        <v>-65.870817123641245</v>
      </c>
      <c r="L234">
        <v>0.48743114112221519</v>
      </c>
      <c r="Q234" s="1">
        <v>44473</v>
      </c>
      <c r="R234">
        <v>101.099998</v>
      </c>
      <c r="S234">
        <f t="shared" si="25"/>
        <v>3.4739255583126488E-3</v>
      </c>
      <c r="T234">
        <v>21.370000999999998</v>
      </c>
      <c r="U234">
        <f t="shared" si="26"/>
        <v>1.9561165055399031E-2</v>
      </c>
      <c r="V234">
        <v>1314.900024</v>
      </c>
      <c r="W234">
        <f t="shared" si="27"/>
        <v>-2.6548006851342849E-2</v>
      </c>
    </row>
    <row r="235" spans="1:23">
      <c r="A235" s="1">
        <v>44200</v>
      </c>
      <c r="B235">
        <v>75.050003000000004</v>
      </c>
      <c r="C235">
        <v>233</v>
      </c>
      <c r="D235">
        <f t="shared" si="21"/>
        <v>141.15678771743771</v>
      </c>
      <c r="E235">
        <v>16.719999000000001</v>
      </c>
      <c r="F235">
        <v>233</v>
      </c>
      <c r="G235">
        <f t="shared" si="22"/>
        <v>28.89630167483304</v>
      </c>
      <c r="H235">
        <v>1092.400024</v>
      </c>
      <c r="I235">
        <v>233</v>
      </c>
      <c r="J235">
        <f t="shared" si="23"/>
        <v>1163.8627907357011</v>
      </c>
      <c r="K235">
        <f t="shared" si="24"/>
        <v>-104.26201623172528</v>
      </c>
      <c r="L235">
        <v>0.87370175214164192</v>
      </c>
      <c r="Q235" s="1">
        <v>44474</v>
      </c>
      <c r="R235">
        <v>102.489998</v>
      </c>
      <c r="S235">
        <f t="shared" si="25"/>
        <v>1.3748763872379112E-2</v>
      </c>
      <c r="T235">
        <v>22.120000999999998</v>
      </c>
      <c r="U235">
        <f t="shared" si="26"/>
        <v>3.5095927229951931E-2</v>
      </c>
      <c r="V235">
        <v>1318.079956</v>
      </c>
      <c r="W235">
        <f t="shared" si="27"/>
        <v>2.4183831028662356E-3</v>
      </c>
    </row>
    <row r="236" spans="1:23">
      <c r="A236" s="1">
        <v>44201</v>
      </c>
      <c r="B236">
        <v>76.150002000000001</v>
      </c>
      <c r="C236">
        <v>234</v>
      </c>
      <c r="D236">
        <f t="shared" si="21"/>
        <v>145.09593405346033</v>
      </c>
      <c r="E236">
        <v>18.219999000000001</v>
      </c>
      <c r="F236">
        <v>234</v>
      </c>
      <c r="G236">
        <f t="shared" si="22"/>
        <v>31.601674796750885</v>
      </c>
      <c r="H236">
        <v>1118.73999</v>
      </c>
      <c r="I236">
        <v>234</v>
      </c>
      <c r="J236">
        <f t="shared" si="23"/>
        <v>1235.0790903497821</v>
      </c>
      <c r="K236">
        <f t="shared" si="24"/>
        <v>118.14264318543064</v>
      </c>
      <c r="L236">
        <v>1.1548131894287508</v>
      </c>
      <c r="Q236" s="1">
        <v>44475</v>
      </c>
      <c r="R236">
        <v>102.05999799999999</v>
      </c>
      <c r="S236">
        <f t="shared" si="25"/>
        <v>-4.1955313532156258E-3</v>
      </c>
      <c r="T236">
        <v>21.559999000000001</v>
      </c>
      <c r="U236">
        <f t="shared" si="26"/>
        <v>-2.5316544967606342E-2</v>
      </c>
      <c r="V236">
        <v>1349.880005</v>
      </c>
      <c r="W236">
        <f t="shared" si="27"/>
        <v>2.4126039437322225E-2</v>
      </c>
    </row>
    <row r="237" spans="1:23">
      <c r="A237" s="1">
        <v>44202</v>
      </c>
      <c r="B237">
        <v>77.510002</v>
      </c>
      <c r="C237">
        <v>235</v>
      </c>
      <c r="D237">
        <f t="shared" si="21"/>
        <v>145.55390669589215</v>
      </c>
      <c r="E237">
        <v>18.530000999999999</v>
      </c>
      <c r="F237">
        <v>235</v>
      </c>
      <c r="G237">
        <f t="shared" si="22"/>
        <v>29.493417041351094</v>
      </c>
      <c r="H237">
        <v>1087.3100589999999</v>
      </c>
      <c r="I237">
        <v>235</v>
      </c>
      <c r="J237">
        <f t="shared" si="23"/>
        <v>1172.1185824009026</v>
      </c>
      <c r="K237">
        <f t="shared" si="24"/>
        <v>-34.822512619006375</v>
      </c>
      <c r="L237">
        <v>1.1893025108238362</v>
      </c>
      <c r="Q237" s="1">
        <v>44476</v>
      </c>
      <c r="R237">
        <v>103.55999799999999</v>
      </c>
      <c r="S237">
        <f t="shared" si="25"/>
        <v>1.4697237207470846E-2</v>
      </c>
      <c r="T237">
        <v>22.309999000000001</v>
      </c>
      <c r="U237">
        <f t="shared" si="26"/>
        <v>3.4786643542979757E-2</v>
      </c>
      <c r="V237">
        <v>1398.5</v>
      </c>
      <c r="W237">
        <f t="shared" si="27"/>
        <v>3.6018012578829195E-2</v>
      </c>
    </row>
    <row r="238" spans="1:23">
      <c r="A238" s="1">
        <v>44203</v>
      </c>
      <c r="B238">
        <v>78.290001000000004</v>
      </c>
      <c r="C238">
        <v>236</v>
      </c>
      <c r="D238">
        <f t="shared" si="21"/>
        <v>144.43903824180009</v>
      </c>
      <c r="E238">
        <v>18.760000000000002</v>
      </c>
      <c r="F238">
        <v>236</v>
      </c>
      <c r="G238">
        <f t="shared" si="22"/>
        <v>29.359955242312189</v>
      </c>
      <c r="H238">
        <v>1159.530029</v>
      </c>
      <c r="I238">
        <v>236</v>
      </c>
      <c r="J238">
        <f t="shared" si="23"/>
        <v>1286.1034471253799</v>
      </c>
      <c r="K238">
        <f t="shared" si="24"/>
        <v>179.99660530344408</v>
      </c>
      <c r="L238">
        <v>1.4139674717207527</v>
      </c>
      <c r="Q238" s="1">
        <v>44477</v>
      </c>
      <c r="R238">
        <v>104.82</v>
      </c>
      <c r="S238">
        <f t="shared" si="25"/>
        <v>1.2166879338873685E-2</v>
      </c>
      <c r="T238">
        <v>23.1</v>
      </c>
      <c r="U238">
        <f t="shared" si="26"/>
        <v>3.5410176396691015E-2</v>
      </c>
      <c r="V238">
        <v>1378.030029</v>
      </c>
      <c r="W238">
        <f t="shared" si="27"/>
        <v>-1.4637090454057909E-2</v>
      </c>
    </row>
    <row r="239" spans="1:23">
      <c r="A239" s="1">
        <v>44204</v>
      </c>
      <c r="B239">
        <v>78.620002999999997</v>
      </c>
      <c r="C239">
        <v>237</v>
      </c>
      <c r="D239">
        <f t="shared" si="21"/>
        <v>143.6027626184345</v>
      </c>
      <c r="E239">
        <v>18.48</v>
      </c>
      <c r="F239">
        <v>237</v>
      </c>
      <c r="G239">
        <f t="shared" si="22"/>
        <v>28.567164179104473</v>
      </c>
      <c r="H239">
        <v>1188.920044</v>
      </c>
      <c r="I239">
        <v>237</v>
      </c>
      <c r="J239">
        <f t="shared" si="23"/>
        <v>1236.5678656037635</v>
      </c>
      <c r="K239">
        <f t="shared" si="24"/>
        <v>60.670820078438737</v>
      </c>
      <c r="L239">
        <v>1.9443362173460628</v>
      </c>
      <c r="Q239" s="1">
        <v>44480</v>
      </c>
      <c r="R239">
        <v>104.33000199999999</v>
      </c>
      <c r="S239">
        <f t="shared" si="25"/>
        <v>-4.6746613241747757E-3</v>
      </c>
      <c r="T239">
        <v>23.42</v>
      </c>
      <c r="U239">
        <f t="shared" si="26"/>
        <v>1.3852813852813865E-2</v>
      </c>
      <c r="V239">
        <v>1357.01001</v>
      </c>
      <c r="W239">
        <f t="shared" si="27"/>
        <v>-1.525367267595302E-2</v>
      </c>
    </row>
    <row r="240" spans="1:23">
      <c r="A240" s="1">
        <v>44207</v>
      </c>
      <c r="B240">
        <v>78.190002000000007</v>
      </c>
      <c r="C240">
        <v>238</v>
      </c>
      <c r="D240">
        <f t="shared" si="21"/>
        <v>142.21788170117472</v>
      </c>
      <c r="E240">
        <v>18.32</v>
      </c>
      <c r="F240">
        <v>238</v>
      </c>
      <c r="G240">
        <f t="shared" si="22"/>
        <v>28.748917748917748</v>
      </c>
      <c r="H240">
        <v>1177.6400149999999</v>
      </c>
      <c r="I240">
        <v>238</v>
      </c>
      <c r="J240">
        <f t="shared" si="23"/>
        <v>1194.5579227613728</v>
      </c>
      <c r="K240">
        <f t="shared" si="24"/>
        <v>-34.471571231741109</v>
      </c>
      <c r="L240">
        <v>2.2060252526352997</v>
      </c>
      <c r="Q240" s="1">
        <v>44481</v>
      </c>
      <c r="R240">
        <v>104.040001</v>
      </c>
      <c r="S240">
        <f t="shared" si="25"/>
        <v>-2.779651053778275E-3</v>
      </c>
      <c r="T240">
        <v>23.42</v>
      </c>
      <c r="U240">
        <f t="shared" si="26"/>
        <v>0</v>
      </c>
      <c r="V240">
        <v>1357.219971</v>
      </c>
      <c r="W240">
        <f t="shared" si="27"/>
        <v>1.5472325071501952E-4</v>
      </c>
    </row>
    <row r="241" spans="1:23">
      <c r="A241" s="1">
        <v>44208</v>
      </c>
      <c r="B241">
        <v>78.389999000000003</v>
      </c>
      <c r="C241">
        <v>239</v>
      </c>
      <c r="D241">
        <f t="shared" si="21"/>
        <v>143.36577017864764</v>
      </c>
      <c r="E241">
        <v>18.879999000000002</v>
      </c>
      <c r="F241">
        <v>239</v>
      </c>
      <c r="G241">
        <f t="shared" si="22"/>
        <v>29.886461299126641</v>
      </c>
      <c r="H241">
        <v>1188.23999</v>
      </c>
      <c r="I241">
        <v>239</v>
      </c>
      <c r="J241">
        <f t="shared" si="23"/>
        <v>1216.855244121439</v>
      </c>
      <c r="K241">
        <f t="shared" si="24"/>
        <v>38.665109516254233</v>
      </c>
      <c r="L241">
        <v>2.222218112588962</v>
      </c>
      <c r="Q241" s="1">
        <v>44482</v>
      </c>
      <c r="R241">
        <v>104.089996</v>
      </c>
      <c r="S241">
        <f t="shared" si="25"/>
        <v>4.8053632756112302E-4</v>
      </c>
      <c r="T241">
        <v>23.48</v>
      </c>
      <c r="U241">
        <f t="shared" si="26"/>
        <v>2.5619128949615163E-3</v>
      </c>
      <c r="V241">
        <v>1398.969971</v>
      </c>
      <c r="W241">
        <f t="shared" si="27"/>
        <v>3.0761410008753844E-2</v>
      </c>
    </row>
    <row r="242" spans="1:23">
      <c r="A242" s="1">
        <v>44209</v>
      </c>
      <c r="B242">
        <v>78.199996999999996</v>
      </c>
      <c r="C242">
        <v>240</v>
      </c>
      <c r="D242">
        <f t="shared" si="21"/>
        <v>142.65339601547893</v>
      </c>
      <c r="E242">
        <v>18.510000000000002</v>
      </c>
      <c r="F242">
        <v>240</v>
      </c>
      <c r="G242">
        <f t="shared" si="22"/>
        <v>28.431675234728562</v>
      </c>
      <c r="H242">
        <v>1199.8199460000001</v>
      </c>
      <c r="I242">
        <v>240</v>
      </c>
      <c r="J242">
        <f t="shared" si="23"/>
        <v>1217.7530356270875</v>
      </c>
      <c r="K242">
        <f t="shared" si="24"/>
        <v>11.515159929892434</v>
      </c>
      <c r="L242">
        <v>2.9514770367504752</v>
      </c>
      <c r="Q242" s="1">
        <v>44483</v>
      </c>
      <c r="R242">
        <v>105.510002</v>
      </c>
      <c r="S242">
        <f t="shared" si="25"/>
        <v>1.3642098708506058E-2</v>
      </c>
      <c r="T242">
        <v>23.549999</v>
      </c>
      <c r="U242">
        <f t="shared" si="26"/>
        <v>2.9812180579216036E-3</v>
      </c>
      <c r="V242">
        <v>1406.75</v>
      </c>
      <c r="W242">
        <f t="shared" si="27"/>
        <v>5.5612551815095489E-3</v>
      </c>
    </row>
    <row r="243" spans="1:23">
      <c r="A243" s="1">
        <v>44210</v>
      </c>
      <c r="B243">
        <v>78.739998</v>
      </c>
      <c r="C243">
        <v>241</v>
      </c>
      <c r="D243">
        <f t="shared" si="21"/>
        <v>143.98746989721752</v>
      </c>
      <c r="E243">
        <v>19.379999000000002</v>
      </c>
      <c r="F243">
        <v>241</v>
      </c>
      <c r="G243">
        <f t="shared" si="22"/>
        <v>30.363045434900055</v>
      </c>
      <c r="H243">
        <v>1178.8599850000001</v>
      </c>
      <c r="I243">
        <v>241</v>
      </c>
      <c r="J243">
        <f t="shared" si="23"/>
        <v>1184.9320780586522</v>
      </c>
      <c r="K243">
        <f t="shared" si="24"/>
        <v>-11.815463387019918</v>
      </c>
      <c r="L243">
        <v>3.1253539109329722</v>
      </c>
      <c r="Q243" s="1">
        <v>44484</v>
      </c>
      <c r="R243">
        <v>107.209999</v>
      </c>
      <c r="S243">
        <f t="shared" si="25"/>
        <v>1.6112188112744005E-2</v>
      </c>
      <c r="T243">
        <v>23.51</v>
      </c>
      <c r="U243">
        <f t="shared" si="26"/>
        <v>-1.6984714097014661E-3</v>
      </c>
      <c r="V243">
        <v>1424.579956</v>
      </c>
      <c r="W243">
        <f t="shared" si="27"/>
        <v>1.2674573307268554E-2</v>
      </c>
    </row>
    <row r="244" spans="1:23">
      <c r="A244" s="1">
        <v>44211</v>
      </c>
      <c r="B244">
        <v>79.069999999999993</v>
      </c>
      <c r="C244">
        <v>242</v>
      </c>
      <c r="D244">
        <f t="shared" si="21"/>
        <v>143.59931784605834</v>
      </c>
      <c r="E244">
        <v>18.329999999999998</v>
      </c>
      <c r="F244">
        <v>242</v>
      </c>
      <c r="G244">
        <f t="shared" si="22"/>
        <v>27.428793984973883</v>
      </c>
      <c r="H244">
        <v>1170.469971</v>
      </c>
      <c r="I244">
        <v>242</v>
      </c>
      <c r="J244">
        <f t="shared" si="23"/>
        <v>1197.4168289595475</v>
      </c>
      <c r="K244">
        <f t="shared" si="24"/>
        <v>-34.7412538457138</v>
      </c>
      <c r="L244">
        <v>3.4295010264104349</v>
      </c>
      <c r="Q244" s="1">
        <v>44487</v>
      </c>
      <c r="R244">
        <v>106.980003</v>
      </c>
      <c r="S244">
        <f t="shared" si="25"/>
        <v>-2.1452849747718018E-3</v>
      </c>
      <c r="T244">
        <v>23.17</v>
      </c>
      <c r="U244">
        <f t="shared" si="26"/>
        <v>-1.4461931093151843E-2</v>
      </c>
      <c r="V244">
        <v>1465.1099850000001</v>
      </c>
      <c r="W244">
        <f t="shared" si="27"/>
        <v>2.8450511906542655E-2</v>
      </c>
    </row>
    <row r="245" spans="1:23">
      <c r="A245" s="1">
        <v>44215</v>
      </c>
      <c r="B245">
        <v>78.900002000000001</v>
      </c>
      <c r="C245">
        <v>243</v>
      </c>
      <c r="D245">
        <f t="shared" si="21"/>
        <v>142.69255452131023</v>
      </c>
      <c r="E245">
        <v>18.280000999999999</v>
      </c>
      <c r="F245">
        <v>243</v>
      </c>
      <c r="G245">
        <f t="shared" si="22"/>
        <v>28.920896290234587</v>
      </c>
      <c r="H245">
        <v>1173.969971</v>
      </c>
      <c r="I245">
        <v>243</v>
      </c>
      <c r="J245">
        <f t="shared" si="23"/>
        <v>1209.6062437350645</v>
      </c>
      <c r="K245">
        <f t="shared" si="24"/>
        <v>2.9514770367504752</v>
      </c>
      <c r="L245">
        <v>4.4613304011254513</v>
      </c>
      <c r="Q245" s="1">
        <v>44488</v>
      </c>
      <c r="R245">
        <v>107.709999</v>
      </c>
      <c r="S245">
        <f t="shared" si="25"/>
        <v>6.8236677839689334E-3</v>
      </c>
      <c r="T245">
        <v>23.16</v>
      </c>
      <c r="U245">
        <f t="shared" si="26"/>
        <v>-4.3159257660774978E-4</v>
      </c>
      <c r="V245">
        <v>1485.73999</v>
      </c>
      <c r="W245">
        <f t="shared" si="27"/>
        <v>1.4080857554185587E-2</v>
      </c>
    </row>
    <row r="246" spans="1:23">
      <c r="A246" s="1">
        <v>44216</v>
      </c>
      <c r="B246">
        <v>78.730002999999996</v>
      </c>
      <c r="C246">
        <v>244</v>
      </c>
      <c r="D246">
        <f t="shared" si="21"/>
        <v>142.69189028664408</v>
      </c>
      <c r="E246">
        <v>18.239999999999998</v>
      </c>
      <c r="F246">
        <v>244</v>
      </c>
      <c r="G246">
        <f t="shared" si="22"/>
        <v>28.936541086622476</v>
      </c>
      <c r="H246">
        <v>1200.9799800000001</v>
      </c>
      <c r="I246">
        <v>244</v>
      </c>
      <c r="J246">
        <f t="shared" si="23"/>
        <v>1233.7469370245078</v>
      </c>
      <c r="K246">
        <f t="shared" si="24"/>
        <v>51.460893214793032</v>
      </c>
      <c r="L246">
        <v>4.700259784289301</v>
      </c>
      <c r="Q246" s="1">
        <v>44489</v>
      </c>
      <c r="R246">
        <v>109.300003</v>
      </c>
      <c r="S246">
        <f t="shared" si="25"/>
        <v>1.4761897825289253E-2</v>
      </c>
      <c r="T246">
        <v>23.16</v>
      </c>
      <c r="U246">
        <f t="shared" si="26"/>
        <v>0</v>
      </c>
      <c r="V246">
        <v>1487.469971</v>
      </c>
      <c r="W246">
        <f t="shared" si="27"/>
        <v>1.1643901433924199E-3</v>
      </c>
    </row>
    <row r="247" spans="1:23">
      <c r="A247" s="1">
        <v>44217</v>
      </c>
      <c r="B247">
        <v>77.720000999999996</v>
      </c>
      <c r="C247">
        <v>245</v>
      </c>
      <c r="D247">
        <f t="shared" si="21"/>
        <v>141.16549878703805</v>
      </c>
      <c r="E247">
        <v>18.139999</v>
      </c>
      <c r="F247">
        <v>245</v>
      </c>
      <c r="G247">
        <f t="shared" si="22"/>
        <v>28.841007182017549</v>
      </c>
      <c r="H247">
        <v>1198.150024</v>
      </c>
      <c r="I247">
        <v>245</v>
      </c>
      <c r="J247">
        <f t="shared" si="23"/>
        <v>1203.1582149637497</v>
      </c>
      <c r="K247">
        <f t="shared" si="24"/>
        <v>-26.413474471856716</v>
      </c>
      <c r="L247">
        <v>4.8741036821502348</v>
      </c>
      <c r="Q247" s="1">
        <v>44490</v>
      </c>
      <c r="R247">
        <v>108.980003</v>
      </c>
      <c r="S247">
        <f t="shared" si="25"/>
        <v>-2.9277217860644283E-3</v>
      </c>
      <c r="T247">
        <v>22.58</v>
      </c>
      <c r="U247">
        <f t="shared" si="26"/>
        <v>-2.5043177892918905E-2</v>
      </c>
      <c r="V247">
        <v>1496.709961</v>
      </c>
      <c r="W247">
        <f t="shared" si="27"/>
        <v>6.2118833859806603E-3</v>
      </c>
    </row>
    <row r="248" spans="1:23">
      <c r="A248" s="1">
        <v>44218</v>
      </c>
      <c r="B248">
        <v>76.669998000000007</v>
      </c>
      <c r="C248">
        <v>246</v>
      </c>
      <c r="D248">
        <f t="shared" si="21"/>
        <v>141.06805935321594</v>
      </c>
      <c r="E248">
        <v>17.700001</v>
      </c>
      <c r="F248">
        <v>246</v>
      </c>
      <c r="G248">
        <f t="shared" si="22"/>
        <v>28.296585297496435</v>
      </c>
      <c r="H248">
        <v>1196.6999510000001</v>
      </c>
      <c r="I248">
        <v>246</v>
      </c>
      <c r="J248">
        <f t="shared" si="23"/>
        <v>1204.5404264883609</v>
      </c>
      <c r="K248">
        <f t="shared" si="24"/>
        <v>-32.789774028671673</v>
      </c>
      <c r="L248">
        <v>5.0471450344275581</v>
      </c>
      <c r="Q248" s="1">
        <v>44491</v>
      </c>
      <c r="R248">
        <v>109.5</v>
      </c>
      <c r="S248">
        <f t="shared" si="25"/>
        <v>4.7714900503352305E-3</v>
      </c>
      <c r="T248">
        <v>22.860001</v>
      </c>
      <c r="U248">
        <f t="shared" si="26"/>
        <v>1.2400398582816748E-2</v>
      </c>
      <c r="V248">
        <v>1425.849976</v>
      </c>
      <c r="W248">
        <f t="shared" si="27"/>
        <v>-4.7343832035871676E-2</v>
      </c>
    </row>
    <row r="249" spans="1:23">
      <c r="A249" s="1">
        <v>44221</v>
      </c>
      <c r="B249">
        <v>77</v>
      </c>
      <c r="C249">
        <v>247</v>
      </c>
      <c r="D249">
        <f t="shared" si="21"/>
        <v>143.61549872480757</v>
      </c>
      <c r="E249">
        <v>17.52</v>
      </c>
      <c r="F249">
        <v>247</v>
      </c>
      <c r="G249">
        <f t="shared" si="22"/>
        <v>28.705083124006602</v>
      </c>
      <c r="H249">
        <v>1205.920044</v>
      </c>
      <c r="I249">
        <v>247</v>
      </c>
      <c r="J249">
        <f t="shared" si="23"/>
        <v>1215.2917461463153</v>
      </c>
      <c r="K249">
        <f t="shared" si="24"/>
        <v>20.314726400805739</v>
      </c>
      <c r="L249">
        <v>5.3816218920974279</v>
      </c>
      <c r="Q249" s="1">
        <v>44494</v>
      </c>
      <c r="R249">
        <v>110.80999799999999</v>
      </c>
      <c r="S249">
        <f t="shared" si="25"/>
        <v>1.1963452054794458E-2</v>
      </c>
      <c r="T249">
        <v>23.51</v>
      </c>
      <c r="U249">
        <f t="shared" si="26"/>
        <v>2.8433900768420835E-2</v>
      </c>
      <c r="V249">
        <v>1425.160034</v>
      </c>
      <c r="W249">
        <f t="shared" si="27"/>
        <v>-4.8388120181865025E-4</v>
      </c>
    </row>
    <row r="250" spans="1:23">
      <c r="A250" s="1">
        <v>44222</v>
      </c>
      <c r="B250">
        <v>77.150002000000001</v>
      </c>
      <c r="C250">
        <v>248</v>
      </c>
      <c r="D250">
        <f t="shared" si="21"/>
        <v>143.27857514285714</v>
      </c>
      <c r="E250">
        <v>17.200001</v>
      </c>
      <c r="F250">
        <v>248</v>
      </c>
      <c r="G250">
        <f t="shared" si="22"/>
        <v>28.470321289954338</v>
      </c>
      <c r="H250">
        <v>1159.7700199999999</v>
      </c>
      <c r="I250">
        <v>248</v>
      </c>
      <c r="J250">
        <f t="shared" si="23"/>
        <v>1159.8469161194239</v>
      </c>
      <c r="K250">
        <f t="shared" si="24"/>
        <v>-97.465596983265641</v>
      </c>
      <c r="L250">
        <v>5.5769721601936908</v>
      </c>
      <c r="Q250" s="1">
        <v>44495</v>
      </c>
      <c r="R250">
        <v>111.269997</v>
      </c>
      <c r="S250">
        <f t="shared" si="25"/>
        <v>4.1512409376634994E-3</v>
      </c>
      <c r="T250">
        <v>23.67</v>
      </c>
      <c r="U250">
        <f t="shared" si="26"/>
        <v>6.8056146320714644E-3</v>
      </c>
      <c r="V250">
        <v>1363.6999510000001</v>
      </c>
      <c r="W250">
        <f t="shared" si="27"/>
        <v>-4.3125039668352037E-2</v>
      </c>
    </row>
    <row r="251" spans="1:23">
      <c r="A251" s="1">
        <v>44223</v>
      </c>
      <c r="B251">
        <v>75.819999999999993</v>
      </c>
      <c r="C251">
        <v>249</v>
      </c>
      <c r="D251">
        <f t="shared" si="21"/>
        <v>140.53479868995984</v>
      </c>
      <c r="E251">
        <v>17.139999</v>
      </c>
      <c r="F251">
        <v>249</v>
      </c>
      <c r="G251">
        <f t="shared" si="22"/>
        <v>28.898833843091055</v>
      </c>
      <c r="H251">
        <v>1092.079956</v>
      </c>
      <c r="I251">
        <v>249</v>
      </c>
      <c r="J251">
        <f t="shared" si="23"/>
        <v>1135.6117197580261</v>
      </c>
      <c r="K251">
        <f t="shared" si="24"/>
        <v>-166.9460659379838</v>
      </c>
      <c r="L251">
        <v>5.9025565984420609</v>
      </c>
      <c r="Q251" s="1">
        <v>44496</v>
      </c>
      <c r="R251">
        <v>110.879997</v>
      </c>
      <c r="S251">
        <f t="shared" si="25"/>
        <v>-3.5049879618492354E-3</v>
      </c>
      <c r="T251">
        <v>22.889999</v>
      </c>
      <c r="U251">
        <f t="shared" si="26"/>
        <v>-3.2953147444022057E-2</v>
      </c>
      <c r="V251">
        <v>1361.119995</v>
      </c>
      <c r="W251">
        <f t="shared" si="27"/>
        <v>-1.8918795136042637E-3</v>
      </c>
    </row>
    <row r="252" spans="1:23">
      <c r="A252" s="1">
        <v>44224</v>
      </c>
      <c r="B252">
        <v>76.690002000000007</v>
      </c>
      <c r="C252">
        <v>250</v>
      </c>
      <c r="D252">
        <f t="shared" si="21"/>
        <v>144.64086370350833</v>
      </c>
      <c r="E252">
        <v>17.190000999999999</v>
      </c>
      <c r="F252">
        <v>250</v>
      </c>
      <c r="G252">
        <f t="shared" si="22"/>
        <v>29.084600821738672</v>
      </c>
      <c r="H252">
        <v>1120.5699460000001</v>
      </c>
      <c r="I252">
        <v>250</v>
      </c>
      <c r="J252">
        <f t="shared" si="23"/>
        <v>1237.4619160906934</v>
      </c>
      <c r="K252">
        <f t="shared" si="24"/>
        <v>80.601481542549664</v>
      </c>
      <c r="L252">
        <v>6.0108075874823044</v>
      </c>
      <c r="Q252" s="1">
        <v>44497</v>
      </c>
      <c r="R252">
        <v>112.300003</v>
      </c>
      <c r="S252">
        <f t="shared" si="25"/>
        <v>1.280669226569334E-2</v>
      </c>
      <c r="T252">
        <v>25.91</v>
      </c>
      <c r="U252">
        <f t="shared" si="26"/>
        <v>0.13193539239560476</v>
      </c>
      <c r="V252">
        <v>1457</v>
      </c>
      <c r="W252">
        <f t="shared" si="27"/>
        <v>7.044199288248644E-2</v>
      </c>
    </row>
    <row r="253" spans="1:23">
      <c r="A253" s="1">
        <v>44225</v>
      </c>
      <c r="B253">
        <v>74.309997999999993</v>
      </c>
      <c r="C253">
        <v>251</v>
      </c>
      <c r="D253">
        <f t="shared" si="21"/>
        <v>138.5621259209251</v>
      </c>
      <c r="E253">
        <v>16.73</v>
      </c>
      <c r="F253">
        <v>251</v>
      </c>
      <c r="G253">
        <f t="shared" si="22"/>
        <v>28.223965781037478</v>
      </c>
      <c r="H253">
        <v>1098.589966</v>
      </c>
      <c r="I253">
        <v>251</v>
      </c>
      <c r="J253">
        <f t="shared" si="23"/>
        <v>1182.3443094519687</v>
      </c>
      <c r="K253">
        <f t="shared" si="24"/>
        <v>-103.33063517124992</v>
      </c>
      <c r="L253">
        <v>6.6022343035801896</v>
      </c>
      <c r="Q253" s="1">
        <v>44498</v>
      </c>
      <c r="R253">
        <v>108.510002</v>
      </c>
      <c r="S253">
        <f t="shared" si="25"/>
        <v>-3.3748894913208538E-2</v>
      </c>
      <c r="T253">
        <v>26.299999</v>
      </c>
      <c r="U253">
        <f t="shared" si="26"/>
        <v>1.5052064839830164E-2</v>
      </c>
      <c r="V253">
        <v>1466.7299800000001</v>
      </c>
      <c r="W253">
        <f t="shared" si="27"/>
        <v>6.6780919698010083E-3</v>
      </c>
    </row>
    <row r="254" spans="1:23">
      <c r="A254" s="1">
        <v>44228</v>
      </c>
      <c r="B254">
        <v>74.480002999999996</v>
      </c>
      <c r="C254">
        <v>252</v>
      </c>
      <c r="D254">
        <f t="shared" si="21"/>
        <v>143.32715268004716</v>
      </c>
      <c r="E254">
        <v>16.790001</v>
      </c>
      <c r="F254">
        <v>252</v>
      </c>
      <c r="G254">
        <f t="shared" si="22"/>
        <v>29.10400651524208</v>
      </c>
      <c r="H254">
        <v>1144.9300539999999</v>
      </c>
      <c r="I254">
        <v>252</v>
      </c>
      <c r="J254">
        <f t="shared" si="23"/>
        <v>1256.8707960727904</v>
      </c>
      <c r="K254">
        <f t="shared" si="24"/>
        <v>106.57321667468386</v>
      </c>
      <c r="L254">
        <v>7.9585415148767424</v>
      </c>
      <c r="Q254" s="1">
        <v>44501</v>
      </c>
      <c r="R254">
        <v>109.57</v>
      </c>
      <c r="S254">
        <f t="shared" si="25"/>
        <v>9.7686663023008064E-3</v>
      </c>
      <c r="T254">
        <v>26.719999000000001</v>
      </c>
      <c r="U254">
        <f t="shared" si="26"/>
        <v>1.596958235625795E-2</v>
      </c>
      <c r="V254">
        <v>1527.619995</v>
      </c>
      <c r="W254">
        <f t="shared" si="27"/>
        <v>4.1514127228789548E-2</v>
      </c>
    </row>
    <row r="255" spans="1:23">
      <c r="A255" s="1">
        <v>44229</v>
      </c>
      <c r="B255">
        <v>75.410004000000001</v>
      </c>
      <c r="C255">
        <v>253</v>
      </c>
      <c r="D255">
        <f t="shared" si="21"/>
        <v>144.78558186953887</v>
      </c>
      <c r="E255">
        <v>16.850000000000001</v>
      </c>
      <c r="F255">
        <v>253</v>
      </c>
      <c r="G255">
        <f t="shared" si="22"/>
        <v>29.103631381558586</v>
      </c>
      <c r="H255">
        <v>1235.349976</v>
      </c>
      <c r="I255">
        <v>253</v>
      </c>
      <c r="J255">
        <f t="shared" si="23"/>
        <v>1301.2428714322141</v>
      </c>
      <c r="K255">
        <f t="shared" si="24"/>
        <v>209.89603228319538</v>
      </c>
      <c r="L255">
        <v>8.3211806584031365</v>
      </c>
      <c r="Q255" s="1">
        <v>44502</v>
      </c>
      <c r="R255">
        <v>110.139999</v>
      </c>
      <c r="S255">
        <f t="shared" si="25"/>
        <v>5.2021447476499946E-3</v>
      </c>
      <c r="T255">
        <v>25.76</v>
      </c>
      <c r="U255">
        <f t="shared" si="26"/>
        <v>-3.5928107632039949E-2</v>
      </c>
      <c r="V255">
        <v>1476.6400149999999</v>
      </c>
      <c r="W255">
        <f t="shared" si="27"/>
        <v>-3.3372160725089271E-2</v>
      </c>
    </row>
    <row r="256" spans="1:23">
      <c r="A256" s="1">
        <v>44230</v>
      </c>
      <c r="B256">
        <v>75.199996999999996</v>
      </c>
      <c r="C256">
        <v>254</v>
      </c>
      <c r="D256">
        <f t="shared" si="21"/>
        <v>142.60176369968099</v>
      </c>
      <c r="E256">
        <v>17.469999000000001</v>
      </c>
      <c r="F256">
        <v>254</v>
      </c>
      <c r="G256">
        <f t="shared" si="22"/>
        <v>30.067060593471812</v>
      </c>
      <c r="H256">
        <v>1224.160034</v>
      </c>
      <c r="I256">
        <v>254</v>
      </c>
      <c r="J256">
        <f t="shared" si="23"/>
        <v>1195.0759134543425</v>
      </c>
      <c r="K256">
        <f t="shared" si="24"/>
        <v>-9.8246271924281245</v>
      </c>
      <c r="L256">
        <v>8.5554760978611739</v>
      </c>
      <c r="Q256" s="1">
        <v>44503</v>
      </c>
      <c r="R256">
        <v>110.620003</v>
      </c>
      <c r="S256">
        <f t="shared" si="25"/>
        <v>4.3581260609961859E-3</v>
      </c>
      <c r="T256">
        <v>25.389999</v>
      </c>
      <c r="U256">
        <f t="shared" si="26"/>
        <v>-1.4363392857142936E-2</v>
      </c>
      <c r="V256">
        <v>1495.339966</v>
      </c>
      <c r="W256">
        <f t="shared" si="27"/>
        <v>1.2663852265983769E-2</v>
      </c>
    </row>
    <row r="257" spans="1:23">
      <c r="A257" s="1">
        <v>44231</v>
      </c>
      <c r="B257">
        <v>76.400002000000001</v>
      </c>
      <c r="C257">
        <v>255</v>
      </c>
      <c r="D257">
        <f t="shared" si="21"/>
        <v>145.28192449262997</v>
      </c>
      <c r="E257">
        <v>17.16</v>
      </c>
      <c r="F257">
        <v>255</v>
      </c>
      <c r="G257">
        <f t="shared" si="22"/>
        <v>28.485405179473677</v>
      </c>
      <c r="H257">
        <v>1260.869995</v>
      </c>
      <c r="I257">
        <v>255</v>
      </c>
      <c r="J257">
        <f t="shared" si="23"/>
        <v>1242.1653801270888</v>
      </c>
      <c r="K257">
        <f t="shared" si="24"/>
        <v>87.43108287258292</v>
      </c>
      <c r="L257">
        <v>9.1961191759928624</v>
      </c>
      <c r="Q257" s="1">
        <v>44504</v>
      </c>
      <c r="R257">
        <v>110.260002</v>
      </c>
      <c r="S257">
        <f t="shared" si="25"/>
        <v>-3.254393330652838E-3</v>
      </c>
      <c r="T257">
        <v>25.93</v>
      </c>
      <c r="U257">
        <f t="shared" si="26"/>
        <v>2.1268256056252707E-2</v>
      </c>
      <c r="V257">
        <v>1540.5600589999999</v>
      </c>
      <c r="W257">
        <f t="shared" si="27"/>
        <v>3.0240677055507727E-2</v>
      </c>
    </row>
    <row r="258" spans="1:23">
      <c r="A258" s="1">
        <v>44232</v>
      </c>
      <c r="B258">
        <v>76.639999000000003</v>
      </c>
      <c r="C258">
        <v>256</v>
      </c>
      <c r="D258">
        <f t="shared" si="21"/>
        <v>143.44920903274323</v>
      </c>
      <c r="E258">
        <v>17.260000000000002</v>
      </c>
      <c r="F258">
        <v>256</v>
      </c>
      <c r="G258">
        <f t="shared" si="22"/>
        <v>29.168997668997669</v>
      </c>
      <c r="H258">
        <v>1287.75</v>
      </c>
      <c r="I258">
        <v>256</v>
      </c>
      <c r="J258">
        <f t="shared" si="23"/>
        <v>1231.7102525704881</v>
      </c>
      <c r="K258">
        <f t="shared" si="24"/>
        <v>58.447560503373097</v>
      </c>
      <c r="L258">
        <v>9.3486219399910624</v>
      </c>
      <c r="Q258" s="1">
        <v>44505</v>
      </c>
      <c r="R258">
        <v>110.620003</v>
      </c>
      <c r="S258">
        <f t="shared" si="25"/>
        <v>3.2650189866675035E-3</v>
      </c>
      <c r="T258">
        <v>26.52</v>
      </c>
      <c r="U258">
        <f t="shared" si="26"/>
        <v>2.2753567296567676E-2</v>
      </c>
      <c r="V258">
        <v>1528.0600589999999</v>
      </c>
      <c r="W258">
        <f t="shared" si="27"/>
        <v>-8.1139322851936924E-3</v>
      </c>
    </row>
    <row r="259" spans="1:23">
      <c r="A259" s="1">
        <v>44235</v>
      </c>
      <c r="B259">
        <v>76.790001000000004</v>
      </c>
      <c r="C259">
        <v>257</v>
      </c>
      <c r="D259">
        <f t="shared" si="21"/>
        <v>143.27988369363106</v>
      </c>
      <c r="E259">
        <v>17.66</v>
      </c>
      <c r="F259">
        <v>257</v>
      </c>
      <c r="G259">
        <f t="shared" si="22"/>
        <v>29.672074159907297</v>
      </c>
      <c r="H259">
        <v>1345.089966</v>
      </c>
      <c r="I259">
        <v>257</v>
      </c>
      <c r="J259">
        <f t="shared" si="23"/>
        <v>1259.6998633244032</v>
      </c>
      <c r="K259">
        <f t="shared" si="24"/>
        <v>120.27967598372652</v>
      </c>
      <c r="L259">
        <v>9.4441952778215636</v>
      </c>
      <c r="Q259" s="1">
        <v>44508</v>
      </c>
      <c r="R259">
        <v>111.730003</v>
      </c>
      <c r="S259">
        <f t="shared" si="25"/>
        <v>1.0034351562980878E-2</v>
      </c>
      <c r="T259">
        <v>26.389999</v>
      </c>
      <c r="U259">
        <f t="shared" si="26"/>
        <v>-4.9019984917043754E-3</v>
      </c>
      <c r="V259">
        <v>1533.7700199999999</v>
      </c>
      <c r="W259">
        <f t="shared" si="27"/>
        <v>3.7367385963459842E-3</v>
      </c>
    </row>
    <row r="260" spans="1:23">
      <c r="A260" s="1">
        <v>44236</v>
      </c>
      <c r="B260">
        <v>76.860000999999997</v>
      </c>
      <c r="C260">
        <v>258</v>
      </c>
      <c r="D260">
        <f t="shared" ref="D260:D323" si="28">143*B260/B259</f>
        <v>143.13035551334343</v>
      </c>
      <c r="E260">
        <v>17.829999999999998</v>
      </c>
      <c r="F260">
        <v>258</v>
      </c>
      <c r="G260">
        <f t="shared" ref="G260:G323" si="29">29 *E260/E259</f>
        <v>29.279161947904864</v>
      </c>
      <c r="H260">
        <v>1432.98999</v>
      </c>
      <c r="I260">
        <v>258</v>
      </c>
      <c r="J260">
        <f t="shared" ref="J260:J323" si="30">1206 *H260/H259</f>
        <v>1284.8106607168015</v>
      </c>
      <c r="K260">
        <f t="shared" ref="K260:K323" si="31">(1430*D260/143+435*G260/29+2412*J260/1206)-1430-435-2412</f>
        <v>163.11230578561026</v>
      </c>
      <c r="L260">
        <v>9.4677291354837507</v>
      </c>
      <c r="Q260" s="1">
        <v>44509</v>
      </c>
      <c r="R260">
        <v>112.029999</v>
      </c>
      <c r="S260">
        <f t="shared" ref="S260:S316" si="32">(R260-R259)/R259</f>
        <v>2.6850084305466925E-3</v>
      </c>
      <c r="T260">
        <v>26.25</v>
      </c>
      <c r="U260">
        <f t="shared" ref="U260:U316" si="33">(T260-T259)/T259</f>
        <v>-5.3050020956802437E-3</v>
      </c>
      <c r="V260">
        <v>1554.849976</v>
      </c>
      <c r="W260">
        <f t="shared" ref="W260:W316" si="34">(V260-V259)/V259</f>
        <v>1.3743883193126985E-2</v>
      </c>
    </row>
    <row r="261" spans="1:23">
      <c r="A261" s="1">
        <v>44237</v>
      </c>
      <c r="B261">
        <v>76.580001999999993</v>
      </c>
      <c r="C261">
        <v>259</v>
      </c>
      <c r="D261">
        <f t="shared" si="28"/>
        <v>142.4790546906186</v>
      </c>
      <c r="E261">
        <v>18.110001</v>
      </c>
      <c r="F261">
        <v>259</v>
      </c>
      <c r="G261">
        <f t="shared" si="29"/>
        <v>29.455413853056648</v>
      </c>
      <c r="H261">
        <v>1462.420044</v>
      </c>
      <c r="I261">
        <v>259</v>
      </c>
      <c r="J261">
        <f t="shared" si="30"/>
        <v>1230.768243582776</v>
      </c>
      <c r="K261">
        <f t="shared" si="31"/>
        <v>51.158241867588004</v>
      </c>
      <c r="L261">
        <v>9.7253433565110754</v>
      </c>
      <c r="Q261" s="1">
        <v>44510</v>
      </c>
      <c r="R261">
        <v>111.209999</v>
      </c>
      <c r="S261">
        <f t="shared" si="32"/>
        <v>-7.3194680649779119E-3</v>
      </c>
      <c r="T261">
        <v>25.879999000000002</v>
      </c>
      <c r="U261">
        <f t="shared" si="33"/>
        <v>-1.4095276190476132E-2</v>
      </c>
      <c r="V261">
        <v>1474</v>
      </c>
      <c r="W261">
        <f t="shared" si="34"/>
        <v>-5.1998570439570159E-2</v>
      </c>
    </row>
    <row r="262" spans="1:23">
      <c r="A262" s="1">
        <v>44238</v>
      </c>
      <c r="B262">
        <v>76.25</v>
      </c>
      <c r="C262">
        <v>260</v>
      </c>
      <c r="D262">
        <f t="shared" si="28"/>
        <v>142.38377794766839</v>
      </c>
      <c r="E262">
        <v>17.829999999999998</v>
      </c>
      <c r="F262">
        <v>260</v>
      </c>
      <c r="G262">
        <f t="shared" si="29"/>
        <v>28.5516273577235</v>
      </c>
      <c r="H262">
        <v>1463.3100589999999</v>
      </c>
      <c r="I262">
        <v>260</v>
      </c>
      <c r="J262">
        <f t="shared" si="30"/>
        <v>1206.7339601877065</v>
      </c>
      <c r="K262">
        <f t="shared" si="31"/>
        <v>-11.419889782050632</v>
      </c>
      <c r="L262">
        <v>9.7822488174097089</v>
      </c>
      <c r="Q262" s="1">
        <v>44511</v>
      </c>
      <c r="R262">
        <v>111.25</v>
      </c>
      <c r="S262">
        <f t="shared" si="32"/>
        <v>3.5968888013391431E-4</v>
      </c>
      <c r="T262">
        <v>25.780000999999999</v>
      </c>
      <c r="U262">
        <f t="shared" si="33"/>
        <v>-3.8639105047879991E-3</v>
      </c>
      <c r="V262">
        <v>1490.339966</v>
      </c>
      <c r="W262">
        <f t="shared" si="34"/>
        <v>1.1085458616010858E-2</v>
      </c>
    </row>
    <row r="263" spans="1:23">
      <c r="A263" s="1">
        <v>44239</v>
      </c>
      <c r="B263">
        <v>76.860000999999997</v>
      </c>
      <c r="C263">
        <v>261</v>
      </c>
      <c r="D263">
        <f t="shared" si="28"/>
        <v>144.14400187540983</v>
      </c>
      <c r="E263">
        <v>18.030000999999999</v>
      </c>
      <c r="F263">
        <v>261</v>
      </c>
      <c r="G263">
        <f t="shared" si="29"/>
        <v>29.325296074032529</v>
      </c>
      <c r="H263">
        <v>1455.48999</v>
      </c>
      <c r="I263">
        <v>261</v>
      </c>
      <c r="J263">
        <f t="shared" si="30"/>
        <v>1199.5550205809118</v>
      </c>
      <c r="K263">
        <f t="shared" si="31"/>
        <v>3.4295010264104349</v>
      </c>
      <c r="L263">
        <v>10.02936641031738</v>
      </c>
      <c r="Q263" s="1">
        <v>44512</v>
      </c>
      <c r="R263">
        <v>111.790001</v>
      </c>
      <c r="S263">
        <f t="shared" si="32"/>
        <v>4.8539415730337416E-3</v>
      </c>
      <c r="T263">
        <v>25.77</v>
      </c>
      <c r="U263">
        <f t="shared" si="33"/>
        <v>-3.8793636974641851E-4</v>
      </c>
      <c r="V263">
        <v>1669.5200199999999</v>
      </c>
      <c r="W263">
        <f t="shared" si="34"/>
        <v>0.1202276380475191</v>
      </c>
    </row>
    <row r="264" spans="1:23">
      <c r="A264" s="1">
        <v>44243</v>
      </c>
      <c r="B264">
        <v>77.489998</v>
      </c>
      <c r="C264">
        <v>262</v>
      </c>
      <c r="D264">
        <f t="shared" si="28"/>
        <v>144.17212555071396</v>
      </c>
      <c r="E264">
        <v>18.790001</v>
      </c>
      <c r="F264">
        <v>262</v>
      </c>
      <c r="G264">
        <f t="shared" si="29"/>
        <v>30.222407031480479</v>
      </c>
      <c r="H264">
        <v>1474</v>
      </c>
      <c r="I264">
        <v>262</v>
      </c>
      <c r="J264">
        <f t="shared" si="30"/>
        <v>1221.3371525832342</v>
      </c>
      <c r="K264">
        <f t="shared" si="31"/>
        <v>60.731666145815325</v>
      </c>
      <c r="L264">
        <v>10.308833231514654</v>
      </c>
      <c r="Q264" s="1">
        <v>44515</v>
      </c>
      <c r="R264">
        <v>112.07</v>
      </c>
      <c r="S264">
        <f t="shared" si="32"/>
        <v>2.5046873378236165E-3</v>
      </c>
      <c r="T264">
        <v>25.93</v>
      </c>
      <c r="U264">
        <f t="shared" si="33"/>
        <v>6.2087698874660514E-3</v>
      </c>
      <c r="V264">
        <v>1656.5</v>
      </c>
      <c r="W264">
        <f t="shared" si="34"/>
        <v>-7.7986605994697401E-3</v>
      </c>
    </row>
    <row r="265" spans="1:23">
      <c r="A265" s="1">
        <v>44244</v>
      </c>
      <c r="B265">
        <v>78.279999000000004</v>
      </c>
      <c r="C265">
        <v>263</v>
      </c>
      <c r="D265">
        <f t="shared" si="28"/>
        <v>144.45786741406292</v>
      </c>
      <c r="E265">
        <v>19.049999</v>
      </c>
      <c r="F265">
        <v>263</v>
      </c>
      <c r="G265">
        <f t="shared" si="29"/>
        <v>29.401274167042352</v>
      </c>
      <c r="H265">
        <v>1425</v>
      </c>
      <c r="I265">
        <v>263</v>
      </c>
      <c r="J265">
        <f t="shared" si="30"/>
        <v>1165.909090909091</v>
      </c>
      <c r="K265">
        <f t="shared" si="31"/>
        <v>-59.584031535553549</v>
      </c>
      <c r="L265">
        <v>10.657837835296959</v>
      </c>
      <c r="Q265" s="1">
        <v>44516</v>
      </c>
      <c r="R265">
        <v>111.209999</v>
      </c>
      <c r="S265">
        <f t="shared" si="32"/>
        <v>-7.6737842419915851E-3</v>
      </c>
      <c r="T265">
        <v>25.59</v>
      </c>
      <c r="U265">
        <f t="shared" si="33"/>
        <v>-1.3112225221750862E-2</v>
      </c>
      <c r="V265">
        <v>1675.3199460000001</v>
      </c>
      <c r="W265">
        <f t="shared" si="34"/>
        <v>1.1361271355267172E-2</v>
      </c>
    </row>
    <row r="266" spans="1:23">
      <c r="A266" s="1">
        <v>44245</v>
      </c>
      <c r="B266">
        <v>78.620002999999997</v>
      </c>
      <c r="C266">
        <v>264</v>
      </c>
      <c r="D266">
        <f t="shared" si="28"/>
        <v>143.62111104523646</v>
      </c>
      <c r="E266">
        <v>18.77</v>
      </c>
      <c r="F266">
        <v>264</v>
      </c>
      <c r="G266">
        <f t="shared" si="29"/>
        <v>28.573754780774532</v>
      </c>
      <c r="H266">
        <v>1384.5699460000001</v>
      </c>
      <c r="I266">
        <v>264</v>
      </c>
      <c r="J266">
        <f t="shared" si="30"/>
        <v>1171.7834069305266</v>
      </c>
      <c r="K266">
        <f t="shared" si="31"/>
        <v>-68.615753974963809</v>
      </c>
      <c r="L266">
        <v>10.726057071395189</v>
      </c>
      <c r="Q266" s="1">
        <v>44517</v>
      </c>
      <c r="R266">
        <v>110.339996</v>
      </c>
      <c r="S266">
        <f t="shared" si="32"/>
        <v>-7.8230645429643152E-3</v>
      </c>
      <c r="T266">
        <v>25.559999000000001</v>
      </c>
      <c r="U266">
        <f t="shared" si="33"/>
        <v>-1.1723720203203835E-3</v>
      </c>
      <c r="V266">
        <v>1637.8100589999999</v>
      </c>
      <c r="W266">
        <f t="shared" si="34"/>
        <v>-2.2389685677388908E-2</v>
      </c>
    </row>
    <row r="267" spans="1:23">
      <c r="A267" s="1">
        <v>44246</v>
      </c>
      <c r="B267">
        <v>80.290001000000004</v>
      </c>
      <c r="C267">
        <v>265</v>
      </c>
      <c r="D267">
        <f t="shared" si="28"/>
        <v>146.03751850530966</v>
      </c>
      <c r="E267">
        <v>18.98</v>
      </c>
      <c r="F267">
        <v>265</v>
      </c>
      <c r="G267">
        <f t="shared" si="29"/>
        <v>29.324453915823121</v>
      </c>
      <c r="H267">
        <v>1435.01001</v>
      </c>
      <c r="I267">
        <v>265</v>
      </c>
      <c r="J267">
        <f t="shared" si="30"/>
        <v>1249.9347375405184</v>
      </c>
      <c r="K267">
        <f t="shared" si="31"/>
        <v>123.11146887148061</v>
      </c>
      <c r="L267">
        <v>11.515159929892434</v>
      </c>
      <c r="Q267" s="1">
        <v>44518</v>
      </c>
      <c r="R267">
        <v>110.199997</v>
      </c>
      <c r="S267">
        <f t="shared" si="32"/>
        <v>-1.2687964933404846E-3</v>
      </c>
      <c r="T267">
        <v>25.639999</v>
      </c>
      <c r="U267">
        <f t="shared" si="33"/>
        <v>3.1298905762867321E-3</v>
      </c>
      <c r="V267">
        <v>1681.3000489999999</v>
      </c>
      <c r="W267">
        <f t="shared" si="34"/>
        <v>2.6553744593896183E-2</v>
      </c>
    </row>
    <row r="268" spans="1:23">
      <c r="A268" s="1">
        <v>44249</v>
      </c>
      <c r="B268">
        <v>80.720000999999996</v>
      </c>
      <c r="C268">
        <v>266</v>
      </c>
      <c r="D268">
        <f t="shared" si="28"/>
        <v>143.76584878856832</v>
      </c>
      <c r="E268">
        <v>20.52</v>
      </c>
      <c r="F268">
        <v>266</v>
      </c>
      <c r="G268">
        <f t="shared" si="29"/>
        <v>31.35300316122234</v>
      </c>
      <c r="H268">
        <v>1381.3000489999999</v>
      </c>
      <c r="I268">
        <v>266</v>
      </c>
      <c r="J268">
        <f t="shared" si="30"/>
        <v>1160.8614905020768</v>
      </c>
      <c r="K268">
        <f t="shared" si="31"/>
        <v>-47.323483691828187</v>
      </c>
      <c r="L268">
        <v>12.058675466554632</v>
      </c>
      <c r="Q268" s="1">
        <v>44519</v>
      </c>
      <c r="R268">
        <v>108.93</v>
      </c>
      <c r="S268">
        <f t="shared" si="32"/>
        <v>-1.1524473997943843E-2</v>
      </c>
      <c r="T268">
        <v>25.030000999999999</v>
      </c>
      <c r="U268">
        <f t="shared" si="33"/>
        <v>-2.3790874562826657E-2</v>
      </c>
      <c r="V268">
        <v>1690.599976</v>
      </c>
      <c r="W268">
        <f t="shared" si="34"/>
        <v>5.5313904294069438E-3</v>
      </c>
    </row>
    <row r="269" spans="1:23">
      <c r="A269" s="1">
        <v>44250</v>
      </c>
      <c r="B269">
        <v>83.379997000000003</v>
      </c>
      <c r="C269">
        <v>267</v>
      </c>
      <c r="D269">
        <f t="shared" si="28"/>
        <v>147.7123318048522</v>
      </c>
      <c r="E269">
        <v>20.93</v>
      </c>
      <c r="F269">
        <v>267</v>
      </c>
      <c r="G269">
        <f t="shared" si="29"/>
        <v>29.579434697855753</v>
      </c>
      <c r="H269">
        <v>1300.23999</v>
      </c>
      <c r="I269">
        <v>267</v>
      </c>
      <c r="J269">
        <f t="shared" si="30"/>
        <v>1135.2272296487845</v>
      </c>
      <c r="K269">
        <f t="shared" si="31"/>
        <v>-85.730702186072449</v>
      </c>
      <c r="L269">
        <v>12.166952844410844</v>
      </c>
      <c r="Q269" s="1">
        <v>44522</v>
      </c>
      <c r="R269">
        <v>109.110001</v>
      </c>
      <c r="S269">
        <f t="shared" si="32"/>
        <v>1.6524465252913804E-3</v>
      </c>
      <c r="T269">
        <v>25.059999000000001</v>
      </c>
      <c r="U269">
        <f t="shared" si="33"/>
        <v>1.1984817739321158E-3</v>
      </c>
      <c r="V269">
        <v>1595.01001</v>
      </c>
      <c r="W269">
        <f t="shared" si="34"/>
        <v>-5.6542036766242094E-2</v>
      </c>
    </row>
    <row r="270" spans="1:23">
      <c r="A270" s="1">
        <v>44251</v>
      </c>
      <c r="B270">
        <v>86.25</v>
      </c>
      <c r="C270">
        <v>268</v>
      </c>
      <c r="D270">
        <f t="shared" si="28"/>
        <v>147.92216891060812</v>
      </c>
      <c r="E270">
        <v>21.530000999999999</v>
      </c>
      <c r="F270">
        <v>268</v>
      </c>
      <c r="G270">
        <f t="shared" si="29"/>
        <v>29.831343956043952</v>
      </c>
      <c r="H270">
        <v>1301.150024</v>
      </c>
      <c r="I270">
        <v>268</v>
      </c>
      <c r="J270">
        <f t="shared" si="30"/>
        <v>1206.8440757186679</v>
      </c>
      <c r="K270">
        <f t="shared" si="31"/>
        <v>63.379999884076824</v>
      </c>
      <c r="L270">
        <v>12.601970297913795</v>
      </c>
      <c r="Q270" s="1">
        <v>44523</v>
      </c>
      <c r="R270">
        <v>110.349998</v>
      </c>
      <c r="S270">
        <f t="shared" si="32"/>
        <v>1.1364650248697207E-2</v>
      </c>
      <c r="T270">
        <v>26.030000999999999</v>
      </c>
      <c r="U270">
        <f t="shared" si="33"/>
        <v>3.8707184305952977E-2</v>
      </c>
      <c r="V270">
        <v>1573.0600589999999</v>
      </c>
      <c r="W270">
        <f t="shared" si="34"/>
        <v>-1.3761638398745883E-2</v>
      </c>
    </row>
    <row r="271" spans="1:23">
      <c r="A271" s="1">
        <v>44252</v>
      </c>
      <c r="B271">
        <v>83.830001999999993</v>
      </c>
      <c r="C271">
        <v>269</v>
      </c>
      <c r="D271">
        <f t="shared" si="28"/>
        <v>138.98771346086954</v>
      </c>
      <c r="E271">
        <v>20.65</v>
      </c>
      <c r="F271">
        <v>269</v>
      </c>
      <c r="G271">
        <f t="shared" si="29"/>
        <v>27.814675902708967</v>
      </c>
      <c r="H271">
        <v>1245.099976</v>
      </c>
      <c r="I271">
        <v>269</v>
      </c>
      <c r="J271">
        <f t="shared" si="30"/>
        <v>1154.0487594503552</v>
      </c>
      <c r="K271">
        <f t="shared" si="31"/>
        <v>-161.80520794995937</v>
      </c>
      <c r="L271">
        <v>12.976069887345147</v>
      </c>
      <c r="Q271" s="1">
        <v>44524</v>
      </c>
      <c r="R271">
        <v>110.709999</v>
      </c>
      <c r="S271">
        <f t="shared" si="32"/>
        <v>3.262356198683365E-3</v>
      </c>
      <c r="T271">
        <v>26.639999</v>
      </c>
      <c r="U271">
        <f t="shared" si="33"/>
        <v>2.3434420920690743E-2</v>
      </c>
      <c r="V271">
        <v>1628.6999510000001</v>
      </c>
      <c r="W271">
        <f t="shared" si="34"/>
        <v>3.5370481681017717E-2</v>
      </c>
    </row>
    <row r="272" spans="1:23">
      <c r="A272" s="1">
        <v>44253</v>
      </c>
      <c r="B272">
        <v>81.529999000000004</v>
      </c>
      <c r="C272">
        <v>270</v>
      </c>
      <c r="D272">
        <f t="shared" si="28"/>
        <v>139.07657853807518</v>
      </c>
      <c r="E272">
        <v>19.860001</v>
      </c>
      <c r="F272">
        <v>270</v>
      </c>
      <c r="G272">
        <f t="shared" si="29"/>
        <v>27.890558305084745</v>
      </c>
      <c r="H272">
        <v>1280.969971</v>
      </c>
      <c r="I272">
        <v>270</v>
      </c>
      <c r="J272">
        <f t="shared" si="30"/>
        <v>1240.7435666242434</v>
      </c>
      <c r="K272">
        <f t="shared" si="31"/>
        <v>13.611293205509355</v>
      </c>
      <c r="L272">
        <v>13.611293205509355</v>
      </c>
      <c r="Q272" s="1">
        <v>44526</v>
      </c>
      <c r="R272">
        <v>107.639999</v>
      </c>
      <c r="S272">
        <f t="shared" si="32"/>
        <v>-2.7730105931985358E-2</v>
      </c>
      <c r="T272">
        <v>24.77</v>
      </c>
      <c r="U272">
        <f t="shared" si="33"/>
        <v>-7.0195160292611122E-2</v>
      </c>
      <c r="V272">
        <v>1576.6999510000001</v>
      </c>
      <c r="W272">
        <f t="shared" si="34"/>
        <v>-3.1927304945317085E-2</v>
      </c>
    </row>
    <row r="273" spans="1:23">
      <c r="A273" s="1">
        <v>44256</v>
      </c>
      <c r="B273">
        <v>83.849997999999999</v>
      </c>
      <c r="C273">
        <v>271</v>
      </c>
      <c r="D273">
        <f t="shared" si="28"/>
        <v>147.06917528601957</v>
      </c>
      <c r="E273">
        <v>20.239999999999998</v>
      </c>
      <c r="F273">
        <v>271</v>
      </c>
      <c r="G273">
        <f t="shared" si="29"/>
        <v>29.554882701164008</v>
      </c>
      <c r="H273">
        <v>1309.9399410000001</v>
      </c>
      <c r="I273">
        <v>271</v>
      </c>
      <c r="J273">
        <f t="shared" si="30"/>
        <v>1233.2744752890076</v>
      </c>
      <c r="K273">
        <f t="shared" si="31"/>
        <v>103.56394395567077</v>
      </c>
      <c r="L273">
        <v>14.693269736895672</v>
      </c>
      <c r="Q273" s="1">
        <v>44529</v>
      </c>
      <c r="R273">
        <v>107.379997</v>
      </c>
      <c r="S273">
        <f t="shared" si="32"/>
        <v>-2.4154775400917652E-3</v>
      </c>
      <c r="T273">
        <v>25.049999</v>
      </c>
      <c r="U273">
        <f t="shared" si="33"/>
        <v>1.1303956398869604E-2</v>
      </c>
      <c r="V273">
        <v>1567.0200199999999</v>
      </c>
      <c r="W273">
        <f t="shared" si="34"/>
        <v>-6.1393615150813962E-3</v>
      </c>
    </row>
    <row r="274" spans="1:23">
      <c r="A274" s="1">
        <v>44257</v>
      </c>
      <c r="B274">
        <v>85.07</v>
      </c>
      <c r="C274">
        <v>272</v>
      </c>
      <c r="D274">
        <f t="shared" si="28"/>
        <v>145.08062361551873</v>
      </c>
      <c r="E274">
        <v>20.67</v>
      </c>
      <c r="F274">
        <v>272</v>
      </c>
      <c r="G274">
        <f t="shared" si="29"/>
        <v>29.616106719367593</v>
      </c>
      <c r="H274">
        <v>1309.0600589999999</v>
      </c>
      <c r="I274">
        <v>272</v>
      </c>
      <c r="J274">
        <f t="shared" si="30"/>
        <v>1205.1899340887414</v>
      </c>
      <c r="K274">
        <f t="shared" si="31"/>
        <v>28.427705123183841</v>
      </c>
      <c r="L274">
        <v>15.838613559991245</v>
      </c>
      <c r="Q274" s="1">
        <v>44530</v>
      </c>
      <c r="R274">
        <v>104.07</v>
      </c>
      <c r="S274">
        <f t="shared" si="32"/>
        <v>-3.0825080019326222E-2</v>
      </c>
      <c r="T274">
        <v>24.35</v>
      </c>
      <c r="U274">
        <f t="shared" si="33"/>
        <v>-2.7944072971819212E-2</v>
      </c>
      <c r="V274">
        <v>1521.790039</v>
      </c>
      <c r="W274">
        <f t="shared" si="34"/>
        <v>-2.8863690586416347E-2</v>
      </c>
    </row>
    <row r="275" spans="1:23">
      <c r="A275" s="1">
        <v>44258</v>
      </c>
      <c r="B275">
        <v>84.82</v>
      </c>
      <c r="C275">
        <v>273</v>
      </c>
      <c r="D275">
        <f t="shared" si="28"/>
        <v>142.57975784647937</v>
      </c>
      <c r="E275">
        <v>20.75</v>
      </c>
      <c r="F275">
        <v>273</v>
      </c>
      <c r="G275">
        <f t="shared" si="29"/>
        <v>29.112239961296563</v>
      </c>
      <c r="H275">
        <v>1220.3000489999999</v>
      </c>
      <c r="I275">
        <v>273</v>
      </c>
      <c r="J275">
        <f t="shared" si="30"/>
        <v>1124.227913743108</v>
      </c>
      <c r="K275">
        <f t="shared" si="31"/>
        <v>-166.06299462954212</v>
      </c>
      <c r="L275">
        <v>15.863220087971968</v>
      </c>
      <c r="Q275" s="1">
        <v>44531</v>
      </c>
      <c r="R275">
        <v>103.43</v>
      </c>
      <c r="S275">
        <f t="shared" si="32"/>
        <v>-6.1497069280290802E-3</v>
      </c>
      <c r="T275">
        <v>23.82</v>
      </c>
      <c r="U275">
        <f t="shared" si="33"/>
        <v>-2.1765913757700251E-2</v>
      </c>
      <c r="V275">
        <v>1459.709961</v>
      </c>
      <c r="W275">
        <f t="shared" si="34"/>
        <v>-4.0794115094086224E-2</v>
      </c>
    </row>
    <row r="276" spans="1:23">
      <c r="A276" s="1">
        <v>44259</v>
      </c>
      <c r="B276">
        <v>84.07</v>
      </c>
      <c r="C276">
        <v>274</v>
      </c>
      <c r="D276">
        <f t="shared" si="28"/>
        <v>141.73555765149729</v>
      </c>
      <c r="E276">
        <v>21.23</v>
      </c>
      <c r="F276">
        <v>274</v>
      </c>
      <c r="G276">
        <f t="shared" si="29"/>
        <v>29.670843373493973</v>
      </c>
      <c r="H276">
        <v>1149.4399410000001</v>
      </c>
      <c r="I276">
        <v>274</v>
      </c>
      <c r="J276">
        <f t="shared" si="30"/>
        <v>1135.9702640198782</v>
      </c>
      <c r="K276">
        <f t="shared" si="31"/>
        <v>-142.64124484286094</v>
      </c>
      <c r="L276">
        <v>16.179699816538232</v>
      </c>
      <c r="Q276" s="1">
        <v>44532</v>
      </c>
      <c r="R276">
        <v>105.18</v>
      </c>
      <c r="S276">
        <f t="shared" si="32"/>
        <v>1.6919655805859034E-2</v>
      </c>
      <c r="T276">
        <v>24.15</v>
      </c>
      <c r="U276">
        <f t="shared" si="33"/>
        <v>1.3853904282115798E-2</v>
      </c>
      <c r="V276">
        <v>1447.150024</v>
      </c>
      <c r="W276">
        <f t="shared" si="34"/>
        <v>-8.6044058995086836E-3</v>
      </c>
    </row>
    <row r="277" spans="1:23">
      <c r="A277" s="1">
        <v>44260</v>
      </c>
      <c r="B277">
        <v>85.349997999999999</v>
      </c>
      <c r="C277">
        <v>275</v>
      </c>
      <c r="D277">
        <f t="shared" si="28"/>
        <v>145.17722985607233</v>
      </c>
      <c r="E277">
        <v>21.99</v>
      </c>
      <c r="F277">
        <v>275</v>
      </c>
      <c r="G277">
        <f t="shared" si="29"/>
        <v>30.038153556288268</v>
      </c>
      <c r="H277">
        <v>1131.01001</v>
      </c>
      <c r="I277">
        <v>275</v>
      </c>
      <c r="J277">
        <f t="shared" si="30"/>
        <v>1186.6631943147345</v>
      </c>
      <c r="K277">
        <f t="shared" si="31"/>
        <v>-1.3290094654839777</v>
      </c>
      <c r="L277">
        <v>17.158339841670568</v>
      </c>
      <c r="Q277" s="1">
        <v>44533</v>
      </c>
      <c r="R277">
        <v>107.470001</v>
      </c>
      <c r="S277">
        <f t="shared" si="32"/>
        <v>2.1772209545540877E-2</v>
      </c>
      <c r="T277">
        <v>23.58</v>
      </c>
      <c r="U277">
        <f t="shared" si="33"/>
        <v>-2.3602484472049701E-2</v>
      </c>
      <c r="V277">
        <v>1410</v>
      </c>
      <c r="W277">
        <f t="shared" si="34"/>
        <v>-2.5671162895271479E-2</v>
      </c>
    </row>
    <row r="278" spans="1:23">
      <c r="A278" s="1">
        <v>44263</v>
      </c>
      <c r="B278">
        <v>85.93</v>
      </c>
      <c r="C278">
        <v>276</v>
      </c>
      <c r="D278">
        <f t="shared" si="28"/>
        <v>143.97176670115448</v>
      </c>
      <c r="E278">
        <v>22.01</v>
      </c>
      <c r="F278">
        <v>276</v>
      </c>
      <c r="G278">
        <f t="shared" si="29"/>
        <v>29.026375625284224</v>
      </c>
      <c r="H278">
        <v>1072.4300539999999</v>
      </c>
      <c r="I278">
        <v>276</v>
      </c>
      <c r="J278">
        <f t="shared" si="30"/>
        <v>1143.5359843755934</v>
      </c>
      <c r="K278">
        <f t="shared" si="31"/>
        <v>-114.81472985800519</v>
      </c>
      <c r="L278">
        <v>17.504985209674487</v>
      </c>
      <c r="Q278" s="1">
        <v>44536</v>
      </c>
      <c r="R278">
        <v>108.05999799999999</v>
      </c>
      <c r="S278">
        <f t="shared" si="32"/>
        <v>5.4898761934504565E-3</v>
      </c>
      <c r="T278">
        <v>24.370000999999998</v>
      </c>
      <c r="U278">
        <f t="shared" si="33"/>
        <v>3.350301102629348E-2</v>
      </c>
      <c r="V278">
        <v>1428.119995</v>
      </c>
      <c r="W278">
        <f t="shared" si="34"/>
        <v>1.2851060283687956E-2</v>
      </c>
    </row>
    <row r="279" spans="1:23">
      <c r="A279" s="1">
        <v>44264</v>
      </c>
      <c r="B279">
        <v>85.68</v>
      </c>
      <c r="C279">
        <v>277</v>
      </c>
      <c r="D279">
        <f t="shared" si="28"/>
        <v>142.58396369137671</v>
      </c>
      <c r="E279">
        <v>21.860001</v>
      </c>
      <c r="F279">
        <v>277</v>
      </c>
      <c r="G279">
        <f t="shared" si="29"/>
        <v>28.802363880054518</v>
      </c>
      <c r="H279">
        <v>1130.73999</v>
      </c>
      <c r="I279">
        <v>277</v>
      </c>
      <c r="J279">
        <f t="shared" si="30"/>
        <v>1271.5723723460665</v>
      </c>
      <c r="K279">
        <f t="shared" si="31"/>
        <v>124.01983980671775</v>
      </c>
      <c r="L279">
        <v>17.537750977374344</v>
      </c>
      <c r="Q279" s="1">
        <v>44537</v>
      </c>
      <c r="R279">
        <v>109.260002</v>
      </c>
      <c r="S279">
        <f t="shared" si="32"/>
        <v>1.1104978921062048E-2</v>
      </c>
      <c r="T279">
        <v>25.07</v>
      </c>
      <c r="U279">
        <f t="shared" si="33"/>
        <v>2.8723798575141703E-2</v>
      </c>
      <c r="V279">
        <v>1520.51001</v>
      </c>
      <c r="W279">
        <f t="shared" si="34"/>
        <v>6.4693453857846125E-2</v>
      </c>
    </row>
    <row r="280" spans="1:23">
      <c r="A280" s="1">
        <v>44265</v>
      </c>
      <c r="B280">
        <v>87.330001999999993</v>
      </c>
      <c r="C280">
        <v>278</v>
      </c>
      <c r="D280">
        <f t="shared" si="28"/>
        <v>145.75385487861809</v>
      </c>
      <c r="E280">
        <v>22.51</v>
      </c>
      <c r="F280">
        <v>278</v>
      </c>
      <c r="G280">
        <f t="shared" si="29"/>
        <v>29.862304214899169</v>
      </c>
      <c r="H280">
        <v>1087.900024</v>
      </c>
      <c r="I280">
        <v>278</v>
      </c>
      <c r="J280">
        <f t="shared" si="30"/>
        <v>1160.3086832933184</v>
      </c>
      <c r="K280">
        <f t="shared" si="31"/>
        <v>-50.90952140369518</v>
      </c>
      <c r="L280">
        <v>17.854906459303493</v>
      </c>
      <c r="Q280" s="1">
        <v>44538</v>
      </c>
      <c r="R280">
        <v>109.05999799999999</v>
      </c>
      <c r="S280">
        <f t="shared" si="32"/>
        <v>-1.8305326408469859E-3</v>
      </c>
      <c r="T280">
        <v>24.780000999999999</v>
      </c>
      <c r="U280">
        <f t="shared" si="33"/>
        <v>-1.1567570801755153E-2</v>
      </c>
      <c r="V280">
        <v>1520.290039</v>
      </c>
      <c r="W280">
        <f t="shared" si="34"/>
        <v>-1.4466922187509099E-4</v>
      </c>
    </row>
    <row r="281" spans="1:23">
      <c r="A281" s="1">
        <v>44266</v>
      </c>
      <c r="B281">
        <v>87.589995999999999</v>
      </c>
      <c r="C281">
        <v>279</v>
      </c>
      <c r="D281">
        <f t="shared" si="28"/>
        <v>143.42573160596058</v>
      </c>
      <c r="E281">
        <v>23.01</v>
      </c>
      <c r="F281">
        <v>279</v>
      </c>
      <c r="G281">
        <f t="shared" si="29"/>
        <v>29.644158151932476</v>
      </c>
      <c r="H281">
        <v>1142.23999</v>
      </c>
      <c r="I281">
        <v>279</v>
      </c>
      <c r="J281">
        <f t="shared" si="30"/>
        <v>1266.2389903026603</v>
      </c>
      <c r="K281">
        <f t="shared" si="31"/>
        <v>134.39766894391323</v>
      </c>
      <c r="L281">
        <v>18.098791634633017</v>
      </c>
      <c r="Q281" s="1">
        <v>44539</v>
      </c>
      <c r="R281">
        <v>108.400002</v>
      </c>
      <c r="S281">
        <f t="shared" si="32"/>
        <v>-6.0516780864051777E-3</v>
      </c>
      <c r="T281">
        <v>24.469999000000001</v>
      </c>
      <c r="U281">
        <f t="shared" si="33"/>
        <v>-1.2510168986675878E-2</v>
      </c>
      <c r="V281">
        <v>1494.9499510000001</v>
      </c>
      <c r="W281">
        <f t="shared" si="34"/>
        <v>-1.6667930033053332E-2</v>
      </c>
    </row>
    <row r="282" spans="1:23">
      <c r="A282" s="1">
        <v>44267</v>
      </c>
      <c r="B282">
        <v>88.339995999999999</v>
      </c>
      <c r="C282">
        <v>280</v>
      </c>
      <c r="D282">
        <f t="shared" si="28"/>
        <v>144.22445490236123</v>
      </c>
      <c r="E282">
        <v>23.530000999999999</v>
      </c>
      <c r="F282">
        <v>280</v>
      </c>
      <c r="G282">
        <f t="shared" si="29"/>
        <v>29.655368491960012</v>
      </c>
      <c r="H282">
        <v>1140.630005</v>
      </c>
      <c r="I282">
        <v>280</v>
      </c>
      <c r="J282">
        <f t="shared" si="30"/>
        <v>1204.3001453923882</v>
      </c>
      <c r="K282">
        <f t="shared" si="31"/>
        <v>18.675367187788652</v>
      </c>
      <c r="L282">
        <v>18.675367187788652</v>
      </c>
      <c r="Q282" s="1">
        <v>44540</v>
      </c>
      <c r="R282">
        <v>109.07</v>
      </c>
      <c r="S282">
        <f t="shared" si="32"/>
        <v>6.1807932438967348E-3</v>
      </c>
      <c r="T282">
        <v>24.620000999999998</v>
      </c>
      <c r="U282">
        <f t="shared" si="33"/>
        <v>6.1300370302425052E-3</v>
      </c>
      <c r="V282">
        <v>1461.579956</v>
      </c>
      <c r="W282">
        <f t="shared" si="34"/>
        <v>-2.2321814170219011E-2</v>
      </c>
    </row>
    <row r="283" spans="1:23">
      <c r="A283" s="1">
        <v>44270</v>
      </c>
      <c r="B283">
        <v>87.989998</v>
      </c>
      <c r="C283">
        <v>281</v>
      </c>
      <c r="D283">
        <f t="shared" si="28"/>
        <v>142.43344219757492</v>
      </c>
      <c r="E283">
        <v>23.290001</v>
      </c>
      <c r="F283">
        <v>281</v>
      </c>
      <c r="G283">
        <f t="shared" si="29"/>
        <v>28.704207407386004</v>
      </c>
      <c r="H283">
        <v>1159</v>
      </c>
      <c r="I283">
        <v>281</v>
      </c>
      <c r="J283">
        <f t="shared" si="30"/>
        <v>1225.4227872955175</v>
      </c>
      <c r="K283">
        <f t="shared" si="31"/>
        <v>28.743107677573789</v>
      </c>
      <c r="L283">
        <v>18.739930713793001</v>
      </c>
      <c r="Q283" s="1">
        <v>44543</v>
      </c>
      <c r="R283">
        <v>107.879997</v>
      </c>
      <c r="S283">
        <f t="shared" si="32"/>
        <v>-1.0910452003300543E-2</v>
      </c>
      <c r="T283">
        <v>23.82</v>
      </c>
      <c r="U283">
        <f t="shared" si="33"/>
        <v>-3.2493946689928985E-2</v>
      </c>
      <c r="V283">
        <v>1397.150024</v>
      </c>
      <c r="W283">
        <f t="shared" si="34"/>
        <v>-4.4082386143505653E-2</v>
      </c>
    </row>
    <row r="284" spans="1:23">
      <c r="A284" s="1">
        <v>44271</v>
      </c>
      <c r="B284">
        <v>88.120002999999997</v>
      </c>
      <c r="C284">
        <v>282</v>
      </c>
      <c r="D284">
        <f t="shared" si="28"/>
        <v>143.21128213913585</v>
      </c>
      <c r="E284">
        <v>22.76</v>
      </c>
      <c r="F284">
        <v>282</v>
      </c>
      <c r="G284">
        <f t="shared" si="29"/>
        <v>28.340058894802112</v>
      </c>
      <c r="H284">
        <v>1143.170044</v>
      </c>
      <c r="I284">
        <v>282</v>
      </c>
      <c r="J284">
        <f t="shared" si="30"/>
        <v>1189.528104455565</v>
      </c>
      <c r="K284">
        <f t="shared" si="31"/>
        <v>-40.730086275480062</v>
      </c>
      <c r="L284">
        <v>19.306869198150707</v>
      </c>
      <c r="Q284" s="1">
        <v>44544</v>
      </c>
      <c r="R284">
        <v>107.82</v>
      </c>
      <c r="S284">
        <f t="shared" si="32"/>
        <v>-5.5614573292961671E-4</v>
      </c>
      <c r="T284">
        <v>23.469999000000001</v>
      </c>
      <c r="U284">
        <f t="shared" si="33"/>
        <v>-1.4693576826196427E-2</v>
      </c>
      <c r="V284">
        <v>1354.280029</v>
      </c>
      <c r="W284">
        <f t="shared" si="34"/>
        <v>-3.0683888103343736E-2</v>
      </c>
    </row>
    <row r="285" spans="1:23">
      <c r="A285" s="1">
        <v>44272</v>
      </c>
      <c r="B285">
        <v>89.209998999999996</v>
      </c>
      <c r="C285">
        <v>283</v>
      </c>
      <c r="D285">
        <f t="shared" si="28"/>
        <v>144.76883139688499</v>
      </c>
      <c r="E285">
        <v>23.27</v>
      </c>
      <c r="F285">
        <v>283</v>
      </c>
      <c r="G285">
        <f t="shared" si="29"/>
        <v>29.649824253075572</v>
      </c>
      <c r="H285">
        <v>1169.170044</v>
      </c>
      <c r="I285">
        <v>283</v>
      </c>
      <c r="J285">
        <f t="shared" si="30"/>
        <v>1233.4289902579008</v>
      </c>
      <c r="K285">
        <f t="shared" si="31"/>
        <v>82.293658280785166</v>
      </c>
      <c r="L285">
        <v>19.375417685303546</v>
      </c>
      <c r="Q285" s="1">
        <v>44545</v>
      </c>
      <c r="R285">
        <v>108.989998</v>
      </c>
      <c r="S285">
        <f t="shared" si="32"/>
        <v>1.0851400482285353E-2</v>
      </c>
      <c r="T285">
        <v>23.51</v>
      </c>
      <c r="U285">
        <f t="shared" si="33"/>
        <v>1.7043460462013728E-3</v>
      </c>
      <c r="V285">
        <v>1368.079956</v>
      </c>
      <c r="W285">
        <f t="shared" si="34"/>
        <v>1.0189862291766856E-2</v>
      </c>
    </row>
    <row r="286" spans="1:23">
      <c r="A286" s="1">
        <v>44273</v>
      </c>
      <c r="B286">
        <v>89.360000999999997</v>
      </c>
      <c r="C286">
        <v>284</v>
      </c>
      <c r="D286">
        <f t="shared" si="28"/>
        <v>143.24044710503807</v>
      </c>
      <c r="E286">
        <v>21.700001</v>
      </c>
      <c r="F286">
        <v>284</v>
      </c>
      <c r="G286">
        <f t="shared" si="29"/>
        <v>27.043404770090245</v>
      </c>
      <c r="H286">
        <v>1117.099976</v>
      </c>
      <c r="I286">
        <v>284</v>
      </c>
      <c r="J286">
        <f t="shared" si="30"/>
        <v>1152.2896758856746</v>
      </c>
      <c r="K286">
        <f t="shared" si="31"/>
        <v>-134.36510562691637</v>
      </c>
      <c r="L286">
        <v>19.706931596224422</v>
      </c>
      <c r="Q286" s="1">
        <v>44546</v>
      </c>
      <c r="R286">
        <v>106.970001</v>
      </c>
      <c r="S286">
        <f t="shared" si="32"/>
        <v>-1.8533783255964494E-2</v>
      </c>
      <c r="T286">
        <v>23.690000999999999</v>
      </c>
      <c r="U286">
        <f t="shared" si="33"/>
        <v>7.6563589961717218E-3</v>
      </c>
      <c r="V286">
        <v>1326.880005</v>
      </c>
      <c r="W286">
        <f t="shared" si="34"/>
        <v>-3.0115163093581684E-2</v>
      </c>
    </row>
    <row r="287" spans="1:23">
      <c r="A287" s="1">
        <v>44274</v>
      </c>
      <c r="B287">
        <v>89.199996999999996</v>
      </c>
      <c r="C287">
        <v>285</v>
      </c>
      <c r="D287">
        <f t="shared" si="28"/>
        <v>142.74395062954397</v>
      </c>
      <c r="E287">
        <v>22.02</v>
      </c>
      <c r="F287">
        <v>285</v>
      </c>
      <c r="G287">
        <f t="shared" si="29"/>
        <v>29.427648413472426</v>
      </c>
      <c r="H287">
        <v>1120.9499510000001</v>
      </c>
      <c r="I287">
        <v>285</v>
      </c>
      <c r="J287">
        <f t="shared" si="30"/>
        <v>1210.1563601734426</v>
      </c>
      <c r="K287">
        <f t="shared" si="31"/>
        <v>12.166952844410844</v>
      </c>
      <c r="L287">
        <v>20.288593162436882</v>
      </c>
      <c r="Q287" s="1">
        <v>44547</v>
      </c>
      <c r="R287">
        <v>103.970001</v>
      </c>
      <c r="S287">
        <f t="shared" si="32"/>
        <v>-2.8045246068568327E-2</v>
      </c>
      <c r="T287">
        <v>23.18</v>
      </c>
      <c r="U287">
        <f t="shared" si="33"/>
        <v>-2.1528112219159429E-2</v>
      </c>
      <c r="V287">
        <v>1323.400024</v>
      </c>
      <c r="W287">
        <f t="shared" si="34"/>
        <v>-2.6226795089884201E-3</v>
      </c>
    </row>
    <row r="288" spans="1:23">
      <c r="A288" s="1">
        <v>44277</v>
      </c>
      <c r="B288">
        <v>88.370002999999997</v>
      </c>
      <c r="C288">
        <v>286</v>
      </c>
      <c r="D288">
        <f t="shared" si="28"/>
        <v>141.66940419291717</v>
      </c>
      <c r="E288">
        <v>21.540001</v>
      </c>
      <c r="F288">
        <v>286</v>
      </c>
      <c r="G288">
        <f t="shared" si="29"/>
        <v>28.367848728428701</v>
      </c>
      <c r="H288">
        <v>1160</v>
      </c>
      <c r="I288">
        <v>286</v>
      </c>
      <c r="J288">
        <f t="shared" si="30"/>
        <v>1248.012900800778</v>
      </c>
      <c r="K288">
        <f t="shared" si="31"/>
        <v>61.237574457158189</v>
      </c>
      <c r="L288">
        <v>20.314726400805739</v>
      </c>
      <c r="Q288" s="1">
        <v>44550</v>
      </c>
      <c r="R288">
        <v>101.650002</v>
      </c>
      <c r="S288">
        <f t="shared" si="32"/>
        <v>-2.2314119242915039E-2</v>
      </c>
      <c r="T288">
        <v>23.1</v>
      </c>
      <c r="U288">
        <f t="shared" si="33"/>
        <v>-3.4512510785158885E-3</v>
      </c>
      <c r="V288">
        <v>1282.170044</v>
      </c>
      <c r="W288">
        <f t="shared" si="34"/>
        <v>-3.1154586105705002E-2</v>
      </c>
    </row>
    <row r="289" spans="1:23">
      <c r="A289" s="1">
        <v>44278</v>
      </c>
      <c r="B289">
        <v>87.099997999999999</v>
      </c>
      <c r="C289">
        <v>287</v>
      </c>
      <c r="D289">
        <f t="shared" si="28"/>
        <v>140.94488277883164</v>
      </c>
      <c r="E289">
        <v>20.370000999999998</v>
      </c>
      <c r="F289">
        <v>287</v>
      </c>
      <c r="G289">
        <f t="shared" si="29"/>
        <v>27.424791159480446</v>
      </c>
      <c r="H289">
        <v>1162</v>
      </c>
      <c r="I289">
        <v>287</v>
      </c>
      <c r="J289">
        <f t="shared" si="30"/>
        <v>1208.0793103448275</v>
      </c>
      <c r="K289">
        <f t="shared" si="31"/>
        <v>-40.020684129822257</v>
      </c>
      <c r="L289">
        <v>20.518099249964507</v>
      </c>
      <c r="Q289" s="1">
        <v>44551</v>
      </c>
      <c r="R289">
        <v>103.129997</v>
      </c>
      <c r="S289">
        <f t="shared" si="32"/>
        <v>1.4559714420861521E-2</v>
      </c>
      <c r="T289">
        <v>23.969999000000001</v>
      </c>
      <c r="U289">
        <f t="shared" si="33"/>
        <v>3.7662294372294368E-2</v>
      </c>
      <c r="V289">
        <v>1370.1099850000001</v>
      </c>
      <c r="W289">
        <f t="shared" si="34"/>
        <v>6.8586800488375857E-2</v>
      </c>
    </row>
    <row r="290" spans="1:23">
      <c r="A290" s="1">
        <v>44279</v>
      </c>
      <c r="B290">
        <v>87.849997999999999</v>
      </c>
      <c r="C290">
        <v>288</v>
      </c>
      <c r="D290">
        <f t="shared" si="28"/>
        <v>144.23134331185634</v>
      </c>
      <c r="E290">
        <v>21.110001</v>
      </c>
      <c r="F290">
        <v>288</v>
      </c>
      <c r="G290">
        <f t="shared" si="29"/>
        <v>30.053510012100638</v>
      </c>
      <c r="H290">
        <v>1106.01001</v>
      </c>
      <c r="I290">
        <v>288</v>
      </c>
      <c r="J290">
        <f t="shared" si="30"/>
        <v>1147.8899071084336</v>
      </c>
      <c r="K290">
        <f t="shared" si="31"/>
        <v>-88.10410248306016</v>
      </c>
      <c r="L290">
        <v>21.171579373102759</v>
      </c>
      <c r="Q290" s="1">
        <v>44552</v>
      </c>
      <c r="R290">
        <v>105.5</v>
      </c>
      <c r="S290">
        <f t="shared" si="32"/>
        <v>2.2980733723865006E-2</v>
      </c>
      <c r="T290">
        <v>24.4</v>
      </c>
      <c r="U290">
        <f t="shared" si="33"/>
        <v>1.7939132997043396E-2</v>
      </c>
      <c r="V290">
        <v>1385.630005</v>
      </c>
      <c r="W290">
        <f t="shared" si="34"/>
        <v>1.1327572362739865E-2</v>
      </c>
    </row>
    <row r="291" spans="1:23">
      <c r="A291" s="1">
        <v>44280</v>
      </c>
      <c r="B291">
        <v>88.949996999999996</v>
      </c>
      <c r="C291">
        <v>289</v>
      </c>
      <c r="D291">
        <f t="shared" si="28"/>
        <v>144.79055049039385</v>
      </c>
      <c r="E291">
        <v>21.040001</v>
      </c>
      <c r="F291">
        <v>289</v>
      </c>
      <c r="G291">
        <f t="shared" si="29"/>
        <v>28.903837048610278</v>
      </c>
      <c r="H291">
        <v>1061.6800539999999</v>
      </c>
      <c r="I291">
        <v>289</v>
      </c>
      <c r="J291">
        <f t="shared" si="30"/>
        <v>1157.6623480324558</v>
      </c>
      <c r="K291">
        <f t="shared" si="31"/>
        <v>-80.212243301995841</v>
      </c>
      <c r="L291">
        <v>21.229766885557183</v>
      </c>
      <c r="Q291" s="1">
        <v>44553</v>
      </c>
      <c r="R291">
        <v>105.910004</v>
      </c>
      <c r="S291">
        <f t="shared" si="32"/>
        <v>3.8862938388625661E-3</v>
      </c>
      <c r="T291">
        <v>24.51</v>
      </c>
      <c r="U291">
        <f t="shared" si="33"/>
        <v>4.508196721311598E-3</v>
      </c>
      <c r="V291">
        <v>1439.329956</v>
      </c>
      <c r="W291">
        <f t="shared" si="34"/>
        <v>3.8754899075673567E-2</v>
      </c>
    </row>
    <row r="292" spans="1:23">
      <c r="A292" s="1">
        <v>44281</v>
      </c>
      <c r="B292">
        <v>89.940002000000007</v>
      </c>
      <c r="C292">
        <v>290</v>
      </c>
      <c r="D292">
        <f t="shared" si="28"/>
        <v>144.59157638869848</v>
      </c>
      <c r="E292">
        <v>21.290001</v>
      </c>
      <c r="F292">
        <v>290</v>
      </c>
      <c r="G292">
        <f t="shared" si="29"/>
        <v>29.344581732671973</v>
      </c>
      <c r="H292">
        <v>1065.209961</v>
      </c>
      <c r="I292">
        <v>290</v>
      </c>
      <c r="J292">
        <f t="shared" si="30"/>
        <v>1210.009746463599</v>
      </c>
      <c r="K292">
        <f t="shared" si="31"/>
        <v>29.103982804262159</v>
      </c>
      <c r="L292">
        <v>21.546033993330639</v>
      </c>
      <c r="Q292" s="1">
        <v>44557</v>
      </c>
      <c r="R292">
        <v>107.660004</v>
      </c>
      <c r="S292">
        <f t="shared" si="32"/>
        <v>1.6523462693854681E-2</v>
      </c>
      <c r="T292">
        <v>25.01</v>
      </c>
      <c r="U292">
        <f t="shared" si="33"/>
        <v>2.0399836801305589E-2</v>
      </c>
      <c r="V292">
        <v>1400.589966</v>
      </c>
      <c r="W292">
        <f t="shared" si="34"/>
        <v>-2.6915294744271991E-2</v>
      </c>
    </row>
    <row r="293" spans="1:23">
      <c r="A293" s="1">
        <v>44284</v>
      </c>
      <c r="B293">
        <v>89.300003000000004</v>
      </c>
      <c r="C293">
        <v>291</v>
      </c>
      <c r="D293">
        <f t="shared" si="28"/>
        <v>141.98243434550957</v>
      </c>
      <c r="E293">
        <v>21.040001</v>
      </c>
      <c r="F293">
        <v>291</v>
      </c>
      <c r="G293">
        <f t="shared" si="29"/>
        <v>28.659464553336566</v>
      </c>
      <c r="H293">
        <v>1039.910034</v>
      </c>
      <c r="I293">
        <v>291</v>
      </c>
      <c r="J293">
        <f t="shared" si="30"/>
        <v>1177.3561522337284</v>
      </c>
      <c r="K293">
        <f t="shared" si="31"/>
        <v>-72.571383777399205</v>
      </c>
      <c r="L293">
        <v>21.743935572612827</v>
      </c>
      <c r="Q293" s="1">
        <v>44558</v>
      </c>
      <c r="R293">
        <v>108.019997</v>
      </c>
      <c r="S293">
        <f t="shared" si="32"/>
        <v>3.3437951572062256E-3</v>
      </c>
      <c r="T293">
        <v>24.99</v>
      </c>
      <c r="U293">
        <f t="shared" si="33"/>
        <v>-7.9968012794894548E-4</v>
      </c>
      <c r="V293">
        <v>1375.619995</v>
      </c>
      <c r="W293">
        <f t="shared" si="34"/>
        <v>-1.782818069967523E-2</v>
      </c>
    </row>
    <row r="294" spans="1:23">
      <c r="A294" s="1">
        <v>44285</v>
      </c>
      <c r="B294">
        <v>89.660004000000001</v>
      </c>
      <c r="C294">
        <v>292</v>
      </c>
      <c r="D294">
        <f t="shared" si="28"/>
        <v>143.57648534457496</v>
      </c>
      <c r="E294">
        <v>21.08</v>
      </c>
      <c r="F294">
        <v>292</v>
      </c>
      <c r="G294">
        <f t="shared" si="29"/>
        <v>29.055131698900581</v>
      </c>
      <c r="H294">
        <v>1048.6800539999999</v>
      </c>
      <c r="I294">
        <v>292</v>
      </c>
      <c r="J294">
        <f t="shared" si="30"/>
        <v>1216.1707299422017</v>
      </c>
      <c r="K294">
        <f t="shared" si="31"/>
        <v>26.93328881366142</v>
      </c>
      <c r="L294">
        <v>23.158360212537445</v>
      </c>
      <c r="Q294" s="1">
        <v>44559</v>
      </c>
      <c r="R294">
        <v>107</v>
      </c>
      <c r="S294">
        <f t="shared" si="32"/>
        <v>-9.4426682866877287E-3</v>
      </c>
      <c r="T294">
        <v>24.719999000000001</v>
      </c>
      <c r="U294">
        <f t="shared" si="33"/>
        <v>-1.0804361744697762E-2</v>
      </c>
      <c r="V294">
        <v>1392.079956</v>
      </c>
      <c r="W294">
        <f t="shared" si="34"/>
        <v>1.1965485424628493E-2</v>
      </c>
    </row>
    <row r="295" spans="1:23">
      <c r="A295" s="1">
        <v>44286</v>
      </c>
      <c r="B295">
        <v>89.120002999999997</v>
      </c>
      <c r="C295">
        <v>293</v>
      </c>
      <c r="D295">
        <f t="shared" si="28"/>
        <v>142.13874481870423</v>
      </c>
      <c r="E295">
        <v>20.9</v>
      </c>
      <c r="F295">
        <v>293</v>
      </c>
      <c r="G295">
        <f t="shared" si="29"/>
        <v>28.752371916508537</v>
      </c>
      <c r="H295">
        <v>1106.5</v>
      </c>
      <c r="I295">
        <v>293</v>
      </c>
      <c r="J295">
        <f t="shared" si="30"/>
        <v>1272.4939269227295</v>
      </c>
      <c r="K295">
        <f t="shared" si="31"/>
        <v>120.66088078012945</v>
      </c>
      <c r="L295">
        <v>23.2860542449489</v>
      </c>
      <c r="Q295" s="1">
        <v>44560</v>
      </c>
      <c r="R295">
        <v>107.129997</v>
      </c>
      <c r="S295">
        <f t="shared" si="32"/>
        <v>1.2149252336448881E-3</v>
      </c>
      <c r="T295">
        <v>24.700001</v>
      </c>
      <c r="U295">
        <f t="shared" si="33"/>
        <v>-8.0898061525006817E-4</v>
      </c>
      <c r="V295">
        <v>1398.23999</v>
      </c>
      <c r="W295">
        <f t="shared" si="34"/>
        <v>4.4250576078260807E-3</v>
      </c>
    </row>
    <row r="296" spans="1:23">
      <c r="A296" s="1">
        <v>44287</v>
      </c>
      <c r="B296">
        <v>90.050003000000004</v>
      </c>
      <c r="C296">
        <v>294</v>
      </c>
      <c r="D296">
        <f t="shared" si="28"/>
        <v>144.49225757992852</v>
      </c>
      <c r="E296">
        <v>21.530000999999999</v>
      </c>
      <c r="F296">
        <v>294</v>
      </c>
      <c r="G296">
        <f t="shared" si="29"/>
        <v>29.874164066985646</v>
      </c>
      <c r="H296">
        <v>1155.410034</v>
      </c>
      <c r="I296">
        <v>294</v>
      </c>
      <c r="J296">
        <f t="shared" si="30"/>
        <v>1259.3081798499775</v>
      </c>
      <c r="K296">
        <f t="shared" si="31"/>
        <v>134.65139650402489</v>
      </c>
      <c r="L296">
        <v>23.91802291602653</v>
      </c>
      <c r="Q296" s="1">
        <v>44561</v>
      </c>
      <c r="R296">
        <v>107.720001</v>
      </c>
      <c r="S296">
        <f t="shared" si="32"/>
        <v>5.5073650380107197E-3</v>
      </c>
      <c r="T296">
        <v>25.030000999999999</v>
      </c>
      <c r="U296">
        <f t="shared" si="33"/>
        <v>1.3360323345735827E-2</v>
      </c>
      <c r="V296">
        <v>1377.3900149999999</v>
      </c>
      <c r="W296">
        <f t="shared" si="34"/>
        <v>-1.4911585385281454E-2</v>
      </c>
    </row>
    <row r="297" spans="1:23">
      <c r="A297" s="1">
        <v>44291</v>
      </c>
      <c r="B297">
        <v>90.75</v>
      </c>
      <c r="C297">
        <v>295</v>
      </c>
      <c r="D297">
        <f t="shared" si="28"/>
        <v>144.11159986302278</v>
      </c>
      <c r="E297">
        <v>21.15</v>
      </c>
      <c r="F297">
        <v>295</v>
      </c>
      <c r="G297">
        <f t="shared" si="29"/>
        <v>28.488154738125647</v>
      </c>
      <c r="H297">
        <v>1145.9499510000001</v>
      </c>
      <c r="I297">
        <v>295</v>
      </c>
      <c r="J297">
        <f t="shared" si="30"/>
        <v>1196.1257045011953</v>
      </c>
      <c r="K297">
        <f t="shared" si="31"/>
        <v>-16.310271295496932</v>
      </c>
      <c r="L297">
        <v>24.530886969991116</v>
      </c>
      <c r="Q297" s="1">
        <v>44564</v>
      </c>
      <c r="R297">
        <v>108.889999</v>
      </c>
      <c r="S297">
        <f t="shared" si="32"/>
        <v>1.0861474091519984E-2</v>
      </c>
      <c r="T297">
        <v>25.700001</v>
      </c>
      <c r="U297">
        <f t="shared" si="33"/>
        <v>2.6767877476313394E-2</v>
      </c>
      <c r="V297">
        <v>1363.1400149999999</v>
      </c>
      <c r="W297">
        <f t="shared" si="34"/>
        <v>-1.0345653623748681E-2</v>
      </c>
    </row>
    <row r="298" spans="1:23">
      <c r="A298" s="1">
        <v>44292</v>
      </c>
      <c r="B298">
        <v>89.93</v>
      </c>
      <c r="C298">
        <v>296</v>
      </c>
      <c r="D298">
        <f t="shared" si="28"/>
        <v>141.7078787878788</v>
      </c>
      <c r="E298">
        <v>21.139999</v>
      </c>
      <c r="F298">
        <v>296</v>
      </c>
      <c r="G298">
        <f t="shared" si="29"/>
        <v>28.986287044917262</v>
      </c>
      <c r="H298">
        <v>1156.1400149999999</v>
      </c>
      <c r="I298">
        <v>296</v>
      </c>
      <c r="J298">
        <f t="shared" si="30"/>
        <v>1216.7240435529282</v>
      </c>
      <c r="K298">
        <f t="shared" si="31"/>
        <v>8.3211806584031365</v>
      </c>
      <c r="L298">
        <v>25.571680210827253</v>
      </c>
      <c r="Q298" s="1">
        <v>44565</v>
      </c>
      <c r="R298">
        <v>110.879997</v>
      </c>
      <c r="S298">
        <f t="shared" si="32"/>
        <v>1.8275305521859724E-2</v>
      </c>
      <c r="T298">
        <v>26.08</v>
      </c>
      <c r="U298">
        <f t="shared" si="33"/>
        <v>1.4785952732064017E-2</v>
      </c>
      <c r="V298">
        <v>1221.8599850000001</v>
      </c>
      <c r="W298">
        <f t="shared" si="34"/>
        <v>-0.10364308027447929</v>
      </c>
    </row>
    <row r="299" spans="1:23">
      <c r="A299" s="1">
        <v>44293</v>
      </c>
      <c r="B299">
        <v>90.260002</v>
      </c>
      <c r="C299">
        <v>297</v>
      </c>
      <c r="D299">
        <f t="shared" si="28"/>
        <v>143.52474464583565</v>
      </c>
      <c r="E299">
        <v>21.02</v>
      </c>
      <c r="F299">
        <v>297</v>
      </c>
      <c r="G299">
        <f t="shared" si="29"/>
        <v>28.835384523906555</v>
      </c>
      <c r="H299">
        <v>1159.469971</v>
      </c>
      <c r="I299">
        <v>297</v>
      </c>
      <c r="J299">
        <f t="shared" si="30"/>
        <v>1209.4735645197784</v>
      </c>
      <c r="K299">
        <f t="shared" si="31"/>
        <v>9.7253433565110754</v>
      </c>
      <c r="L299">
        <v>26.162302042912415</v>
      </c>
      <c r="Q299" s="1">
        <v>44566</v>
      </c>
      <c r="R299">
        <v>109.629997</v>
      </c>
      <c r="S299">
        <f t="shared" si="32"/>
        <v>-1.1273449078466335E-2</v>
      </c>
      <c r="T299">
        <v>26.16</v>
      </c>
      <c r="U299">
        <f t="shared" si="33"/>
        <v>3.0674846625767583E-3</v>
      </c>
      <c r="V299">
        <v>1190.01001</v>
      </c>
      <c r="W299">
        <f t="shared" si="34"/>
        <v>-2.6066796024914494E-2</v>
      </c>
    </row>
    <row r="300" spans="1:23">
      <c r="A300" s="1">
        <v>44294</v>
      </c>
      <c r="B300">
        <v>91.029999000000004</v>
      </c>
      <c r="C300">
        <v>298</v>
      </c>
      <c r="D300">
        <f t="shared" si="28"/>
        <v>144.21991545047828</v>
      </c>
      <c r="E300">
        <v>21.030000999999999</v>
      </c>
      <c r="F300">
        <v>298</v>
      </c>
      <c r="G300">
        <f t="shared" si="29"/>
        <v>29.013797764034251</v>
      </c>
      <c r="H300">
        <v>1222.6899410000001</v>
      </c>
      <c r="I300">
        <v>298</v>
      </c>
      <c r="J300">
        <f t="shared" si="30"/>
        <v>1271.7570146074961</v>
      </c>
      <c r="K300">
        <f t="shared" si="31"/>
        <v>143.92015018028906</v>
      </c>
      <c r="L300">
        <v>26.93328881366142</v>
      </c>
      <c r="Q300" s="1">
        <v>44567</v>
      </c>
      <c r="R300">
        <v>111.379997</v>
      </c>
      <c r="S300">
        <f t="shared" si="32"/>
        <v>1.596278434633178E-2</v>
      </c>
      <c r="T300">
        <v>26.58</v>
      </c>
      <c r="U300">
        <f t="shared" si="33"/>
        <v>1.6055045871559561E-2</v>
      </c>
      <c r="V300">
        <v>1168.9300539999999</v>
      </c>
      <c r="W300">
        <f t="shared" si="34"/>
        <v>-1.7714099732656904E-2</v>
      </c>
    </row>
    <row r="301" spans="1:23">
      <c r="A301" s="1">
        <v>44295</v>
      </c>
      <c r="B301">
        <v>91.669998000000007</v>
      </c>
      <c r="C301">
        <v>299</v>
      </c>
      <c r="D301">
        <f t="shared" si="28"/>
        <v>144.00538128095553</v>
      </c>
      <c r="E301">
        <v>20.870000999999998</v>
      </c>
      <c r="F301">
        <v>299</v>
      </c>
      <c r="G301">
        <f t="shared" si="29"/>
        <v>28.779362825517698</v>
      </c>
      <c r="H301">
        <v>1227.3000489999999</v>
      </c>
      <c r="I301">
        <v>299</v>
      </c>
      <c r="J301">
        <f t="shared" si="30"/>
        <v>1210.5471791838352</v>
      </c>
      <c r="K301">
        <f t="shared" si="31"/>
        <v>15.838613559991245</v>
      </c>
      <c r="L301">
        <v>27.019213577583287</v>
      </c>
      <c r="Q301" s="1">
        <v>44568</v>
      </c>
      <c r="R301">
        <v>113.18</v>
      </c>
      <c r="S301">
        <f t="shared" si="32"/>
        <v>1.6160918014749129E-2</v>
      </c>
      <c r="T301">
        <v>26.559999000000001</v>
      </c>
      <c r="U301">
        <f t="shared" si="33"/>
        <v>-7.5248306997731569E-4</v>
      </c>
      <c r="V301">
        <v>1144.4799800000001</v>
      </c>
      <c r="W301">
        <f t="shared" si="34"/>
        <v>-2.0916627061074656E-2</v>
      </c>
    </row>
    <row r="302" spans="1:23">
      <c r="A302" s="1">
        <v>44298</v>
      </c>
      <c r="B302">
        <v>92.089995999999999</v>
      </c>
      <c r="C302">
        <v>300</v>
      </c>
      <c r="D302">
        <f t="shared" si="28"/>
        <v>143.6551730698194</v>
      </c>
      <c r="E302">
        <v>20.76</v>
      </c>
      <c r="F302">
        <v>300</v>
      </c>
      <c r="G302">
        <f t="shared" si="29"/>
        <v>28.847147635498441</v>
      </c>
      <c r="H302">
        <v>1202</v>
      </c>
      <c r="I302">
        <v>300</v>
      </c>
      <c r="J302">
        <f t="shared" si="30"/>
        <v>1181.1390386410717</v>
      </c>
      <c r="K302">
        <f t="shared" si="31"/>
        <v>-45.462977487186436</v>
      </c>
      <c r="L302">
        <v>28.043683525355846</v>
      </c>
      <c r="Q302" s="1">
        <v>44571</v>
      </c>
      <c r="R302">
        <v>112.860001</v>
      </c>
      <c r="S302">
        <f t="shared" si="32"/>
        <v>-2.8273458208164862E-3</v>
      </c>
      <c r="T302">
        <v>26.610001</v>
      </c>
      <c r="U302">
        <f t="shared" si="33"/>
        <v>1.8826054925679481E-3</v>
      </c>
      <c r="V302">
        <v>1131.170044</v>
      </c>
      <c r="W302">
        <f t="shared" si="34"/>
        <v>-1.1629680057837365E-2</v>
      </c>
    </row>
    <row r="303" spans="1:23">
      <c r="A303" s="1">
        <v>44299</v>
      </c>
      <c r="B303">
        <v>90.839995999999999</v>
      </c>
      <c r="C303">
        <v>301</v>
      </c>
      <c r="D303">
        <f t="shared" si="28"/>
        <v>141.05896397259048</v>
      </c>
      <c r="E303">
        <v>20.610001</v>
      </c>
      <c r="F303">
        <v>301</v>
      </c>
      <c r="G303">
        <f t="shared" si="29"/>
        <v>28.790463824662812</v>
      </c>
      <c r="H303">
        <v>1241.540039</v>
      </c>
      <c r="I303">
        <v>301</v>
      </c>
      <c r="J303">
        <f t="shared" si="30"/>
        <v>1245.671619828619</v>
      </c>
      <c r="K303">
        <f t="shared" si="31"/>
        <v>56.789836753085183</v>
      </c>
      <c r="L303">
        <v>28.309361813831856</v>
      </c>
      <c r="Q303" s="1">
        <v>44572</v>
      </c>
      <c r="R303">
        <v>115.300003</v>
      </c>
      <c r="S303">
        <f t="shared" si="32"/>
        <v>2.1619723359740241E-2</v>
      </c>
      <c r="T303">
        <v>27.98</v>
      </c>
      <c r="U303">
        <f t="shared" si="33"/>
        <v>5.1484364844631154E-2</v>
      </c>
      <c r="V303">
        <v>1157.3100589999999</v>
      </c>
      <c r="W303">
        <f t="shared" si="34"/>
        <v>2.3108828896816109E-2</v>
      </c>
    </row>
    <row r="304" spans="1:23">
      <c r="A304" s="1">
        <v>44300</v>
      </c>
      <c r="B304">
        <v>91.349997999999999</v>
      </c>
      <c r="C304">
        <v>302</v>
      </c>
      <c r="D304">
        <f t="shared" si="28"/>
        <v>143.80284334226525</v>
      </c>
      <c r="E304">
        <v>21.43</v>
      </c>
      <c r="F304">
        <v>302</v>
      </c>
      <c r="G304">
        <f t="shared" si="29"/>
        <v>30.153807367597896</v>
      </c>
      <c r="H304">
        <v>1179.8599850000001</v>
      </c>
      <c r="I304">
        <v>302</v>
      </c>
      <c r="J304">
        <f t="shared" si="30"/>
        <v>1146.0855850094738</v>
      </c>
      <c r="K304">
        <f t="shared" si="31"/>
        <v>-94.493286044431443</v>
      </c>
      <c r="L304">
        <v>28.427705123183841</v>
      </c>
      <c r="Q304" s="1">
        <v>44573</v>
      </c>
      <c r="R304">
        <v>116.860001</v>
      </c>
      <c r="S304">
        <f t="shared" si="32"/>
        <v>1.352990424466852E-2</v>
      </c>
      <c r="T304">
        <v>28.18</v>
      </c>
      <c r="U304">
        <f t="shared" si="33"/>
        <v>7.1479628305932555E-3</v>
      </c>
      <c r="V304">
        <v>1168.76001</v>
      </c>
      <c r="W304">
        <f t="shared" si="34"/>
        <v>9.8935898041823348E-3</v>
      </c>
    </row>
    <row r="305" spans="1:23">
      <c r="A305" s="1">
        <v>44301</v>
      </c>
      <c r="B305">
        <v>91.529999000000004</v>
      </c>
      <c r="C305">
        <v>303</v>
      </c>
      <c r="D305">
        <f t="shared" si="28"/>
        <v>143.28177497059167</v>
      </c>
      <c r="E305">
        <v>21.1</v>
      </c>
      <c r="F305">
        <v>303</v>
      </c>
      <c r="G305">
        <f t="shared" si="29"/>
        <v>28.553429771348583</v>
      </c>
      <c r="H305">
        <v>1208.339966</v>
      </c>
      <c r="I305">
        <v>303</v>
      </c>
      <c r="J305">
        <f t="shared" si="30"/>
        <v>1235.1109602178769</v>
      </c>
      <c r="K305">
        <f t="shared" si="31"/>
        <v>54.341116711899303</v>
      </c>
      <c r="L305">
        <v>28.497935806810347</v>
      </c>
      <c r="Q305" s="1">
        <v>44574</v>
      </c>
      <c r="R305">
        <v>117.910004</v>
      </c>
      <c r="S305">
        <f t="shared" si="32"/>
        <v>8.9851359833550224E-3</v>
      </c>
      <c r="T305">
        <v>27.870000999999998</v>
      </c>
      <c r="U305">
        <f t="shared" si="33"/>
        <v>-1.1000674237047595E-2</v>
      </c>
      <c r="V305">
        <v>1064.3599850000001</v>
      </c>
      <c r="W305">
        <f t="shared" si="34"/>
        <v>-8.932545955264154E-2</v>
      </c>
    </row>
    <row r="306" spans="1:23">
      <c r="A306" s="1">
        <v>44302</v>
      </c>
      <c r="B306">
        <v>91.779999000000004</v>
      </c>
      <c r="C306">
        <v>304</v>
      </c>
      <c r="D306">
        <f t="shared" si="28"/>
        <v>143.39058232700296</v>
      </c>
      <c r="E306">
        <v>20.889999</v>
      </c>
      <c r="F306">
        <v>304</v>
      </c>
      <c r="G306">
        <f t="shared" si="29"/>
        <v>28.711373033175356</v>
      </c>
      <c r="H306">
        <v>1207.8000489999999</v>
      </c>
      <c r="I306">
        <v>304</v>
      </c>
      <c r="J306">
        <f t="shared" si="30"/>
        <v>1205.461128556266</v>
      </c>
      <c r="K306">
        <f t="shared" si="31"/>
        <v>-1.501324119808487</v>
      </c>
      <c r="L306">
        <v>28.543709351453799</v>
      </c>
      <c r="Q306" s="1">
        <v>44575</v>
      </c>
      <c r="R306">
        <v>118.029999</v>
      </c>
      <c r="S306">
        <f t="shared" si="32"/>
        <v>1.0176829440189227E-3</v>
      </c>
      <c r="T306">
        <v>28.23</v>
      </c>
      <c r="U306">
        <f t="shared" si="33"/>
        <v>1.2917078833258815E-2</v>
      </c>
      <c r="V306">
        <v>1102.910034</v>
      </c>
      <c r="W306">
        <f t="shared" si="34"/>
        <v>3.6218995023568026E-2</v>
      </c>
    </row>
    <row r="307" spans="1:23">
      <c r="A307" s="1">
        <v>44305</v>
      </c>
      <c r="B307">
        <v>90.970000999999996</v>
      </c>
      <c r="C307">
        <v>305</v>
      </c>
      <c r="D307">
        <f t="shared" si="28"/>
        <v>141.73796344233998</v>
      </c>
      <c r="E307">
        <v>20.889999</v>
      </c>
      <c r="F307">
        <v>305</v>
      </c>
      <c r="G307">
        <f t="shared" si="29"/>
        <v>29</v>
      </c>
      <c r="H307">
        <v>1145.780029</v>
      </c>
      <c r="I307">
        <v>305</v>
      </c>
      <c r="J307">
        <f t="shared" si="30"/>
        <v>1144.07241175232</v>
      </c>
      <c r="K307">
        <f t="shared" si="31"/>
        <v>-136.47554207196026</v>
      </c>
      <c r="L307">
        <v>28.743107677573789</v>
      </c>
      <c r="Q307" s="1">
        <v>44579</v>
      </c>
      <c r="R307">
        <v>118.540001</v>
      </c>
      <c r="S307">
        <f t="shared" si="32"/>
        <v>4.3209523368715787E-3</v>
      </c>
      <c r="T307">
        <v>28.6</v>
      </c>
      <c r="U307">
        <f t="shared" si="33"/>
        <v>1.3106624158696458E-2</v>
      </c>
      <c r="V307">
        <v>1054.660034</v>
      </c>
      <c r="W307">
        <f t="shared" si="34"/>
        <v>-4.3747901925425769E-2</v>
      </c>
    </row>
    <row r="308" spans="1:23">
      <c r="A308" s="1">
        <v>44306</v>
      </c>
      <c r="B308">
        <v>89.260002</v>
      </c>
      <c r="C308">
        <v>306</v>
      </c>
      <c r="D308">
        <f t="shared" si="28"/>
        <v>140.31197258093908</v>
      </c>
      <c r="E308">
        <v>20.030000999999999</v>
      </c>
      <c r="F308">
        <v>306</v>
      </c>
      <c r="G308">
        <f t="shared" si="29"/>
        <v>27.806130052950216</v>
      </c>
      <c r="H308">
        <v>1123.01001</v>
      </c>
      <c r="I308">
        <v>306</v>
      </c>
      <c r="J308">
        <f t="shared" si="30"/>
        <v>1182.0332330648432</v>
      </c>
      <c r="K308">
        <f t="shared" si="31"/>
        <v>-92.721857266669758</v>
      </c>
      <c r="L308">
        <v>29.103982804262159</v>
      </c>
      <c r="Q308" s="1">
        <v>44580</v>
      </c>
      <c r="R308">
        <v>117.209999</v>
      </c>
      <c r="S308">
        <f t="shared" si="32"/>
        <v>-1.1219858181037197E-2</v>
      </c>
      <c r="T308">
        <v>28.379999000000002</v>
      </c>
      <c r="U308">
        <f t="shared" si="33"/>
        <v>-7.692342657342653E-3</v>
      </c>
      <c r="V308">
        <v>1030.9499510000001</v>
      </c>
      <c r="W308">
        <f t="shared" si="34"/>
        <v>-2.2481256742113299E-2</v>
      </c>
    </row>
    <row r="309" spans="1:23">
      <c r="A309" s="1">
        <v>44307</v>
      </c>
      <c r="B309">
        <v>91.120002999999997</v>
      </c>
      <c r="C309">
        <v>307</v>
      </c>
      <c r="D309">
        <f t="shared" si="28"/>
        <v>145.9798357275412</v>
      </c>
      <c r="E309">
        <v>20.379999000000002</v>
      </c>
      <c r="F309">
        <v>307</v>
      </c>
      <c r="G309">
        <f t="shared" si="29"/>
        <v>29.506736969209342</v>
      </c>
      <c r="H309">
        <v>1142.0600589999999</v>
      </c>
      <c r="I309">
        <v>307</v>
      </c>
      <c r="J309">
        <f t="shared" si="30"/>
        <v>1226.4578399920049</v>
      </c>
      <c r="K309">
        <f t="shared" si="31"/>
        <v>78.315091797561763</v>
      </c>
      <c r="L309">
        <v>29.24568110722339</v>
      </c>
      <c r="Q309" s="1">
        <v>44581</v>
      </c>
      <c r="R309">
        <v>116.41999800000001</v>
      </c>
      <c r="S309">
        <f t="shared" si="32"/>
        <v>-6.7400478349973324E-3</v>
      </c>
      <c r="T309">
        <v>28.209999</v>
      </c>
      <c r="U309">
        <f t="shared" si="33"/>
        <v>-5.9901341081795558E-3</v>
      </c>
      <c r="V309">
        <v>1023.950012</v>
      </c>
      <c r="W309">
        <f t="shared" si="34"/>
        <v>-6.7897951721228025E-3</v>
      </c>
    </row>
    <row r="310" spans="1:23">
      <c r="A310" s="1">
        <v>44308</v>
      </c>
      <c r="B310">
        <v>91.089995999999999</v>
      </c>
      <c r="C310">
        <v>308</v>
      </c>
      <c r="D310">
        <f t="shared" si="28"/>
        <v>142.95290824342928</v>
      </c>
      <c r="E310">
        <v>20.079999999999998</v>
      </c>
      <c r="F310">
        <v>308</v>
      </c>
      <c r="G310">
        <f t="shared" si="29"/>
        <v>28.573112295049665</v>
      </c>
      <c r="H310">
        <v>1096.6400149999999</v>
      </c>
      <c r="I310">
        <v>308</v>
      </c>
      <c r="J310">
        <f t="shared" si="30"/>
        <v>1158.03704688529</v>
      </c>
      <c r="K310">
        <f t="shared" si="31"/>
        <v>-102.80013936938212</v>
      </c>
      <c r="L310">
        <v>29.605160963204071</v>
      </c>
      <c r="Q310" s="1">
        <v>44582</v>
      </c>
      <c r="R310">
        <v>114.010002</v>
      </c>
      <c r="S310">
        <f t="shared" si="32"/>
        <v>-2.0700876493744712E-2</v>
      </c>
      <c r="T310">
        <v>27.07</v>
      </c>
      <c r="U310">
        <f t="shared" si="33"/>
        <v>-4.0411167685613869E-2</v>
      </c>
      <c r="V310">
        <v>882.11999500000002</v>
      </c>
      <c r="W310">
        <f t="shared" si="34"/>
        <v>-0.13851263766575356</v>
      </c>
    </row>
    <row r="311" spans="1:23">
      <c r="A311" s="1">
        <v>44309</v>
      </c>
      <c r="B311">
        <v>92.959998999999996</v>
      </c>
      <c r="C311">
        <v>309</v>
      </c>
      <c r="D311">
        <f t="shared" si="28"/>
        <v>145.93567285917985</v>
      </c>
      <c r="E311">
        <v>20.370000999999998</v>
      </c>
      <c r="F311">
        <v>309</v>
      </c>
      <c r="G311">
        <f t="shared" si="29"/>
        <v>29.418826145418326</v>
      </c>
      <c r="H311">
        <v>1099.030029</v>
      </c>
      <c r="I311">
        <v>309</v>
      </c>
      <c r="J311">
        <f t="shared" si="30"/>
        <v>1208.6283528273407</v>
      </c>
      <c r="K311">
        <f t="shared" si="31"/>
        <v>40.8958264277544</v>
      </c>
      <c r="L311">
        <v>29.680145656504465</v>
      </c>
      <c r="Q311" s="1">
        <v>44585</v>
      </c>
      <c r="R311">
        <v>112.41999800000001</v>
      </c>
      <c r="S311">
        <f t="shared" si="32"/>
        <v>-1.3946179914986699E-2</v>
      </c>
      <c r="T311">
        <v>26.24</v>
      </c>
      <c r="U311">
        <f t="shared" si="33"/>
        <v>-3.066124861470269E-2</v>
      </c>
      <c r="V311">
        <v>938.48999000000003</v>
      </c>
      <c r="W311">
        <f t="shared" si="34"/>
        <v>6.3902865051823271E-2</v>
      </c>
    </row>
    <row r="312" spans="1:23">
      <c r="A312" s="1">
        <v>44312</v>
      </c>
      <c r="B312">
        <v>94.169998000000007</v>
      </c>
      <c r="C312">
        <v>310</v>
      </c>
      <c r="D312">
        <f t="shared" si="28"/>
        <v>144.86133669170974</v>
      </c>
      <c r="E312">
        <v>20.540001</v>
      </c>
      <c r="F312">
        <v>310</v>
      </c>
      <c r="G312">
        <f t="shared" si="29"/>
        <v>29.242022570347448</v>
      </c>
      <c r="H312">
        <v>1166</v>
      </c>
      <c r="I312">
        <v>310</v>
      </c>
      <c r="J312">
        <f t="shared" si="30"/>
        <v>1279.4882422634878</v>
      </c>
      <c r="K312">
        <f t="shared" si="31"/>
        <v>169.22018999928514</v>
      </c>
      <c r="L312">
        <v>29.914058302796548</v>
      </c>
      <c r="Q312" s="1">
        <v>44586</v>
      </c>
      <c r="R312">
        <v>114.300003</v>
      </c>
      <c r="S312">
        <f t="shared" si="32"/>
        <v>1.6723047797954922E-2</v>
      </c>
      <c r="T312">
        <v>27.610001</v>
      </c>
      <c r="U312">
        <f t="shared" si="33"/>
        <v>5.2210403963414712E-2</v>
      </c>
      <c r="V312">
        <v>892.39001499999995</v>
      </c>
      <c r="W312">
        <f t="shared" si="34"/>
        <v>-4.9121434955315915E-2</v>
      </c>
    </row>
    <row r="313" spans="1:23">
      <c r="A313" s="1">
        <v>44313</v>
      </c>
      <c r="B313">
        <v>94.230002999999996</v>
      </c>
      <c r="C313">
        <v>311</v>
      </c>
      <c r="D313">
        <f t="shared" si="28"/>
        <v>143.09111941363744</v>
      </c>
      <c r="E313">
        <v>20.860001</v>
      </c>
      <c r="F313">
        <v>311</v>
      </c>
      <c r="G313">
        <f t="shared" si="29"/>
        <v>29.451801341197598</v>
      </c>
      <c r="H313">
        <v>1156.8900149999999</v>
      </c>
      <c r="I313">
        <v>311</v>
      </c>
      <c r="J313">
        <f t="shared" si="30"/>
        <v>1196.5774940737565</v>
      </c>
      <c r="K313">
        <f t="shared" si="31"/>
        <v>-11.156797598148842</v>
      </c>
      <c r="L313">
        <v>30.529256039920256</v>
      </c>
      <c r="Q313" s="1">
        <v>44587</v>
      </c>
      <c r="R313">
        <v>115.379997</v>
      </c>
      <c r="S313">
        <f t="shared" si="32"/>
        <v>9.4487661562003555E-3</v>
      </c>
      <c r="T313">
        <v>27.889999</v>
      </c>
      <c r="U313">
        <f t="shared" si="33"/>
        <v>1.0141180364317954E-2</v>
      </c>
      <c r="V313">
        <v>868.919983</v>
      </c>
      <c r="W313">
        <f t="shared" si="34"/>
        <v>-2.6300195660526243E-2</v>
      </c>
    </row>
    <row r="314" spans="1:23">
      <c r="A314" s="1">
        <v>44314</v>
      </c>
      <c r="B314">
        <v>95.050003000000004</v>
      </c>
      <c r="C314">
        <v>312</v>
      </c>
      <c r="D314">
        <f t="shared" si="28"/>
        <v>144.24440195550034</v>
      </c>
      <c r="E314">
        <v>21.57</v>
      </c>
      <c r="F314">
        <v>312</v>
      </c>
      <c r="G314">
        <f t="shared" si="29"/>
        <v>29.98705513005488</v>
      </c>
      <c r="H314">
        <v>1288.8000489999999</v>
      </c>
      <c r="I314">
        <v>312</v>
      </c>
      <c r="J314">
        <f t="shared" si="30"/>
        <v>1343.5096153837926</v>
      </c>
      <c r="K314">
        <f t="shared" si="31"/>
        <v>302.26907727341131</v>
      </c>
      <c r="L314">
        <v>30.613308431640689</v>
      </c>
      <c r="Q314" s="1">
        <v>44588</v>
      </c>
      <c r="R314">
        <v>113.639999</v>
      </c>
      <c r="S314">
        <f t="shared" si="32"/>
        <v>-1.5080586282213197E-2</v>
      </c>
      <c r="T314">
        <v>28.450001</v>
      </c>
      <c r="U314">
        <f t="shared" si="33"/>
        <v>2.0078953749693602E-2</v>
      </c>
      <c r="V314">
        <v>815.76000999999997</v>
      </c>
      <c r="W314">
        <f t="shared" si="34"/>
        <v>-6.1179365235061046E-2</v>
      </c>
    </row>
    <row r="315" spans="1:23">
      <c r="A315" s="1">
        <v>44315</v>
      </c>
      <c r="B315">
        <v>95.580001999999993</v>
      </c>
      <c r="C315">
        <v>313</v>
      </c>
      <c r="D315">
        <f t="shared" si="28"/>
        <v>143.79736827572745</v>
      </c>
      <c r="E315">
        <v>21.76</v>
      </c>
      <c r="F315">
        <v>313</v>
      </c>
      <c r="G315">
        <f t="shared" si="29"/>
        <v>29.255447380621238</v>
      </c>
      <c r="H315">
        <v>1233.0699460000001</v>
      </c>
      <c r="I315">
        <v>313</v>
      </c>
      <c r="J315">
        <f t="shared" si="30"/>
        <v>1153.8503245944555</v>
      </c>
      <c r="K315">
        <f t="shared" si="31"/>
        <v>-92.493957344496266</v>
      </c>
      <c r="L315">
        <v>31.363413642676278</v>
      </c>
      <c r="Q315" s="1">
        <v>44589</v>
      </c>
      <c r="R315">
        <v>113.05999799999999</v>
      </c>
      <c r="S315">
        <f t="shared" si="32"/>
        <v>-5.1038455218572285E-3</v>
      </c>
      <c r="T315">
        <v>28.299999</v>
      </c>
      <c r="U315">
        <f t="shared" si="33"/>
        <v>-5.2724778463101151E-3</v>
      </c>
      <c r="V315">
        <v>872.22997999999995</v>
      </c>
      <c r="W315">
        <f t="shared" si="34"/>
        <v>6.9223753687067832E-2</v>
      </c>
    </row>
    <row r="316" spans="1:23">
      <c r="A316" s="1">
        <v>44316</v>
      </c>
      <c r="B316">
        <v>94.339995999999999</v>
      </c>
      <c r="C316">
        <v>314</v>
      </c>
      <c r="D316">
        <f t="shared" si="28"/>
        <v>141.14479122944567</v>
      </c>
      <c r="E316">
        <v>21.42</v>
      </c>
      <c r="F316">
        <v>314</v>
      </c>
      <c r="G316">
        <f t="shared" si="29"/>
        <v>28.546875</v>
      </c>
      <c r="H316">
        <v>1182.51001</v>
      </c>
      <c r="I316">
        <v>314</v>
      </c>
      <c r="J316">
        <f t="shared" si="30"/>
        <v>1156.5500210966943</v>
      </c>
      <c r="K316">
        <f t="shared" si="31"/>
        <v>-124.24892051215465</v>
      </c>
      <c r="L316">
        <v>31.435745101361135</v>
      </c>
      <c r="Q316" s="1">
        <v>44592</v>
      </c>
      <c r="R316">
        <v>143</v>
      </c>
      <c r="S316">
        <f t="shared" si="32"/>
        <v>0.26481516477649336</v>
      </c>
      <c r="T316">
        <v>29</v>
      </c>
      <c r="U316">
        <f t="shared" si="33"/>
        <v>2.4735018541873457E-2</v>
      </c>
      <c r="V316">
        <v>1209</v>
      </c>
      <c r="W316">
        <f t="shared" si="34"/>
        <v>0.38610232131667849</v>
      </c>
    </row>
    <row r="317" spans="1:23">
      <c r="A317" s="1">
        <v>44319</v>
      </c>
      <c r="B317">
        <v>94.32</v>
      </c>
      <c r="C317">
        <v>315</v>
      </c>
      <c r="D317">
        <f t="shared" si="28"/>
        <v>142.96969018315411</v>
      </c>
      <c r="E317">
        <v>21.940000999999999</v>
      </c>
      <c r="F317">
        <v>315</v>
      </c>
      <c r="G317">
        <f t="shared" si="29"/>
        <v>29.704016293183933</v>
      </c>
      <c r="H317">
        <v>1122.01001</v>
      </c>
      <c r="I317">
        <v>315</v>
      </c>
      <c r="J317">
        <f t="shared" si="30"/>
        <v>1144.2981967315438</v>
      </c>
      <c r="K317">
        <f t="shared" si="31"/>
        <v>-113.14646030761196</v>
      </c>
      <c r="L317">
        <v>32.189127408124477</v>
      </c>
    </row>
    <row r="318" spans="1:23">
      <c r="A318" s="1">
        <v>44320</v>
      </c>
      <c r="B318">
        <v>93.93</v>
      </c>
      <c r="C318">
        <v>316</v>
      </c>
      <c r="D318">
        <f t="shared" si="28"/>
        <v>142.40871501272267</v>
      </c>
      <c r="E318">
        <v>21.889999</v>
      </c>
      <c r="F318">
        <v>316</v>
      </c>
      <c r="G318">
        <f t="shared" si="29"/>
        <v>28.933908024890247</v>
      </c>
      <c r="H318">
        <v>1142.9399410000001</v>
      </c>
      <c r="I318">
        <v>316</v>
      </c>
      <c r="J318">
        <f t="shared" si="30"/>
        <v>1228.4966770002347</v>
      </c>
      <c r="K318">
        <f t="shared" si="31"/>
        <v>38.08912450104981</v>
      </c>
      <c r="L318">
        <v>32.324874432999422</v>
      </c>
    </row>
    <row r="319" spans="1:23">
      <c r="A319" s="1">
        <v>44321</v>
      </c>
      <c r="B319">
        <v>94.760002</v>
      </c>
      <c r="C319">
        <v>317</v>
      </c>
      <c r="D319">
        <f t="shared" si="28"/>
        <v>144.26360359842437</v>
      </c>
      <c r="E319">
        <v>22.75</v>
      </c>
      <c r="F319">
        <v>317</v>
      </c>
      <c r="G319">
        <f t="shared" si="29"/>
        <v>30.13933440563428</v>
      </c>
      <c r="H319">
        <v>1120.349976</v>
      </c>
      <c r="I319">
        <v>317</v>
      </c>
      <c r="J319">
        <f t="shared" si="30"/>
        <v>1182.1636663373897</v>
      </c>
      <c r="K319">
        <f t="shared" si="31"/>
        <v>-17.946615256462792</v>
      </c>
      <c r="L319">
        <v>32.791262091644967</v>
      </c>
    </row>
    <row r="320" spans="1:23">
      <c r="A320" s="1">
        <v>44322</v>
      </c>
      <c r="B320">
        <v>96.449996999999996</v>
      </c>
      <c r="C320">
        <v>318</v>
      </c>
      <c r="D320">
        <f t="shared" si="28"/>
        <v>145.55033009602511</v>
      </c>
      <c r="E320">
        <v>22.99</v>
      </c>
      <c r="F320">
        <v>318</v>
      </c>
      <c r="G320">
        <f t="shared" si="29"/>
        <v>29.305934065934064</v>
      </c>
      <c r="H320">
        <v>1090.9300539999999</v>
      </c>
      <c r="I320">
        <v>318</v>
      </c>
      <c r="J320">
        <f t="shared" si="30"/>
        <v>1174.3309441763222</v>
      </c>
      <c r="K320">
        <f t="shared" si="31"/>
        <v>-33.245799698093833</v>
      </c>
      <c r="L320">
        <v>32.832076802916163</v>
      </c>
    </row>
    <row r="321" spans="1:12">
      <c r="A321" s="1">
        <v>44323</v>
      </c>
      <c r="B321">
        <v>97.089995999999999</v>
      </c>
      <c r="C321">
        <v>319</v>
      </c>
      <c r="D321">
        <f t="shared" si="28"/>
        <v>143.94888397974756</v>
      </c>
      <c r="E321">
        <v>23.629999000000002</v>
      </c>
      <c r="F321">
        <v>319</v>
      </c>
      <c r="G321">
        <f t="shared" si="29"/>
        <v>29.807306263592871</v>
      </c>
      <c r="H321">
        <v>1108.599976</v>
      </c>
      <c r="I321">
        <v>319</v>
      </c>
      <c r="J321">
        <f t="shared" si="30"/>
        <v>1225.5337234077153</v>
      </c>
      <c r="K321">
        <f t="shared" si="31"/>
        <v>60.665880566799387</v>
      </c>
      <c r="L321">
        <v>33.161360900474392</v>
      </c>
    </row>
    <row r="322" spans="1:12">
      <c r="A322" s="1">
        <v>44326</v>
      </c>
      <c r="B322">
        <v>97.470000999999996</v>
      </c>
      <c r="C322">
        <v>320</v>
      </c>
      <c r="D322">
        <f t="shared" si="28"/>
        <v>143.55969427581397</v>
      </c>
      <c r="E322">
        <v>23.34</v>
      </c>
      <c r="F322">
        <v>320</v>
      </c>
      <c r="G322">
        <f t="shared" si="29"/>
        <v>28.644097699707899</v>
      </c>
      <c r="H322">
        <v>1080.23999</v>
      </c>
      <c r="I322">
        <v>320</v>
      </c>
      <c r="J322">
        <f t="shared" si="30"/>
        <v>1175.1483457906913</v>
      </c>
      <c r="K322">
        <f t="shared" si="31"/>
        <v>-61.444900164859064</v>
      </c>
      <c r="L322">
        <v>33.77218982325121</v>
      </c>
    </row>
    <row r="323" spans="1:12">
      <c r="A323" s="1">
        <v>44327</v>
      </c>
      <c r="B323">
        <v>96.800003000000004</v>
      </c>
      <c r="C323">
        <v>321</v>
      </c>
      <c r="D323">
        <f t="shared" si="28"/>
        <v>142.0170338256178</v>
      </c>
      <c r="E323">
        <v>22.889999</v>
      </c>
      <c r="F323">
        <v>321</v>
      </c>
      <c r="G323">
        <f t="shared" si="29"/>
        <v>28.440872793487575</v>
      </c>
      <c r="H323">
        <v>1110.1999510000001</v>
      </c>
      <c r="I323">
        <v>321</v>
      </c>
      <c r="J323">
        <f t="shared" si="30"/>
        <v>1239.4478572358721</v>
      </c>
      <c r="K323">
        <f t="shared" si="31"/>
        <v>48.679144630235896</v>
      </c>
      <c r="L323">
        <v>34.218778506160561</v>
      </c>
    </row>
    <row r="324" spans="1:12">
      <c r="A324" s="1">
        <v>44328</v>
      </c>
      <c r="B324">
        <v>96.010002</v>
      </c>
      <c r="C324">
        <v>322</v>
      </c>
      <c r="D324">
        <f t="shared" ref="D324:D387" si="35">143*B324/B323</f>
        <v>141.83295310435062</v>
      </c>
      <c r="E324">
        <v>23.299999</v>
      </c>
      <c r="F324">
        <v>322</v>
      </c>
      <c r="G324">
        <f t="shared" ref="G324:G387" si="36">29 *E324/E323</f>
        <v>29.519440826537391</v>
      </c>
      <c r="H324">
        <v>1083.900024</v>
      </c>
      <c r="I324">
        <v>322</v>
      </c>
      <c r="J324">
        <f t="shared" ref="J324:J387" si="37">1206 *H324/H323</f>
        <v>1177.4306310917862</v>
      </c>
      <c r="K324">
        <f t="shared" ref="K324:K387" si="38">(1430*D324/143+435*G324/29+2412*J324/1206)-1430-435-2412</f>
        <v>-61.017594374860892</v>
      </c>
      <c r="L324">
        <v>34.682132405883749</v>
      </c>
    </row>
    <row r="325" spans="1:12">
      <c r="A325" s="1">
        <v>44329</v>
      </c>
      <c r="B325">
        <v>98.199996999999996</v>
      </c>
      <c r="C325">
        <v>323</v>
      </c>
      <c r="D325">
        <f t="shared" si="35"/>
        <v>146.26184020910654</v>
      </c>
      <c r="E325">
        <v>22.629999000000002</v>
      </c>
      <c r="F325">
        <v>323</v>
      </c>
      <c r="G325">
        <f t="shared" si="36"/>
        <v>28.166094384810922</v>
      </c>
      <c r="H325">
        <v>1047.7700199999999</v>
      </c>
      <c r="I325">
        <v>323</v>
      </c>
      <c r="J325">
        <f t="shared" si="37"/>
        <v>1165.7999964395237</v>
      </c>
      <c r="K325">
        <f t="shared" si="38"/>
        <v>-60.290189257722886</v>
      </c>
      <c r="L325">
        <v>36.788710748877747</v>
      </c>
    </row>
    <row r="326" spans="1:12">
      <c r="A326" s="1">
        <v>44330</v>
      </c>
      <c r="B326">
        <v>99.580001999999993</v>
      </c>
      <c r="C326">
        <v>324</v>
      </c>
      <c r="D326">
        <f t="shared" si="35"/>
        <v>145.00957964387717</v>
      </c>
      <c r="E326">
        <v>23.23</v>
      </c>
      <c r="F326">
        <v>324</v>
      </c>
      <c r="G326">
        <f t="shared" si="36"/>
        <v>29.768892168311627</v>
      </c>
      <c r="H326">
        <v>1085.01001</v>
      </c>
      <c r="I326">
        <v>324</v>
      </c>
      <c r="J326">
        <f t="shared" si="37"/>
        <v>1248.8638222918423</v>
      </c>
      <c r="K326">
        <f t="shared" si="38"/>
        <v>117.35682354713026</v>
      </c>
      <c r="L326">
        <v>37.326016285185688</v>
      </c>
    </row>
    <row r="327" spans="1:12">
      <c r="A327" s="1">
        <v>44333</v>
      </c>
      <c r="B327">
        <v>100.709999</v>
      </c>
      <c r="C327">
        <v>325</v>
      </c>
      <c r="D327">
        <f t="shared" si="35"/>
        <v>144.62271106401465</v>
      </c>
      <c r="E327">
        <v>24.08</v>
      </c>
      <c r="F327">
        <v>325</v>
      </c>
      <c r="G327">
        <f t="shared" si="36"/>
        <v>30.061127851915622</v>
      </c>
      <c r="H327">
        <v>1096.3900149999999</v>
      </c>
      <c r="I327">
        <v>325</v>
      </c>
      <c r="J327">
        <f t="shared" si="37"/>
        <v>1218.6489948512087</v>
      </c>
      <c r="K327">
        <f t="shared" si="38"/>
        <v>57.442018121298133</v>
      </c>
      <c r="L327">
        <v>38.040872062372728</v>
      </c>
    </row>
    <row r="328" spans="1:12">
      <c r="A328" s="1">
        <v>44334</v>
      </c>
      <c r="B328">
        <v>101.339996</v>
      </c>
      <c r="C328">
        <v>326</v>
      </c>
      <c r="D328">
        <f t="shared" si="35"/>
        <v>143.89454445332683</v>
      </c>
      <c r="E328">
        <v>23.83</v>
      </c>
      <c r="F328">
        <v>326</v>
      </c>
      <c r="G328">
        <f t="shared" si="36"/>
        <v>28.698920265780732</v>
      </c>
      <c r="H328">
        <v>1133.3599850000001</v>
      </c>
      <c r="I328">
        <v>326</v>
      </c>
      <c r="J328">
        <f t="shared" si="37"/>
        <v>1246.6659885715942</v>
      </c>
      <c r="K328">
        <f t="shared" si="38"/>
        <v>85.761225663167352</v>
      </c>
      <c r="L328">
        <v>38.08912450104981</v>
      </c>
    </row>
    <row r="329" spans="1:12">
      <c r="A329" s="1">
        <v>44335</v>
      </c>
      <c r="B329">
        <v>100.66999800000001</v>
      </c>
      <c r="C329">
        <v>327</v>
      </c>
      <c r="D329">
        <f t="shared" si="35"/>
        <v>142.05457156323553</v>
      </c>
      <c r="E329">
        <v>22.85</v>
      </c>
      <c r="F329">
        <v>327</v>
      </c>
      <c r="G329">
        <f t="shared" si="36"/>
        <v>27.807385648342432</v>
      </c>
      <c r="H329">
        <v>1170.3900149999999</v>
      </c>
      <c r="I329">
        <v>327</v>
      </c>
      <c r="J329">
        <f t="shared" si="37"/>
        <v>1245.4033817772381</v>
      </c>
      <c r="K329">
        <f t="shared" si="38"/>
        <v>51.46326391196817</v>
      </c>
      <c r="L329">
        <v>38.456590622705335</v>
      </c>
    </row>
    <row r="330" spans="1:12">
      <c r="A330" s="1">
        <v>44336</v>
      </c>
      <c r="B330">
        <v>102.129997</v>
      </c>
      <c r="C330">
        <v>328</v>
      </c>
      <c r="D330">
        <f t="shared" si="35"/>
        <v>145.0739034583074</v>
      </c>
      <c r="E330">
        <v>23.059999000000001</v>
      </c>
      <c r="F330">
        <v>328</v>
      </c>
      <c r="G330">
        <f t="shared" si="36"/>
        <v>29.266519518599566</v>
      </c>
      <c r="H330">
        <v>1214.900024</v>
      </c>
      <c r="I330">
        <v>328</v>
      </c>
      <c r="J330">
        <f t="shared" si="37"/>
        <v>1251.8642590641036</v>
      </c>
      <c r="K330">
        <f t="shared" si="38"/>
        <v>116.46534549027456</v>
      </c>
      <c r="L330">
        <v>38.665109516254233</v>
      </c>
    </row>
    <row r="331" spans="1:12">
      <c r="A331" s="1">
        <v>44337</v>
      </c>
      <c r="B331">
        <v>102.739998</v>
      </c>
      <c r="C331">
        <v>329</v>
      </c>
      <c r="D331">
        <f t="shared" si="35"/>
        <v>143.85410893530133</v>
      </c>
      <c r="E331">
        <v>23.15</v>
      </c>
      <c r="F331">
        <v>329</v>
      </c>
      <c r="G331">
        <f t="shared" si="36"/>
        <v>29.113184263364445</v>
      </c>
      <c r="H331">
        <v>1224.119995</v>
      </c>
      <c r="I331">
        <v>329</v>
      </c>
      <c r="J331">
        <f t="shared" si="37"/>
        <v>1215.1524280239869</v>
      </c>
      <c r="K331">
        <f t="shared" si="38"/>
        <v>28.543709351453799</v>
      </c>
      <c r="L331">
        <v>38.741337064820982</v>
      </c>
    </row>
    <row r="332" spans="1:12">
      <c r="A332" s="1">
        <v>44340</v>
      </c>
      <c r="B332">
        <v>102.639999</v>
      </c>
      <c r="C332">
        <v>330</v>
      </c>
      <c r="D332">
        <f t="shared" si="35"/>
        <v>142.8608150936503</v>
      </c>
      <c r="E332">
        <v>23.540001</v>
      </c>
      <c r="F332">
        <v>330</v>
      </c>
      <c r="G332">
        <f t="shared" si="36"/>
        <v>29.488554168466525</v>
      </c>
      <c r="H332">
        <v>1261.4300539999999</v>
      </c>
      <c r="I332">
        <v>330</v>
      </c>
      <c r="J332">
        <f t="shared" si="37"/>
        <v>1242.7577781081827</v>
      </c>
      <c r="K332">
        <f t="shared" si="38"/>
        <v>79.45201967986668</v>
      </c>
      <c r="L332">
        <v>40.293222779730968</v>
      </c>
    </row>
    <row r="333" spans="1:12">
      <c r="A333" s="1">
        <v>44341</v>
      </c>
      <c r="B333">
        <v>102.5</v>
      </c>
      <c r="C333">
        <v>331</v>
      </c>
      <c r="D333">
        <f t="shared" si="35"/>
        <v>142.80495072880893</v>
      </c>
      <c r="E333">
        <v>23.16</v>
      </c>
      <c r="F333">
        <v>331</v>
      </c>
      <c r="G333">
        <f t="shared" si="36"/>
        <v>28.531859450643182</v>
      </c>
      <c r="H333">
        <v>1240</v>
      </c>
      <c r="I333">
        <v>331</v>
      </c>
      <c r="J333">
        <f t="shared" si="37"/>
        <v>1185.51163043718</v>
      </c>
      <c r="K333">
        <f t="shared" si="38"/>
        <v>-49.949340077902889</v>
      </c>
      <c r="L333">
        <v>40.760600726644043</v>
      </c>
    </row>
    <row r="334" spans="1:12">
      <c r="A334" s="1">
        <v>44342</v>
      </c>
      <c r="B334">
        <v>103.43</v>
      </c>
      <c r="C334">
        <v>332</v>
      </c>
      <c r="D334">
        <f t="shared" si="35"/>
        <v>144.29746341463417</v>
      </c>
      <c r="E334">
        <v>23.08</v>
      </c>
      <c r="F334">
        <v>332</v>
      </c>
      <c r="G334">
        <f t="shared" si="36"/>
        <v>28.899827288428323</v>
      </c>
      <c r="H334">
        <v>1238.829956</v>
      </c>
      <c r="I334">
        <v>332</v>
      </c>
      <c r="J334">
        <f t="shared" si="37"/>
        <v>1204.862037851613</v>
      </c>
      <c r="K334">
        <f t="shared" si="38"/>
        <v>9.1961191759928624</v>
      </c>
      <c r="L334">
        <v>40.836841067506612</v>
      </c>
    </row>
    <row r="335" spans="1:12">
      <c r="A335" s="1">
        <v>44343</v>
      </c>
      <c r="B335">
        <v>104.32</v>
      </c>
      <c r="C335">
        <v>333</v>
      </c>
      <c r="D335">
        <f t="shared" si="35"/>
        <v>144.23049405394951</v>
      </c>
      <c r="E335">
        <v>23.15</v>
      </c>
      <c r="F335">
        <v>333</v>
      </c>
      <c r="G335">
        <f t="shared" si="36"/>
        <v>29.087954939341419</v>
      </c>
      <c r="H335">
        <v>1240.839966</v>
      </c>
      <c r="I335">
        <v>333</v>
      </c>
      <c r="J335">
        <f t="shared" si="37"/>
        <v>1207.9567431738792</v>
      </c>
      <c r="K335">
        <f t="shared" si="38"/>
        <v>17.537750977374344</v>
      </c>
      <c r="L335">
        <v>40.8958264277544</v>
      </c>
    </row>
    <row r="336" spans="1:12">
      <c r="A336" s="1">
        <v>44344</v>
      </c>
      <c r="B336">
        <v>105.019997</v>
      </c>
      <c r="C336">
        <v>334</v>
      </c>
      <c r="D336">
        <f t="shared" si="35"/>
        <v>143.95954343366566</v>
      </c>
      <c r="E336">
        <v>23.1</v>
      </c>
      <c r="F336">
        <v>334</v>
      </c>
      <c r="G336">
        <f t="shared" si="36"/>
        <v>28.937365010799141</v>
      </c>
      <c r="H336">
        <v>1242.869995</v>
      </c>
      <c r="I336">
        <v>334</v>
      </c>
      <c r="J336">
        <f t="shared" si="37"/>
        <v>1207.9730303996348</v>
      </c>
      <c r="K336">
        <f t="shared" si="38"/>
        <v>12.601970297913795</v>
      </c>
      <c r="L336">
        <v>41.17970022681402</v>
      </c>
    </row>
    <row r="337" spans="1:12">
      <c r="A337" s="1">
        <v>44348</v>
      </c>
      <c r="B337">
        <v>106.08000199999999</v>
      </c>
      <c r="C337">
        <v>335</v>
      </c>
      <c r="D337">
        <f t="shared" si="35"/>
        <v>144.44335097438633</v>
      </c>
      <c r="E337">
        <v>24.51</v>
      </c>
      <c r="F337">
        <v>335</v>
      </c>
      <c r="G337">
        <f t="shared" si="36"/>
        <v>30.770129870129871</v>
      </c>
      <c r="H337">
        <v>1251.5600589999999</v>
      </c>
      <c r="I337">
        <v>335</v>
      </c>
      <c r="J337">
        <f t="shared" si="37"/>
        <v>1214.4322714573216</v>
      </c>
      <c r="K337">
        <f t="shared" si="38"/>
        <v>57.850000710454879</v>
      </c>
      <c r="L337">
        <v>42.223807912852863</v>
      </c>
    </row>
    <row r="338" spans="1:12">
      <c r="A338" s="1">
        <v>44349</v>
      </c>
      <c r="B338">
        <v>105.93</v>
      </c>
      <c r="C338">
        <v>336</v>
      </c>
      <c r="D338">
        <f t="shared" si="35"/>
        <v>142.79779142538104</v>
      </c>
      <c r="E338">
        <v>25.110001</v>
      </c>
      <c r="F338">
        <v>336</v>
      </c>
      <c r="G338">
        <f t="shared" si="36"/>
        <v>29.709915503875965</v>
      </c>
      <c r="H338">
        <v>1229.589966</v>
      </c>
      <c r="I338">
        <v>336</v>
      </c>
      <c r="J338">
        <f t="shared" si="37"/>
        <v>1184.8296758373945</v>
      </c>
      <c r="K338">
        <f t="shared" si="38"/>
        <v>-33.714001513260882</v>
      </c>
      <c r="L338">
        <v>43.533130580946818</v>
      </c>
    </row>
    <row r="339" spans="1:12">
      <c r="A339" s="1">
        <v>44350</v>
      </c>
      <c r="B339">
        <v>106.220001</v>
      </c>
      <c r="C339">
        <v>337</v>
      </c>
      <c r="D339">
        <f t="shared" si="35"/>
        <v>143.39148629283488</v>
      </c>
      <c r="E339">
        <v>25.02</v>
      </c>
      <c r="F339">
        <v>337</v>
      </c>
      <c r="G339">
        <f t="shared" si="36"/>
        <v>28.896056196891433</v>
      </c>
      <c r="H339">
        <v>1199</v>
      </c>
      <c r="I339">
        <v>337</v>
      </c>
      <c r="J339">
        <f t="shared" si="37"/>
        <v>1175.9969095258541</v>
      </c>
      <c r="K339">
        <f t="shared" si="38"/>
        <v>-57.650475066571744</v>
      </c>
      <c r="L339">
        <v>44.577641085228606</v>
      </c>
    </row>
    <row r="340" spans="1:12">
      <c r="A340" s="1">
        <v>44351</v>
      </c>
      <c r="B340">
        <v>106.040001</v>
      </c>
      <c r="C340">
        <v>338</v>
      </c>
      <c r="D340">
        <f t="shared" si="35"/>
        <v>142.75767275694153</v>
      </c>
      <c r="E340">
        <v>25.49</v>
      </c>
      <c r="F340">
        <v>338</v>
      </c>
      <c r="G340">
        <f t="shared" si="36"/>
        <v>29.544764188649079</v>
      </c>
      <c r="H340">
        <v>1205.73999</v>
      </c>
      <c r="I340">
        <v>338</v>
      </c>
      <c r="J340">
        <f t="shared" si="37"/>
        <v>1212.7793393994996</v>
      </c>
      <c r="K340">
        <f t="shared" si="38"/>
        <v>19.306869198150707</v>
      </c>
      <c r="L340">
        <v>44.777820727402286</v>
      </c>
    </row>
    <row r="341" spans="1:12">
      <c r="A341" s="1">
        <v>44354</v>
      </c>
      <c r="B341">
        <v>106.410004</v>
      </c>
      <c r="C341">
        <v>339</v>
      </c>
      <c r="D341">
        <f t="shared" si="35"/>
        <v>143.49896669653936</v>
      </c>
      <c r="E341">
        <v>25.42</v>
      </c>
      <c r="F341">
        <v>339</v>
      </c>
      <c r="G341">
        <f t="shared" si="36"/>
        <v>28.920360925853281</v>
      </c>
      <c r="H341">
        <v>1230.5500489999999</v>
      </c>
      <c r="I341">
        <v>339</v>
      </c>
      <c r="J341">
        <f t="shared" si="37"/>
        <v>1230.8154091281322</v>
      </c>
      <c r="K341">
        <f t="shared" si="38"/>
        <v>53.425899109457532</v>
      </c>
      <c r="L341">
        <v>45.013073909931336</v>
      </c>
    </row>
    <row r="342" spans="1:12">
      <c r="A342" s="1">
        <v>44355</v>
      </c>
      <c r="B342">
        <v>105.769997</v>
      </c>
      <c r="C342">
        <v>340</v>
      </c>
      <c r="D342">
        <f t="shared" si="35"/>
        <v>142.1399210829839</v>
      </c>
      <c r="E342">
        <v>25.280000999999999</v>
      </c>
      <c r="F342">
        <v>340</v>
      </c>
      <c r="G342">
        <f t="shared" si="36"/>
        <v>28.840284382376076</v>
      </c>
      <c r="H342">
        <v>1230.73999</v>
      </c>
      <c r="I342">
        <v>340</v>
      </c>
      <c r="J342">
        <f t="shared" si="37"/>
        <v>1206.1861515882156</v>
      </c>
      <c r="K342">
        <f t="shared" si="38"/>
        <v>-10.624220258088826</v>
      </c>
      <c r="L342">
        <v>45.604169606202959</v>
      </c>
    </row>
    <row r="343" spans="1:12">
      <c r="A343" s="1">
        <v>44356</v>
      </c>
      <c r="B343">
        <v>104.91999800000001</v>
      </c>
      <c r="C343">
        <v>341</v>
      </c>
      <c r="D343">
        <f t="shared" si="35"/>
        <v>141.8508096771526</v>
      </c>
      <c r="E343">
        <v>25.030000999999999</v>
      </c>
      <c r="F343">
        <v>341</v>
      </c>
      <c r="G343">
        <f t="shared" si="36"/>
        <v>28.713212036660916</v>
      </c>
      <c r="H343">
        <v>1215.5600589999999</v>
      </c>
      <c r="I343">
        <v>341</v>
      </c>
      <c r="J343">
        <f t="shared" si="37"/>
        <v>1191.1252117142953</v>
      </c>
      <c r="K343">
        <f t="shared" si="38"/>
        <v>-45.543299249970005</v>
      </c>
      <c r="L343">
        <v>45.621818269098185</v>
      </c>
    </row>
    <row r="344" spans="1:12">
      <c r="A344" s="1">
        <v>44357</v>
      </c>
      <c r="B344">
        <v>104.949997</v>
      </c>
      <c r="C344">
        <v>342</v>
      </c>
      <c r="D344">
        <f t="shared" si="35"/>
        <v>143.04088693368064</v>
      </c>
      <c r="E344">
        <v>24.940000999999999</v>
      </c>
      <c r="F344">
        <v>342</v>
      </c>
      <c r="G344">
        <f t="shared" si="36"/>
        <v>28.895725134010181</v>
      </c>
      <c r="H344">
        <v>1231.099976</v>
      </c>
      <c r="I344">
        <v>342</v>
      </c>
      <c r="J344">
        <f t="shared" si="37"/>
        <v>1221.4176996547728</v>
      </c>
      <c r="K344">
        <f t="shared" si="38"/>
        <v>29.680145656504465</v>
      </c>
      <c r="L344">
        <v>45.970233637081037</v>
      </c>
    </row>
    <row r="345" spans="1:12">
      <c r="A345" s="1">
        <v>44358</v>
      </c>
      <c r="B345">
        <v>104.410004</v>
      </c>
      <c r="C345">
        <v>343</v>
      </c>
      <c r="D345">
        <f t="shared" si="35"/>
        <v>142.26423057448969</v>
      </c>
      <c r="E345">
        <v>24.98</v>
      </c>
      <c r="F345">
        <v>343</v>
      </c>
      <c r="G345">
        <f t="shared" si="36"/>
        <v>29.046510463251384</v>
      </c>
      <c r="H345">
        <v>1247.0200199999999</v>
      </c>
      <c r="I345">
        <v>343</v>
      </c>
      <c r="J345">
        <f t="shared" si="37"/>
        <v>1221.5954621381618</v>
      </c>
      <c r="K345">
        <f t="shared" si="38"/>
        <v>24.530886969991116</v>
      </c>
      <c r="L345">
        <v>46.303188453968687</v>
      </c>
    </row>
    <row r="346" spans="1:12">
      <c r="A346" s="1">
        <v>44361</v>
      </c>
      <c r="B346">
        <v>104.339996</v>
      </c>
      <c r="C346">
        <v>344</v>
      </c>
      <c r="D346">
        <f t="shared" si="35"/>
        <v>142.90411700396066</v>
      </c>
      <c r="E346">
        <v>25.24</v>
      </c>
      <c r="F346">
        <v>344</v>
      </c>
      <c r="G346">
        <f t="shared" si="36"/>
        <v>29.301841473178538</v>
      </c>
      <c r="H346">
        <v>1306.6400149999999</v>
      </c>
      <c r="I346">
        <v>344</v>
      </c>
      <c r="J346">
        <f t="shared" si="37"/>
        <v>1263.6588289015601</v>
      </c>
      <c r="K346">
        <f t="shared" si="38"/>
        <v>118.88644994040442</v>
      </c>
      <c r="L346">
        <v>46.320465508872076</v>
      </c>
    </row>
    <row r="347" spans="1:12">
      <c r="A347" s="1">
        <v>44362</v>
      </c>
      <c r="B347">
        <v>104.629997</v>
      </c>
      <c r="C347">
        <v>345</v>
      </c>
      <c r="D347">
        <f t="shared" si="35"/>
        <v>143.39745202788777</v>
      </c>
      <c r="E347">
        <v>25.67</v>
      </c>
      <c r="F347">
        <v>345</v>
      </c>
      <c r="G347">
        <f t="shared" si="36"/>
        <v>29.494057052297943</v>
      </c>
      <c r="H347">
        <v>1321.079956</v>
      </c>
      <c r="I347">
        <v>345</v>
      </c>
      <c r="J347">
        <f t="shared" si="37"/>
        <v>1219.3277479995131</v>
      </c>
      <c r="K347">
        <f t="shared" si="38"/>
        <v>38.040872062372728</v>
      </c>
      <c r="L347">
        <v>47.037274088296726</v>
      </c>
    </row>
    <row r="348" spans="1:12">
      <c r="A348" s="1">
        <v>44363</v>
      </c>
      <c r="B348">
        <v>105.489998</v>
      </c>
      <c r="C348">
        <v>346</v>
      </c>
      <c r="D348">
        <f t="shared" si="35"/>
        <v>144.17538131058151</v>
      </c>
      <c r="E348">
        <v>25.16</v>
      </c>
      <c r="F348">
        <v>346</v>
      </c>
      <c r="G348">
        <f t="shared" si="36"/>
        <v>28.423841059602648</v>
      </c>
      <c r="H348">
        <v>1366.3000489999999</v>
      </c>
      <c r="I348">
        <v>346</v>
      </c>
      <c r="J348">
        <f t="shared" si="37"/>
        <v>1247.2809473872601</v>
      </c>
      <c r="K348">
        <f t="shared" si="38"/>
        <v>85.673323774374694</v>
      </c>
      <c r="L348">
        <v>48.270926485635755</v>
      </c>
    </row>
    <row r="349" spans="1:12">
      <c r="A349" s="1">
        <v>44364</v>
      </c>
      <c r="B349">
        <v>103.480003</v>
      </c>
      <c r="C349">
        <v>347</v>
      </c>
      <c r="D349">
        <f t="shared" si="35"/>
        <v>140.27529348327411</v>
      </c>
      <c r="E349">
        <v>24.01</v>
      </c>
      <c r="F349">
        <v>347</v>
      </c>
      <c r="G349">
        <f t="shared" si="36"/>
        <v>27.674483306836251</v>
      </c>
      <c r="H349">
        <v>1449.2700199999999</v>
      </c>
      <c r="I349">
        <v>347</v>
      </c>
      <c r="J349">
        <f t="shared" si="37"/>
        <v>1279.2355862090728</v>
      </c>
      <c r="K349">
        <f t="shared" si="38"/>
        <v>99.341356853430625</v>
      </c>
      <c r="L349">
        <v>48.679144630235896</v>
      </c>
    </row>
    <row r="350" spans="1:12">
      <c r="A350" s="1">
        <v>44365</v>
      </c>
      <c r="B350">
        <v>101.769997</v>
      </c>
      <c r="C350">
        <v>348</v>
      </c>
      <c r="D350">
        <f t="shared" si="35"/>
        <v>140.63692645041769</v>
      </c>
      <c r="E350">
        <v>23.389999</v>
      </c>
      <c r="F350">
        <v>348</v>
      </c>
      <c r="G350">
        <f t="shared" si="36"/>
        <v>28.251144148271553</v>
      </c>
      <c r="H350">
        <v>1466.869995</v>
      </c>
      <c r="I350">
        <v>348</v>
      </c>
      <c r="J350">
        <f t="shared" si="37"/>
        <v>1220.6456971834689</v>
      </c>
      <c r="K350">
        <f t="shared" si="38"/>
        <v>-5.5721789048120627</v>
      </c>
      <c r="L350">
        <v>49.819830297207773</v>
      </c>
    </row>
    <row r="351" spans="1:12">
      <c r="A351" s="1">
        <v>44368</v>
      </c>
      <c r="B351">
        <v>103.610001</v>
      </c>
      <c r="C351">
        <v>349</v>
      </c>
      <c r="D351">
        <f t="shared" si="35"/>
        <v>145.58544344852442</v>
      </c>
      <c r="E351">
        <v>24.51</v>
      </c>
      <c r="F351">
        <v>349</v>
      </c>
      <c r="G351">
        <f t="shared" si="36"/>
        <v>30.388628917855023</v>
      </c>
      <c r="H351">
        <v>1480.2299800000001</v>
      </c>
      <c r="I351">
        <v>349</v>
      </c>
      <c r="J351">
        <f t="shared" si="37"/>
        <v>1216.9840285539415</v>
      </c>
      <c r="K351">
        <f t="shared" si="38"/>
        <v>68.651925360952191</v>
      </c>
      <c r="L351">
        <v>50.04364050311051</v>
      </c>
    </row>
    <row r="352" spans="1:12">
      <c r="A352" s="1">
        <v>44369</v>
      </c>
      <c r="B352">
        <v>104.029999</v>
      </c>
      <c r="C352">
        <v>350</v>
      </c>
      <c r="D352">
        <f t="shared" si="35"/>
        <v>143.57967101071642</v>
      </c>
      <c r="E352">
        <v>24.719999000000001</v>
      </c>
      <c r="F352">
        <v>350</v>
      </c>
      <c r="G352">
        <f t="shared" si="36"/>
        <v>29.248468829049369</v>
      </c>
      <c r="H352">
        <v>1508.4399410000001</v>
      </c>
      <c r="I352">
        <v>350</v>
      </c>
      <c r="J352">
        <f t="shared" si="37"/>
        <v>1228.9837345721103</v>
      </c>
      <c r="K352">
        <f t="shared" si="38"/>
        <v>55.491211687125542</v>
      </c>
      <c r="L352">
        <v>50.696303651821836</v>
      </c>
    </row>
    <row r="353" spans="1:12">
      <c r="A353" s="1">
        <v>44370</v>
      </c>
      <c r="B353">
        <v>103.94000200000001</v>
      </c>
      <c r="C353">
        <v>351</v>
      </c>
      <c r="D353">
        <f t="shared" si="35"/>
        <v>142.87628980944237</v>
      </c>
      <c r="E353">
        <v>24.700001</v>
      </c>
      <c r="F353">
        <v>351</v>
      </c>
      <c r="G353">
        <f t="shared" si="36"/>
        <v>28.976539562157747</v>
      </c>
      <c r="H353">
        <v>1500.530029</v>
      </c>
      <c r="I353">
        <v>351</v>
      </c>
      <c r="J353">
        <f t="shared" si="37"/>
        <v>1199.6760134674796</v>
      </c>
      <c r="K353">
        <f t="shared" si="38"/>
        <v>-14.236981538250802</v>
      </c>
      <c r="L353">
        <v>50.894910734979931</v>
      </c>
    </row>
    <row r="354" spans="1:12">
      <c r="A354" s="1">
        <v>44371</v>
      </c>
      <c r="B354">
        <v>103.660004</v>
      </c>
      <c r="C354">
        <v>352</v>
      </c>
      <c r="D354">
        <f t="shared" si="35"/>
        <v>142.61478051539771</v>
      </c>
      <c r="E354">
        <v>24.889999</v>
      </c>
      <c r="F354">
        <v>352</v>
      </c>
      <c r="G354">
        <f t="shared" si="36"/>
        <v>29.223074565867428</v>
      </c>
      <c r="H354">
        <v>1478.98999</v>
      </c>
      <c r="I354">
        <v>352</v>
      </c>
      <c r="J354">
        <f t="shared" si="37"/>
        <v>1188.6879259115447</v>
      </c>
      <c r="K354">
        <f t="shared" si="38"/>
        <v>-35.130224534921581</v>
      </c>
      <c r="L354">
        <v>51.158241867588004</v>
      </c>
    </row>
    <row r="355" spans="1:12">
      <c r="A355" s="1">
        <v>44372</v>
      </c>
      <c r="B355">
        <v>104.629997</v>
      </c>
      <c r="C355">
        <v>353</v>
      </c>
      <c r="D355">
        <f t="shared" si="35"/>
        <v>144.33811493003608</v>
      </c>
      <c r="E355">
        <v>24.639999</v>
      </c>
      <c r="F355">
        <v>353</v>
      </c>
      <c r="G355">
        <f t="shared" si="36"/>
        <v>28.708718349084709</v>
      </c>
      <c r="H355">
        <v>1473.540039</v>
      </c>
      <c r="I355">
        <v>353</v>
      </c>
      <c r="J355">
        <f t="shared" si="37"/>
        <v>1201.5559936507752</v>
      </c>
      <c r="K355">
        <f t="shared" si="38"/>
        <v>0.12391183818181162</v>
      </c>
      <c r="L355">
        <v>51.460893214793032</v>
      </c>
    </row>
    <row r="356" spans="1:12">
      <c r="A356" s="1">
        <v>44375</v>
      </c>
      <c r="B356">
        <v>102.94000200000001</v>
      </c>
      <c r="C356">
        <v>354</v>
      </c>
      <c r="D356">
        <f t="shared" si="35"/>
        <v>140.69024857183166</v>
      </c>
      <c r="E356">
        <v>23.77</v>
      </c>
      <c r="F356">
        <v>354</v>
      </c>
      <c r="G356">
        <f t="shared" si="36"/>
        <v>27.976056330197093</v>
      </c>
      <c r="H356">
        <v>1494.98999</v>
      </c>
      <c r="I356">
        <v>354</v>
      </c>
      <c r="J356">
        <f t="shared" si="37"/>
        <v>1223.5554380752053</v>
      </c>
      <c r="K356">
        <f t="shared" si="38"/>
        <v>-3.3457931783159438</v>
      </c>
      <c r="L356">
        <v>51.46326391196817</v>
      </c>
    </row>
    <row r="357" spans="1:12">
      <c r="A357" s="1">
        <v>44376</v>
      </c>
      <c r="B357">
        <v>102.129997</v>
      </c>
      <c r="C357">
        <v>355</v>
      </c>
      <c r="D357">
        <f t="shared" si="35"/>
        <v>141.87477450214155</v>
      </c>
      <c r="E357">
        <v>23.6</v>
      </c>
      <c r="F357">
        <v>355</v>
      </c>
      <c r="G357">
        <f t="shared" si="36"/>
        <v>28.792595708876739</v>
      </c>
      <c r="H357">
        <v>1482.98999</v>
      </c>
      <c r="I357">
        <v>355</v>
      </c>
      <c r="J357">
        <f t="shared" si="37"/>
        <v>1196.3196676253331</v>
      </c>
      <c r="K357">
        <f t="shared" si="38"/>
        <v>-33.723984094767729</v>
      </c>
      <c r="L357">
        <v>51.725983818040731</v>
      </c>
    </row>
    <row r="358" spans="1:12">
      <c r="A358" s="1">
        <v>44377</v>
      </c>
      <c r="B358">
        <v>102.55999799999999</v>
      </c>
      <c r="C358">
        <v>356</v>
      </c>
      <c r="D358">
        <f t="shared" si="35"/>
        <v>143.6020772036251</v>
      </c>
      <c r="E358">
        <v>23.969999000000001</v>
      </c>
      <c r="F358">
        <v>356</v>
      </c>
      <c r="G358">
        <f t="shared" si="36"/>
        <v>29.454659788135594</v>
      </c>
      <c r="H358">
        <v>1460.9799800000001</v>
      </c>
      <c r="I358">
        <v>356</v>
      </c>
      <c r="J358">
        <f t="shared" si="37"/>
        <v>1188.1009769189341</v>
      </c>
      <c r="K358">
        <f t="shared" si="38"/>
        <v>-22.957377303846442</v>
      </c>
      <c r="L358">
        <v>51.741821062762938</v>
      </c>
    </row>
    <row r="359" spans="1:12">
      <c r="A359" s="1">
        <v>44378</v>
      </c>
      <c r="B359">
        <v>103.41999800000001</v>
      </c>
      <c r="C359">
        <v>357</v>
      </c>
      <c r="D359">
        <f t="shared" si="35"/>
        <v>144.19910298750202</v>
      </c>
      <c r="E359">
        <v>24.389999</v>
      </c>
      <c r="F359">
        <v>357</v>
      </c>
      <c r="G359">
        <f t="shared" si="36"/>
        <v>29.508135190159997</v>
      </c>
      <c r="H359">
        <v>1458</v>
      </c>
      <c r="I359">
        <v>357</v>
      </c>
      <c r="J359">
        <f t="shared" si="37"/>
        <v>1203.5401060047379</v>
      </c>
      <c r="K359">
        <f t="shared" si="38"/>
        <v>14.693269736895672</v>
      </c>
      <c r="L359">
        <v>52.231894794395885</v>
      </c>
    </row>
    <row r="360" spans="1:12">
      <c r="A360" s="1">
        <v>44379</v>
      </c>
      <c r="B360">
        <v>103.160004</v>
      </c>
      <c r="C360">
        <v>358</v>
      </c>
      <c r="D360">
        <f t="shared" si="35"/>
        <v>142.64050335796756</v>
      </c>
      <c r="E360">
        <v>23.93</v>
      </c>
      <c r="F360">
        <v>358</v>
      </c>
      <c r="G360">
        <f t="shared" si="36"/>
        <v>28.453055697132257</v>
      </c>
      <c r="H360">
        <v>1464.75</v>
      </c>
      <c r="I360">
        <v>358</v>
      </c>
      <c r="J360">
        <f t="shared" si="37"/>
        <v>1211.5833333333333</v>
      </c>
      <c r="K360">
        <f t="shared" si="38"/>
        <v>-0.63246429667378834</v>
      </c>
      <c r="L360">
        <v>52.491482343386451</v>
      </c>
    </row>
    <row r="361" spans="1:12">
      <c r="A361" s="1">
        <v>44383</v>
      </c>
      <c r="B361">
        <v>101.620003</v>
      </c>
      <c r="C361">
        <v>359</v>
      </c>
      <c r="D361">
        <f t="shared" si="35"/>
        <v>140.86525654845843</v>
      </c>
      <c r="E361">
        <v>23.77</v>
      </c>
      <c r="F361">
        <v>359</v>
      </c>
      <c r="G361">
        <f t="shared" si="36"/>
        <v>28.806101128290852</v>
      </c>
      <c r="H361">
        <v>1538.030029</v>
      </c>
      <c r="I361">
        <v>359</v>
      </c>
      <c r="J361">
        <f t="shared" si="37"/>
        <v>1266.3350161966207</v>
      </c>
      <c r="K361">
        <f t="shared" si="38"/>
        <v>96.414114802188124</v>
      </c>
      <c r="L361">
        <v>52.872664755135702</v>
      </c>
    </row>
    <row r="362" spans="1:12">
      <c r="A362" s="1">
        <v>44384</v>
      </c>
      <c r="B362">
        <v>101.57</v>
      </c>
      <c r="C362">
        <v>360</v>
      </c>
      <c r="D362">
        <f t="shared" si="35"/>
        <v>142.92963561514557</v>
      </c>
      <c r="E362">
        <v>23.17</v>
      </c>
      <c r="F362">
        <v>360</v>
      </c>
      <c r="G362">
        <f t="shared" si="36"/>
        <v>28.267984854859069</v>
      </c>
      <c r="H362">
        <v>1520.219971</v>
      </c>
      <c r="I362">
        <v>360</v>
      </c>
      <c r="J362">
        <f t="shared" si="37"/>
        <v>1192.0347785524284</v>
      </c>
      <c r="K362">
        <f t="shared" si="38"/>
        <v>-39.614313920801578</v>
      </c>
      <c r="L362">
        <v>53.39437867468132</v>
      </c>
    </row>
    <row r="363" spans="1:12">
      <c r="A363" s="1">
        <v>44385</v>
      </c>
      <c r="B363">
        <v>99.699996999999996</v>
      </c>
      <c r="C363">
        <v>361</v>
      </c>
      <c r="D363">
        <f t="shared" si="35"/>
        <v>140.36723019592398</v>
      </c>
      <c r="E363">
        <v>23.030000999999999</v>
      </c>
      <c r="F363">
        <v>361</v>
      </c>
      <c r="G363">
        <f t="shared" si="36"/>
        <v>28.824774665515747</v>
      </c>
      <c r="H363">
        <v>1463.339966</v>
      </c>
      <c r="I363">
        <v>361</v>
      </c>
      <c r="J363">
        <f t="shared" si="37"/>
        <v>1160.8767366969421</v>
      </c>
      <c r="K363">
        <f t="shared" si="38"/>
        <v>-119.20260466414038</v>
      </c>
      <c r="L363">
        <v>53.421090157327853</v>
      </c>
    </row>
    <row r="364" spans="1:12">
      <c r="A364" s="1">
        <v>44386</v>
      </c>
      <c r="B364">
        <v>101.269997</v>
      </c>
      <c r="C364">
        <v>362</v>
      </c>
      <c r="D364">
        <f t="shared" si="35"/>
        <v>145.25185563445905</v>
      </c>
      <c r="E364">
        <v>23.27</v>
      </c>
      <c r="F364">
        <v>362</v>
      </c>
      <c r="G364">
        <f t="shared" si="36"/>
        <v>29.302213230472724</v>
      </c>
      <c r="H364">
        <v>1494.98999</v>
      </c>
      <c r="I364">
        <v>362</v>
      </c>
      <c r="J364">
        <f t="shared" si="37"/>
        <v>1232.0841156743204</v>
      </c>
      <c r="K364">
        <f t="shared" si="38"/>
        <v>79.219986150322256</v>
      </c>
      <c r="L364">
        <v>53.425899109457532</v>
      </c>
    </row>
    <row r="365" spans="1:12">
      <c r="A365" s="1">
        <v>44389</v>
      </c>
      <c r="B365">
        <v>101.970001</v>
      </c>
      <c r="C365">
        <v>363</v>
      </c>
      <c r="D365">
        <f t="shared" si="35"/>
        <v>143.98845240412123</v>
      </c>
      <c r="E365">
        <v>22.93</v>
      </c>
      <c r="F365">
        <v>363</v>
      </c>
      <c r="G365">
        <f t="shared" si="36"/>
        <v>28.576278470133222</v>
      </c>
      <c r="H365">
        <v>1494.73999</v>
      </c>
      <c r="I365">
        <v>363</v>
      </c>
      <c r="J365">
        <f t="shared" si="37"/>
        <v>1205.7983264088612</v>
      </c>
      <c r="K365">
        <f t="shared" si="38"/>
        <v>3.1253539109329722</v>
      </c>
      <c r="L365">
        <v>54.072894743912912</v>
      </c>
    </row>
    <row r="366" spans="1:12">
      <c r="A366" s="1">
        <v>44390</v>
      </c>
      <c r="B366">
        <v>101.230003</v>
      </c>
      <c r="C366">
        <v>364</v>
      </c>
      <c r="D366">
        <f t="shared" si="35"/>
        <v>141.9622466121188</v>
      </c>
      <c r="E366">
        <v>22.65</v>
      </c>
      <c r="F366">
        <v>364</v>
      </c>
      <c r="G366">
        <f t="shared" si="36"/>
        <v>28.645878761447882</v>
      </c>
      <c r="H366">
        <v>1516.469971</v>
      </c>
      <c r="I366">
        <v>364</v>
      </c>
      <c r="J366">
        <f t="shared" si="37"/>
        <v>1223.5323850711989</v>
      </c>
      <c r="K366">
        <f t="shared" si="38"/>
        <v>19.375417685303546</v>
      </c>
      <c r="L366">
        <v>54.341116711899303</v>
      </c>
    </row>
    <row r="367" spans="1:12">
      <c r="A367" s="1">
        <v>44391</v>
      </c>
      <c r="B367">
        <v>100.989998</v>
      </c>
      <c r="C367">
        <v>365</v>
      </c>
      <c r="D367">
        <f t="shared" si="35"/>
        <v>142.66096301508554</v>
      </c>
      <c r="E367">
        <v>22.139999</v>
      </c>
      <c r="F367">
        <v>365</v>
      </c>
      <c r="G367">
        <f t="shared" si="36"/>
        <v>28.347018587196469</v>
      </c>
      <c r="H367">
        <v>1463</v>
      </c>
      <c r="I367">
        <v>365</v>
      </c>
      <c r="J367">
        <f t="shared" si="37"/>
        <v>1163.4770445447878</v>
      </c>
      <c r="K367">
        <f t="shared" si="38"/>
        <v>-98.231001951622602</v>
      </c>
      <c r="L367">
        <v>55.491211687125542</v>
      </c>
    </row>
    <row r="368" spans="1:12">
      <c r="A368" s="1">
        <v>44392</v>
      </c>
      <c r="B368">
        <v>100.25</v>
      </c>
      <c r="C368">
        <v>366</v>
      </c>
      <c r="D368">
        <f t="shared" si="35"/>
        <v>141.95217629373553</v>
      </c>
      <c r="E368">
        <v>21.65</v>
      </c>
      <c r="F368">
        <v>366</v>
      </c>
      <c r="G368">
        <f t="shared" si="36"/>
        <v>28.358176529276264</v>
      </c>
      <c r="H368">
        <v>1441.5</v>
      </c>
      <c r="I368">
        <v>366</v>
      </c>
      <c r="J368">
        <f t="shared" si="37"/>
        <v>1188.2768284347233</v>
      </c>
      <c r="K368">
        <f t="shared" si="38"/>
        <v>-55.551932254054009</v>
      </c>
      <c r="L368">
        <v>56.789836753085183</v>
      </c>
    </row>
    <row r="369" spans="1:12">
      <c r="A369" s="1">
        <v>44393</v>
      </c>
      <c r="B369">
        <v>99.150002000000001</v>
      </c>
      <c r="C369">
        <v>367</v>
      </c>
      <c r="D369">
        <f t="shared" si="35"/>
        <v>141.43092554613466</v>
      </c>
      <c r="E369">
        <v>20.98</v>
      </c>
      <c r="F369">
        <v>367</v>
      </c>
      <c r="G369">
        <f t="shared" si="36"/>
        <v>28.102540415704389</v>
      </c>
      <c r="H369">
        <v>1442.630005</v>
      </c>
      <c r="I369">
        <v>367</v>
      </c>
      <c r="J369">
        <f t="shared" si="37"/>
        <v>1206.945394401665</v>
      </c>
      <c r="K369">
        <f t="shared" si="38"/>
        <v>-27.261849499757773</v>
      </c>
      <c r="L369">
        <v>57.053192719193248</v>
      </c>
    </row>
    <row r="370" spans="1:12">
      <c r="A370" s="1">
        <v>44396</v>
      </c>
      <c r="B370">
        <v>95.959998999999996</v>
      </c>
      <c r="C370">
        <v>368</v>
      </c>
      <c r="D370">
        <f t="shared" si="35"/>
        <v>138.39918890773194</v>
      </c>
      <c r="E370">
        <v>19.91</v>
      </c>
      <c r="F370">
        <v>368</v>
      </c>
      <c r="G370">
        <f t="shared" si="36"/>
        <v>27.520972354623449</v>
      </c>
      <c r="H370">
        <v>1472.01001</v>
      </c>
      <c r="I370">
        <v>368</v>
      </c>
      <c r="J370">
        <f t="shared" si="37"/>
        <v>1230.5608963540169</v>
      </c>
      <c r="K370">
        <f t="shared" si="38"/>
        <v>-19.071732895295099</v>
      </c>
      <c r="L370">
        <v>57.442018121298133</v>
      </c>
    </row>
    <row r="371" spans="1:12">
      <c r="A371" s="1">
        <v>44397</v>
      </c>
      <c r="B371">
        <v>97.129997000000003</v>
      </c>
      <c r="C371">
        <v>369</v>
      </c>
      <c r="D371">
        <f t="shared" si="35"/>
        <v>144.74353601233364</v>
      </c>
      <c r="E371">
        <v>20.389999</v>
      </c>
      <c r="F371">
        <v>369</v>
      </c>
      <c r="G371">
        <f t="shared" si="36"/>
        <v>29.699144701155198</v>
      </c>
      <c r="H371">
        <v>1524.780029</v>
      </c>
      <c r="I371">
        <v>369</v>
      </c>
      <c r="J371">
        <f t="shared" si="37"/>
        <v>1249.2338384125528</v>
      </c>
      <c r="K371">
        <f t="shared" si="38"/>
        <v>114.39020746576989</v>
      </c>
      <c r="L371">
        <v>57.564933245836073</v>
      </c>
    </row>
    <row r="372" spans="1:12">
      <c r="A372" s="1">
        <v>44398</v>
      </c>
      <c r="B372">
        <v>98.809997999999993</v>
      </c>
      <c r="C372">
        <v>370</v>
      </c>
      <c r="D372">
        <f t="shared" si="35"/>
        <v>145.47338773211328</v>
      </c>
      <c r="E372">
        <v>21.040001</v>
      </c>
      <c r="F372">
        <v>370</v>
      </c>
      <c r="G372">
        <f t="shared" si="36"/>
        <v>29.924475670646185</v>
      </c>
      <c r="H372">
        <v>1569.3599850000001</v>
      </c>
      <c r="I372">
        <v>370</v>
      </c>
      <c r="J372">
        <f t="shared" si="37"/>
        <v>1241.2597921755703</v>
      </c>
      <c r="K372">
        <f t="shared" si="38"/>
        <v>109.12059673196563</v>
      </c>
      <c r="L372">
        <v>57.850000710454879</v>
      </c>
    </row>
    <row r="373" spans="1:12">
      <c r="A373" s="1">
        <v>44399</v>
      </c>
      <c r="B373">
        <v>98.309997999999993</v>
      </c>
      <c r="C373">
        <v>371</v>
      </c>
      <c r="D373">
        <f t="shared" si="35"/>
        <v>142.27638901480395</v>
      </c>
      <c r="E373">
        <v>20.93</v>
      </c>
      <c r="F373">
        <v>371</v>
      </c>
      <c r="G373">
        <f t="shared" si="36"/>
        <v>28.848382659297403</v>
      </c>
      <c r="H373">
        <v>1594.089966</v>
      </c>
      <c r="I373">
        <v>371</v>
      </c>
      <c r="J373">
        <f t="shared" si="37"/>
        <v>1225.004152884655</v>
      </c>
      <c r="K373">
        <f t="shared" si="38"/>
        <v>28.497935806810347</v>
      </c>
      <c r="L373">
        <v>58.447560503373097</v>
      </c>
    </row>
    <row r="374" spans="1:12">
      <c r="A374" s="1">
        <v>44400</v>
      </c>
      <c r="B374">
        <v>99.019997000000004</v>
      </c>
      <c r="C374">
        <v>372</v>
      </c>
      <c r="D374">
        <f t="shared" si="35"/>
        <v>144.03275210116473</v>
      </c>
      <c r="E374">
        <v>20.809999000000001</v>
      </c>
      <c r="F374">
        <v>372</v>
      </c>
      <c r="G374">
        <f t="shared" si="36"/>
        <v>28.833730100334453</v>
      </c>
      <c r="H374">
        <v>1643.3199460000001</v>
      </c>
      <c r="I374">
        <v>372</v>
      </c>
      <c r="J374">
        <f t="shared" si="37"/>
        <v>1243.2446707189174</v>
      </c>
      <c r="K374">
        <f t="shared" si="38"/>
        <v>82.322813954498997</v>
      </c>
      <c r="L374">
        <v>58.644335067023349</v>
      </c>
    </row>
    <row r="375" spans="1:12">
      <c r="A375" s="1">
        <v>44403</v>
      </c>
      <c r="B375">
        <v>99.949996999999996</v>
      </c>
      <c r="C375">
        <v>373</v>
      </c>
      <c r="D375">
        <f t="shared" si="35"/>
        <v>144.34306204836582</v>
      </c>
      <c r="E375">
        <v>21.309999000000001</v>
      </c>
      <c r="F375">
        <v>373</v>
      </c>
      <c r="G375">
        <f t="shared" si="36"/>
        <v>29.696780427524288</v>
      </c>
      <c r="H375">
        <v>1582.280029</v>
      </c>
      <c r="I375">
        <v>373</v>
      </c>
      <c r="J375">
        <f t="shared" si="37"/>
        <v>1161.2040124132955</v>
      </c>
      <c r="K375">
        <f t="shared" si="38"/>
        <v>-65.709648276886583</v>
      </c>
      <c r="L375">
        <v>59.26393717913561</v>
      </c>
    </row>
    <row r="376" spans="1:12">
      <c r="A376" s="1">
        <v>44404</v>
      </c>
      <c r="B376">
        <v>99.589995999999999</v>
      </c>
      <c r="C376">
        <v>374</v>
      </c>
      <c r="D376">
        <f t="shared" si="35"/>
        <v>142.48494102506078</v>
      </c>
      <c r="E376">
        <v>20.360001</v>
      </c>
      <c r="F376">
        <v>374</v>
      </c>
      <c r="G376">
        <f t="shared" si="36"/>
        <v>27.707182388887016</v>
      </c>
      <c r="H376">
        <v>1555.099976</v>
      </c>
      <c r="I376">
        <v>374</v>
      </c>
      <c r="J376">
        <f t="shared" si="37"/>
        <v>1185.2836013112569</v>
      </c>
      <c r="K376">
        <f t="shared" si="38"/>
        <v>-65.97565129357281</v>
      </c>
      <c r="L376">
        <v>59.964924364017861</v>
      </c>
    </row>
    <row r="377" spans="1:12">
      <c r="A377" s="1">
        <v>44405</v>
      </c>
      <c r="B377">
        <v>100.120003</v>
      </c>
      <c r="C377">
        <v>375</v>
      </c>
      <c r="D377">
        <f t="shared" si="35"/>
        <v>143.76103026452577</v>
      </c>
      <c r="E377">
        <v>20.51</v>
      </c>
      <c r="F377">
        <v>375</v>
      </c>
      <c r="G377">
        <f t="shared" si="36"/>
        <v>29.213652789113326</v>
      </c>
      <c r="H377">
        <v>1538</v>
      </c>
      <c r="I377">
        <v>375</v>
      </c>
      <c r="J377">
        <f t="shared" si="37"/>
        <v>1192.7387490359013</v>
      </c>
      <c r="K377">
        <f t="shared" si="38"/>
        <v>-15.707407446239813</v>
      </c>
      <c r="L377">
        <v>60.413490801960506</v>
      </c>
    </row>
    <row r="378" spans="1:12">
      <c r="A378" s="1">
        <v>44406</v>
      </c>
      <c r="B378">
        <v>101.370003</v>
      </c>
      <c r="C378">
        <v>376</v>
      </c>
      <c r="D378">
        <f t="shared" si="35"/>
        <v>144.78535751741836</v>
      </c>
      <c r="E378">
        <v>19.920000000000002</v>
      </c>
      <c r="F378">
        <v>376</v>
      </c>
      <c r="G378">
        <f t="shared" si="36"/>
        <v>28.165772793759142</v>
      </c>
      <c r="H378">
        <v>1525</v>
      </c>
      <c r="I378">
        <v>376</v>
      </c>
      <c r="J378">
        <f t="shared" si="37"/>
        <v>1195.8062418725617</v>
      </c>
      <c r="K378">
        <f t="shared" si="38"/>
        <v>-15.047349174305964</v>
      </c>
      <c r="L378">
        <v>60.499022754929683</v>
      </c>
    </row>
    <row r="379" spans="1:12">
      <c r="A379" s="1">
        <v>44407</v>
      </c>
      <c r="B379">
        <v>99.699996999999996</v>
      </c>
      <c r="C379">
        <v>377</v>
      </c>
      <c r="D379">
        <f t="shared" si="35"/>
        <v>140.6441664108464</v>
      </c>
      <c r="E379">
        <v>19.629999000000002</v>
      </c>
      <c r="F379">
        <v>377</v>
      </c>
      <c r="G379">
        <f t="shared" si="36"/>
        <v>28.577809789156628</v>
      </c>
      <c r="H379">
        <v>1499.9300539999999</v>
      </c>
      <c r="I379">
        <v>377</v>
      </c>
      <c r="J379">
        <f t="shared" si="37"/>
        <v>1186.1741935239343</v>
      </c>
      <c r="K379">
        <f t="shared" si="38"/>
        <v>-69.542802006318198</v>
      </c>
      <c r="L379">
        <v>60.665880566799387</v>
      </c>
    </row>
    <row r="380" spans="1:12">
      <c r="A380" s="1">
        <v>44410</v>
      </c>
      <c r="B380">
        <v>98.120002999999997</v>
      </c>
      <c r="C380">
        <v>378</v>
      </c>
      <c r="D380">
        <f t="shared" si="35"/>
        <v>140.73380994183981</v>
      </c>
      <c r="E380">
        <v>19.260000000000002</v>
      </c>
      <c r="F380">
        <v>378</v>
      </c>
      <c r="G380">
        <f t="shared" si="36"/>
        <v>28.453389121415647</v>
      </c>
      <c r="H380">
        <v>1538.670044</v>
      </c>
      <c r="I380">
        <v>378</v>
      </c>
      <c r="J380">
        <f t="shared" si="37"/>
        <v>1237.1484044308643</v>
      </c>
      <c r="K380">
        <f t="shared" si="38"/>
        <v>31.435745101361135</v>
      </c>
      <c r="L380">
        <v>60.670820078438737</v>
      </c>
    </row>
    <row r="381" spans="1:12">
      <c r="A381" s="1">
        <v>44411</v>
      </c>
      <c r="B381">
        <v>99.129997000000003</v>
      </c>
      <c r="C381">
        <v>379</v>
      </c>
      <c r="D381">
        <f t="shared" si="35"/>
        <v>144.47196430477078</v>
      </c>
      <c r="E381">
        <v>19.739999999999998</v>
      </c>
      <c r="F381">
        <v>379</v>
      </c>
      <c r="G381">
        <f t="shared" si="36"/>
        <v>29.722741433021799</v>
      </c>
      <c r="H381">
        <v>1522.5600589999999</v>
      </c>
      <c r="I381">
        <v>379</v>
      </c>
      <c r="J381">
        <f t="shared" si="37"/>
        <v>1193.3730940653836</v>
      </c>
      <c r="K381">
        <f t="shared" si="38"/>
        <v>0.30695267380178848</v>
      </c>
      <c r="L381">
        <v>60.731666145815325</v>
      </c>
    </row>
    <row r="382" spans="1:12">
      <c r="A382" s="1">
        <v>44412</v>
      </c>
      <c r="B382">
        <v>98.790001000000004</v>
      </c>
      <c r="C382">
        <v>380</v>
      </c>
      <c r="D382">
        <f t="shared" si="35"/>
        <v>142.50953869190573</v>
      </c>
      <c r="E382">
        <v>19.059999000000001</v>
      </c>
      <c r="F382">
        <v>380</v>
      </c>
      <c r="G382">
        <f t="shared" si="36"/>
        <v>28.001011702127666</v>
      </c>
      <c r="H382">
        <v>1555.5200199999999</v>
      </c>
      <c r="I382">
        <v>380</v>
      </c>
      <c r="J382">
        <f t="shared" si="37"/>
        <v>1232.1071559910135</v>
      </c>
      <c r="K382">
        <f t="shared" si="38"/>
        <v>32.324874432999422</v>
      </c>
      <c r="L382">
        <v>61.235143684081777</v>
      </c>
    </row>
    <row r="383" spans="1:12">
      <c r="A383" s="1">
        <v>44413</v>
      </c>
      <c r="B383">
        <v>100.32</v>
      </c>
      <c r="C383">
        <v>381</v>
      </c>
      <c r="D383">
        <f t="shared" si="35"/>
        <v>145.21469637397814</v>
      </c>
      <c r="E383">
        <v>19.559999000000001</v>
      </c>
      <c r="F383">
        <v>381</v>
      </c>
      <c r="G383">
        <f t="shared" si="36"/>
        <v>29.760755548832929</v>
      </c>
      <c r="H383">
        <v>1545.5500489999999</v>
      </c>
      <c r="I383">
        <v>381</v>
      </c>
      <c r="J383">
        <f t="shared" si="37"/>
        <v>1198.2702473311788</v>
      </c>
      <c r="K383">
        <f t="shared" si="38"/>
        <v>18.098791634633017</v>
      </c>
      <c r="L383">
        <v>61.237574457158189</v>
      </c>
    </row>
    <row r="384" spans="1:12">
      <c r="A384" s="1">
        <v>44414</v>
      </c>
      <c r="B384">
        <v>100.660004</v>
      </c>
      <c r="C384">
        <v>382</v>
      </c>
      <c r="D384">
        <f t="shared" si="35"/>
        <v>143.4846548245614</v>
      </c>
      <c r="E384">
        <v>19.68</v>
      </c>
      <c r="F384">
        <v>382</v>
      </c>
      <c r="G384">
        <f t="shared" si="36"/>
        <v>29.177915602142924</v>
      </c>
      <c r="H384">
        <v>1525.0600589999999</v>
      </c>
      <c r="I384">
        <v>382</v>
      </c>
      <c r="J384">
        <f t="shared" si="37"/>
        <v>1190.0115640667939</v>
      </c>
      <c r="K384">
        <f t="shared" si="38"/>
        <v>-24.461589588654533</v>
      </c>
      <c r="L384">
        <v>62.116391119806394</v>
      </c>
    </row>
    <row r="385" spans="1:12">
      <c r="A385" s="1">
        <v>44417</v>
      </c>
      <c r="B385">
        <v>100.58000199999999</v>
      </c>
      <c r="C385">
        <v>383</v>
      </c>
      <c r="D385">
        <f t="shared" si="35"/>
        <v>142.88634725267843</v>
      </c>
      <c r="E385">
        <v>19.170000000000002</v>
      </c>
      <c r="F385">
        <v>383</v>
      </c>
      <c r="G385">
        <f t="shared" si="36"/>
        <v>28.248475609756103</v>
      </c>
      <c r="H385">
        <v>1549.98999</v>
      </c>
      <c r="I385">
        <v>383</v>
      </c>
      <c r="J385">
        <f t="shared" si="37"/>
        <v>1225.7143034522289</v>
      </c>
      <c r="K385">
        <f t="shared" si="38"/>
        <v>27.019213577583287</v>
      </c>
      <c r="L385">
        <v>62.657199291557845</v>
      </c>
    </row>
    <row r="386" spans="1:12">
      <c r="A386" s="1">
        <v>44418</v>
      </c>
      <c r="B386">
        <v>102.110001</v>
      </c>
      <c r="C386">
        <v>384</v>
      </c>
      <c r="D386">
        <f t="shared" si="35"/>
        <v>145.17528189152353</v>
      </c>
      <c r="E386">
        <v>19.719999000000001</v>
      </c>
      <c r="F386">
        <v>384</v>
      </c>
      <c r="G386">
        <f t="shared" si="36"/>
        <v>29.832027699530517</v>
      </c>
      <c r="H386">
        <v>1525.9399410000001</v>
      </c>
      <c r="I386">
        <v>384</v>
      </c>
      <c r="J386">
        <f t="shared" si="37"/>
        <v>1187.2873894146892</v>
      </c>
      <c r="K386">
        <f t="shared" si="38"/>
        <v>-3.1919867624283143</v>
      </c>
      <c r="L386">
        <v>63.120149405272059</v>
      </c>
    </row>
    <row r="387" spans="1:12">
      <c r="A387" s="1">
        <v>44419</v>
      </c>
      <c r="B387">
        <v>103.220001</v>
      </c>
      <c r="C387">
        <v>385</v>
      </c>
      <c r="D387">
        <f t="shared" si="35"/>
        <v>144.55450003374304</v>
      </c>
      <c r="E387">
        <v>19.75</v>
      </c>
      <c r="F387">
        <v>385</v>
      </c>
      <c r="G387">
        <f t="shared" si="36"/>
        <v>29.044119119884336</v>
      </c>
      <c r="H387">
        <v>1485.2299800000001</v>
      </c>
      <c r="I387">
        <v>385</v>
      </c>
      <c r="J387">
        <f t="shared" si="37"/>
        <v>1173.8255928383226</v>
      </c>
      <c r="K387">
        <f t="shared" si="38"/>
        <v>-48.142027187659551</v>
      </c>
      <c r="L387">
        <v>63.301112365789777</v>
      </c>
    </row>
    <row r="388" spans="1:12">
      <c r="A388" s="1">
        <v>44420</v>
      </c>
      <c r="B388">
        <v>103.160004</v>
      </c>
      <c r="C388">
        <v>386</v>
      </c>
      <c r="D388">
        <f t="shared" ref="D388:D451" si="39">143*B388/B387</f>
        <v>142.91688073128387</v>
      </c>
      <c r="E388">
        <v>19.52</v>
      </c>
      <c r="F388">
        <v>386</v>
      </c>
      <c r="G388">
        <f t="shared" ref="G388:G451" si="40">29 *E388/E387</f>
        <v>28.66227848101266</v>
      </c>
      <c r="H388">
        <v>1503.1999510000001</v>
      </c>
      <c r="I388">
        <v>386</v>
      </c>
      <c r="J388">
        <f t="shared" ref="J388:J451" si="41">1206 *H388/H387</f>
        <v>1220.5915348584601</v>
      </c>
      <c r="K388">
        <f t="shared" ref="K388:K451" si="42">(1430*D388/143+435*G388/29+2412*J388/1206)-1430-435-2412</f>
        <v>23.2860542449489</v>
      </c>
      <c r="L388">
        <v>63.379999884076824</v>
      </c>
    </row>
    <row r="389" spans="1:12">
      <c r="A389" s="1">
        <v>44421</v>
      </c>
      <c r="B389">
        <v>102.870003</v>
      </c>
      <c r="C389">
        <v>387</v>
      </c>
      <c r="D389">
        <f t="shared" si="39"/>
        <v>142.59800173136867</v>
      </c>
      <c r="E389">
        <v>19.190000999999999</v>
      </c>
      <c r="F389">
        <v>387</v>
      </c>
      <c r="G389">
        <f t="shared" si="40"/>
        <v>28.509735092213113</v>
      </c>
      <c r="H389">
        <v>1498</v>
      </c>
      <c r="I389">
        <v>387</v>
      </c>
      <c r="J389">
        <f t="shared" si="41"/>
        <v>1201.8281392293632</v>
      </c>
      <c r="K389">
        <f t="shared" si="42"/>
        <v>-19.717677844389982</v>
      </c>
      <c r="L389">
        <v>63.594755375685054</v>
      </c>
    </row>
    <row r="390" spans="1:12">
      <c r="A390" s="1">
        <v>44424</v>
      </c>
      <c r="B390">
        <v>101.989998</v>
      </c>
      <c r="C390">
        <v>388</v>
      </c>
      <c r="D390">
        <f t="shared" si="39"/>
        <v>141.77670155215219</v>
      </c>
      <c r="E390">
        <v>18.850000000000001</v>
      </c>
      <c r="F390">
        <v>388</v>
      </c>
      <c r="G390">
        <f t="shared" si="40"/>
        <v>28.486189239906768</v>
      </c>
      <c r="H390">
        <v>1489</v>
      </c>
      <c r="I390">
        <v>388</v>
      </c>
      <c r="J390">
        <f t="shared" si="41"/>
        <v>1198.7543391188251</v>
      </c>
      <c r="K390">
        <f t="shared" si="42"/>
        <v>-34.43146764222638</v>
      </c>
      <c r="L390">
        <v>65.978168910794921</v>
      </c>
    </row>
    <row r="391" spans="1:12">
      <c r="A391" s="1">
        <v>44425</v>
      </c>
      <c r="B391">
        <v>100.980003</v>
      </c>
      <c r="C391">
        <v>389</v>
      </c>
      <c r="D391">
        <f t="shared" si="39"/>
        <v>141.58388775534635</v>
      </c>
      <c r="E391">
        <v>18.469999000000001</v>
      </c>
      <c r="F391">
        <v>389</v>
      </c>
      <c r="G391">
        <f t="shared" si="40"/>
        <v>28.415383076923078</v>
      </c>
      <c r="H391">
        <v>1481.869995</v>
      </c>
      <c r="I391">
        <v>389</v>
      </c>
      <c r="J391">
        <f t="shared" si="41"/>
        <v>1200.2251269106782</v>
      </c>
      <c r="K391">
        <f t="shared" si="42"/>
        <v>-34.480122471333743</v>
      </c>
      <c r="L391">
        <v>66.747076950705377</v>
      </c>
    </row>
    <row r="392" spans="1:12">
      <c r="A392" s="1">
        <v>44426</v>
      </c>
      <c r="B392">
        <v>101.269997</v>
      </c>
      <c r="C392">
        <v>390</v>
      </c>
      <c r="D392">
        <f t="shared" si="39"/>
        <v>143.41066687233115</v>
      </c>
      <c r="E392">
        <v>17.989999999999998</v>
      </c>
      <c r="F392">
        <v>390</v>
      </c>
      <c r="G392">
        <f t="shared" si="40"/>
        <v>28.246346954323055</v>
      </c>
      <c r="H392">
        <v>1489.1800539999999</v>
      </c>
      <c r="I392">
        <v>390</v>
      </c>
      <c r="J392">
        <f t="shared" si="41"/>
        <v>1211.9491933730662</v>
      </c>
      <c r="K392">
        <f t="shared" si="42"/>
        <v>4.700259784289301</v>
      </c>
      <c r="L392">
        <v>67.200286919489372</v>
      </c>
    </row>
    <row r="393" spans="1:12">
      <c r="A393" s="1">
        <v>44427</v>
      </c>
      <c r="B393">
        <v>98.860000999999997</v>
      </c>
      <c r="C393">
        <v>391</v>
      </c>
      <c r="D393">
        <f t="shared" si="39"/>
        <v>139.59692467454104</v>
      </c>
      <c r="E393">
        <v>17.549999</v>
      </c>
      <c r="F393">
        <v>391</v>
      </c>
      <c r="G393">
        <f t="shared" si="40"/>
        <v>28.290715453029463</v>
      </c>
      <c r="H393">
        <v>1466.1099850000001</v>
      </c>
      <c r="I393">
        <v>391</v>
      </c>
      <c r="J393">
        <f t="shared" si="41"/>
        <v>1187.316897752379</v>
      </c>
      <c r="K393">
        <f t="shared" si="42"/>
        <v>-82.03622595438992</v>
      </c>
      <c r="L393">
        <v>67.988076617769366</v>
      </c>
    </row>
    <row r="394" spans="1:12">
      <c r="A394" s="1">
        <v>44428</v>
      </c>
      <c r="B394">
        <v>99.790001000000004</v>
      </c>
      <c r="C394">
        <v>392</v>
      </c>
      <c r="D394">
        <f t="shared" si="39"/>
        <v>144.34523567322239</v>
      </c>
      <c r="E394">
        <v>17.5</v>
      </c>
      <c r="F394">
        <v>392</v>
      </c>
      <c r="G394">
        <f t="shared" si="40"/>
        <v>28.917380565092909</v>
      </c>
      <c r="H394">
        <v>1450.6999510000001</v>
      </c>
      <c r="I394">
        <v>392</v>
      </c>
      <c r="J394">
        <f t="shared" si="41"/>
        <v>1193.3239380441162</v>
      </c>
      <c r="K394">
        <f t="shared" si="42"/>
        <v>-13.139058703150113</v>
      </c>
      <c r="L394">
        <v>68.203420496260151</v>
      </c>
    </row>
    <row r="395" spans="1:12">
      <c r="A395" s="1">
        <v>44431</v>
      </c>
      <c r="B395">
        <v>101.779999</v>
      </c>
      <c r="C395">
        <v>393</v>
      </c>
      <c r="D395">
        <f t="shared" si="39"/>
        <v>145.85168565135098</v>
      </c>
      <c r="E395">
        <v>18.299999</v>
      </c>
      <c r="F395">
        <v>393</v>
      </c>
      <c r="G395">
        <f t="shared" si="40"/>
        <v>30.325712628571427</v>
      </c>
      <c r="H395">
        <v>1481.410034</v>
      </c>
      <c r="I395">
        <v>393</v>
      </c>
      <c r="J395">
        <f t="shared" si="41"/>
        <v>1231.5299933473286</v>
      </c>
      <c r="K395">
        <f t="shared" si="42"/>
        <v>99.462532636738615</v>
      </c>
      <c r="L395">
        <v>68.651925360952191</v>
      </c>
    </row>
    <row r="396" spans="1:12">
      <c r="A396" s="1">
        <v>44432</v>
      </c>
      <c r="B396">
        <v>103.83000199999999</v>
      </c>
      <c r="C396">
        <v>394</v>
      </c>
      <c r="D396">
        <f t="shared" si="39"/>
        <v>145.88023611593863</v>
      </c>
      <c r="E396">
        <v>18.709999</v>
      </c>
      <c r="F396">
        <v>394</v>
      </c>
      <c r="G396">
        <f t="shared" si="40"/>
        <v>29.649726811460482</v>
      </c>
      <c r="H396">
        <v>1538.51001</v>
      </c>
      <c r="I396">
        <v>394</v>
      </c>
      <c r="J396">
        <f t="shared" si="41"/>
        <v>1252.4844772720096</v>
      </c>
      <c r="K396">
        <f t="shared" si="42"/>
        <v>131.51721787531278</v>
      </c>
      <c r="L396">
        <v>69.962652711879855</v>
      </c>
    </row>
    <row r="397" spans="1:12">
      <c r="A397" s="1">
        <v>44433</v>
      </c>
      <c r="B397">
        <v>103.739998</v>
      </c>
      <c r="C397">
        <v>395</v>
      </c>
      <c r="D397">
        <f t="shared" si="39"/>
        <v>142.87604187853142</v>
      </c>
      <c r="E397">
        <v>18.719999000000001</v>
      </c>
      <c r="F397">
        <v>395</v>
      </c>
      <c r="G397">
        <f t="shared" si="40"/>
        <v>29.015499733591653</v>
      </c>
      <c r="H397">
        <v>1552.23999</v>
      </c>
      <c r="I397">
        <v>395</v>
      </c>
      <c r="J397">
        <f t="shared" si="41"/>
        <v>1216.762592230388</v>
      </c>
      <c r="K397">
        <f t="shared" si="42"/>
        <v>20.518099249964507</v>
      </c>
      <c r="L397">
        <v>70.347356743226555</v>
      </c>
    </row>
    <row r="398" spans="1:12">
      <c r="A398" s="1">
        <v>44434</v>
      </c>
      <c r="B398">
        <v>100.599998</v>
      </c>
      <c r="C398">
        <v>396</v>
      </c>
      <c r="D398">
        <f t="shared" si="39"/>
        <v>138.67167911454945</v>
      </c>
      <c r="E398">
        <v>18.66</v>
      </c>
      <c r="F398">
        <v>396</v>
      </c>
      <c r="G398">
        <f t="shared" si="40"/>
        <v>28.907052826231453</v>
      </c>
      <c r="H398">
        <v>1515.579956</v>
      </c>
      <c r="I398">
        <v>396</v>
      </c>
      <c r="J398">
        <f t="shared" si="41"/>
        <v>1177.5172903102439</v>
      </c>
      <c r="K398">
        <f t="shared" si="42"/>
        <v>-101.64283584054556</v>
      </c>
      <c r="L398">
        <v>73.16289919409337</v>
      </c>
    </row>
    <row r="399" spans="1:12">
      <c r="A399" s="1">
        <v>44435</v>
      </c>
      <c r="B399">
        <v>100.650002</v>
      </c>
      <c r="C399">
        <v>397</v>
      </c>
      <c r="D399">
        <f t="shared" si="39"/>
        <v>143.0710792459459</v>
      </c>
      <c r="E399">
        <v>19.209999</v>
      </c>
      <c r="F399">
        <v>397</v>
      </c>
      <c r="G399">
        <f t="shared" si="40"/>
        <v>29.854768006430866</v>
      </c>
      <c r="H399">
        <v>1531.420044</v>
      </c>
      <c r="I399">
        <v>397</v>
      </c>
      <c r="J399">
        <f t="shared" si="41"/>
        <v>1218.6045122544494</v>
      </c>
      <c r="K399">
        <f t="shared" si="42"/>
        <v>38.741337064820982</v>
      </c>
      <c r="L399">
        <v>75.998119998834227</v>
      </c>
    </row>
    <row r="400" spans="1:12">
      <c r="A400" s="1">
        <v>44438</v>
      </c>
      <c r="B400">
        <v>99.82</v>
      </c>
      <c r="C400">
        <v>398</v>
      </c>
      <c r="D400">
        <f t="shared" si="39"/>
        <v>141.82076220922477</v>
      </c>
      <c r="E400">
        <v>18.940000999999999</v>
      </c>
      <c r="F400">
        <v>398</v>
      </c>
      <c r="G400">
        <f t="shared" si="40"/>
        <v>28.592402789817946</v>
      </c>
      <c r="H400">
        <v>1549</v>
      </c>
      <c r="I400">
        <v>398</v>
      </c>
      <c r="J400">
        <f t="shared" si="41"/>
        <v>1219.8442924389462</v>
      </c>
      <c r="K400">
        <f t="shared" si="42"/>
        <v>9.7822488174097089</v>
      </c>
      <c r="L400">
        <v>77.048201494006207</v>
      </c>
    </row>
    <row r="401" spans="1:12">
      <c r="A401" s="1">
        <v>44439</v>
      </c>
      <c r="B401">
        <v>99.519997000000004</v>
      </c>
      <c r="C401">
        <v>399</v>
      </c>
      <c r="D401">
        <f t="shared" si="39"/>
        <v>142.57022210979764</v>
      </c>
      <c r="E401">
        <v>18.649999999999999</v>
      </c>
      <c r="F401">
        <v>399</v>
      </c>
      <c r="G401">
        <f t="shared" si="40"/>
        <v>28.555964701374617</v>
      </c>
      <c r="H401">
        <v>1524.780029</v>
      </c>
      <c r="I401">
        <v>399</v>
      </c>
      <c r="J401">
        <f t="shared" si="41"/>
        <v>1187.1431342633957</v>
      </c>
      <c r="K401">
        <f t="shared" si="42"/>
        <v>-48.672039854613104</v>
      </c>
      <c r="L401">
        <v>77.538421979521445</v>
      </c>
    </row>
    <row r="402" spans="1:12">
      <c r="A402" s="1">
        <v>44440</v>
      </c>
      <c r="B402">
        <v>100.610001</v>
      </c>
      <c r="C402">
        <v>400</v>
      </c>
      <c r="D402">
        <f t="shared" si="39"/>
        <v>144.56622364046092</v>
      </c>
      <c r="E402">
        <v>18.459999</v>
      </c>
      <c r="F402">
        <v>400</v>
      </c>
      <c r="G402">
        <f t="shared" si="40"/>
        <v>28.704556085790887</v>
      </c>
      <c r="H402">
        <v>1539.030029</v>
      </c>
      <c r="I402">
        <v>400</v>
      </c>
      <c r="J402">
        <f t="shared" si="41"/>
        <v>1217.2708060658892</v>
      </c>
      <c r="K402">
        <f t="shared" si="42"/>
        <v>33.77218982325121</v>
      </c>
      <c r="L402">
        <v>78.13236904562109</v>
      </c>
    </row>
    <row r="403" spans="1:12">
      <c r="A403" s="1">
        <v>44441</v>
      </c>
      <c r="B403">
        <v>101.82</v>
      </c>
      <c r="C403">
        <v>401</v>
      </c>
      <c r="D403">
        <f t="shared" si="39"/>
        <v>144.71980772567528</v>
      </c>
      <c r="E403">
        <v>18.899999999999999</v>
      </c>
      <c r="F403">
        <v>401</v>
      </c>
      <c r="G403">
        <f t="shared" si="40"/>
        <v>29.691225877097821</v>
      </c>
      <c r="H403">
        <v>1542.599976</v>
      </c>
      <c r="I403">
        <v>401</v>
      </c>
      <c r="J403">
        <f t="shared" si="41"/>
        <v>1208.7974477436269</v>
      </c>
      <c r="K403">
        <f t="shared" si="42"/>
        <v>33.161360900474392</v>
      </c>
      <c r="L403">
        <v>78.315091797561763</v>
      </c>
    </row>
    <row r="404" spans="1:12">
      <c r="A404" s="1">
        <v>44442</v>
      </c>
      <c r="B404">
        <v>101.970001</v>
      </c>
      <c r="C404">
        <v>402</v>
      </c>
      <c r="D404">
        <f t="shared" si="39"/>
        <v>143.21066728540563</v>
      </c>
      <c r="E404">
        <v>18.719999000000001</v>
      </c>
      <c r="F404">
        <v>402</v>
      </c>
      <c r="G404">
        <f t="shared" si="40"/>
        <v>28.723807989417995</v>
      </c>
      <c r="H404">
        <v>1554.25</v>
      </c>
      <c r="I404">
        <v>402</v>
      </c>
      <c r="J404">
        <f t="shared" si="41"/>
        <v>1215.1079535606061</v>
      </c>
      <c r="K404">
        <f t="shared" si="42"/>
        <v>16.179699816538232</v>
      </c>
      <c r="L404">
        <v>78.608544314498431</v>
      </c>
    </row>
    <row r="405" spans="1:12">
      <c r="A405" s="1">
        <v>44446</v>
      </c>
      <c r="B405">
        <v>101.529999</v>
      </c>
      <c r="C405">
        <v>403</v>
      </c>
      <c r="D405">
        <f t="shared" si="39"/>
        <v>142.38295297261004</v>
      </c>
      <c r="E405">
        <v>18.43</v>
      </c>
      <c r="F405">
        <v>403</v>
      </c>
      <c r="G405">
        <f t="shared" si="40"/>
        <v>28.550749388394731</v>
      </c>
      <c r="H405">
        <v>1536.6999510000001</v>
      </c>
      <c r="I405">
        <v>403</v>
      </c>
      <c r="J405">
        <f t="shared" si="41"/>
        <v>1192.3822685578255</v>
      </c>
      <c r="K405">
        <f t="shared" si="42"/>
        <v>-40.144692332327395</v>
      </c>
      <c r="L405">
        <v>79.219986150322256</v>
      </c>
    </row>
    <row r="406" spans="1:12">
      <c r="A406" s="1">
        <v>44447</v>
      </c>
      <c r="B406">
        <v>101.230003</v>
      </c>
      <c r="C406">
        <v>404</v>
      </c>
      <c r="D406">
        <f t="shared" si="39"/>
        <v>142.57747041837357</v>
      </c>
      <c r="E406">
        <v>18.239999999999998</v>
      </c>
      <c r="F406">
        <v>404</v>
      </c>
      <c r="G406">
        <f t="shared" si="40"/>
        <v>28.701030927835049</v>
      </c>
      <c r="H406">
        <v>1477.8100589999999</v>
      </c>
      <c r="I406">
        <v>404</v>
      </c>
      <c r="J406">
        <f t="shared" si="41"/>
        <v>1159.7832940608976</v>
      </c>
      <c r="K406">
        <f t="shared" si="42"/>
        <v>-101.14324377694356</v>
      </c>
      <c r="L406">
        <v>79.45201967986668</v>
      </c>
    </row>
    <row r="407" spans="1:12">
      <c r="A407" s="1">
        <v>44448</v>
      </c>
      <c r="B407">
        <v>101.349998</v>
      </c>
      <c r="C407">
        <v>405</v>
      </c>
      <c r="D407">
        <f t="shared" si="39"/>
        <v>143.16950789777218</v>
      </c>
      <c r="E407">
        <v>18.540001</v>
      </c>
      <c r="F407">
        <v>405</v>
      </c>
      <c r="G407">
        <f t="shared" si="40"/>
        <v>29.476975274122811</v>
      </c>
      <c r="H407">
        <v>1504.079956</v>
      </c>
      <c r="I407">
        <v>405</v>
      </c>
      <c r="J407">
        <f t="shared" si="41"/>
        <v>1227.4381378642383</v>
      </c>
      <c r="K407">
        <f t="shared" si="42"/>
        <v>51.725983818040731</v>
      </c>
      <c r="L407">
        <v>80.244689406106772</v>
      </c>
    </row>
    <row r="408" spans="1:12">
      <c r="A408" s="1">
        <v>44449</v>
      </c>
      <c r="B408">
        <v>100.879997</v>
      </c>
      <c r="C408">
        <v>406</v>
      </c>
      <c r="D408">
        <f t="shared" si="39"/>
        <v>142.3368510673281</v>
      </c>
      <c r="E408">
        <v>18.299999</v>
      </c>
      <c r="F408">
        <v>406</v>
      </c>
      <c r="G408">
        <f t="shared" si="40"/>
        <v>28.624592361133097</v>
      </c>
      <c r="H408">
        <v>1484.099976</v>
      </c>
      <c r="I408">
        <v>406</v>
      </c>
      <c r="J408">
        <f t="shared" si="41"/>
        <v>1189.9796709052082</v>
      </c>
      <c r="K408">
        <f t="shared" si="42"/>
        <v>-44.303262099306266</v>
      </c>
      <c r="L408">
        <v>80.601481542549664</v>
      </c>
    </row>
    <row r="409" spans="1:12">
      <c r="A409" s="1">
        <v>44452</v>
      </c>
      <c r="B409">
        <v>101.769997</v>
      </c>
      <c r="C409">
        <v>407</v>
      </c>
      <c r="D409">
        <f t="shared" si="39"/>
        <v>144.26159797566211</v>
      </c>
      <c r="E409">
        <v>19</v>
      </c>
      <c r="F409">
        <v>407</v>
      </c>
      <c r="G409">
        <f t="shared" si="40"/>
        <v>30.109291262802802</v>
      </c>
      <c r="H409">
        <v>1476.869995</v>
      </c>
      <c r="I409">
        <v>407</v>
      </c>
      <c r="J409">
        <f t="shared" si="41"/>
        <v>1200.1248182555055</v>
      </c>
      <c r="K409">
        <f t="shared" si="42"/>
        <v>17.504985209674487</v>
      </c>
      <c r="L409">
        <v>80.756754296149666</v>
      </c>
    </row>
    <row r="410" spans="1:12">
      <c r="A410" s="1">
        <v>44453</v>
      </c>
      <c r="B410">
        <v>100.5</v>
      </c>
      <c r="C410">
        <v>408</v>
      </c>
      <c r="D410">
        <f t="shared" si="39"/>
        <v>141.21549006236091</v>
      </c>
      <c r="E410">
        <v>18.559999000000001</v>
      </c>
      <c r="F410">
        <v>408</v>
      </c>
      <c r="G410">
        <f t="shared" si="40"/>
        <v>28.328419526315795</v>
      </c>
      <c r="H410">
        <v>1451.280029</v>
      </c>
      <c r="I410">
        <v>408</v>
      </c>
      <c r="J410">
        <f t="shared" si="41"/>
        <v>1185.1034423473409</v>
      </c>
      <c r="K410">
        <f t="shared" si="42"/>
        <v>-69.711921786972198</v>
      </c>
      <c r="L410">
        <v>81.736050635489846</v>
      </c>
    </row>
    <row r="411" spans="1:12">
      <c r="A411" s="1">
        <v>44454</v>
      </c>
      <c r="B411">
        <v>101.629997</v>
      </c>
      <c r="C411">
        <v>409</v>
      </c>
      <c r="D411">
        <f t="shared" si="39"/>
        <v>144.6078564278607</v>
      </c>
      <c r="E411">
        <v>19.620000999999998</v>
      </c>
      <c r="F411">
        <v>409</v>
      </c>
      <c r="G411">
        <f t="shared" si="40"/>
        <v>30.656253214237775</v>
      </c>
      <c r="H411">
        <v>1474.9399410000001</v>
      </c>
      <c r="I411">
        <v>409</v>
      </c>
      <c r="J411">
        <f t="shared" si="41"/>
        <v>1225.6611634569665</v>
      </c>
      <c r="K411">
        <f t="shared" si="42"/>
        <v>80.244689406106772</v>
      </c>
      <c r="L411">
        <v>82.293658280785166</v>
      </c>
    </row>
    <row r="412" spans="1:12">
      <c r="A412" s="1">
        <v>44455</v>
      </c>
      <c r="B412">
        <v>101.58000199999999</v>
      </c>
      <c r="C412">
        <v>410</v>
      </c>
      <c r="D412">
        <f t="shared" si="39"/>
        <v>142.92965379109475</v>
      </c>
      <c r="E412">
        <v>19.57</v>
      </c>
      <c r="F412">
        <v>410</v>
      </c>
      <c r="G412">
        <f t="shared" si="40"/>
        <v>28.9260943462745</v>
      </c>
      <c r="H412">
        <v>1475.969971</v>
      </c>
      <c r="I412">
        <v>410</v>
      </c>
      <c r="J412">
        <f t="shared" si="41"/>
        <v>1206.8422147542885</v>
      </c>
      <c r="K412">
        <f t="shared" si="42"/>
        <v>-0.12761738635799702</v>
      </c>
      <c r="L412">
        <v>82.322813954498997</v>
      </c>
    </row>
    <row r="413" spans="1:12">
      <c r="A413" s="1">
        <v>44456</v>
      </c>
      <c r="B413">
        <v>100.290001</v>
      </c>
      <c r="C413">
        <v>411</v>
      </c>
      <c r="D413">
        <f t="shared" si="39"/>
        <v>141.18399153998837</v>
      </c>
      <c r="E413">
        <v>19.360001</v>
      </c>
      <c r="F413">
        <v>411</v>
      </c>
      <c r="G413">
        <f t="shared" si="40"/>
        <v>28.688810884006131</v>
      </c>
      <c r="H413">
        <v>1486.290039</v>
      </c>
      <c r="I413">
        <v>411</v>
      </c>
      <c r="J413">
        <f t="shared" si="41"/>
        <v>1214.4324222393004</v>
      </c>
      <c r="K413">
        <f t="shared" si="42"/>
        <v>-5.9630768614233602</v>
      </c>
      <c r="L413">
        <v>84.100037242984399</v>
      </c>
    </row>
    <row r="414" spans="1:12">
      <c r="A414" s="1">
        <v>44459</v>
      </c>
      <c r="B414">
        <v>97.599997999999999</v>
      </c>
      <c r="C414">
        <v>412</v>
      </c>
      <c r="D414">
        <f t="shared" si="39"/>
        <v>139.16441893344881</v>
      </c>
      <c r="E414">
        <v>18.709999</v>
      </c>
      <c r="F414">
        <v>412</v>
      </c>
      <c r="G414">
        <f t="shared" si="40"/>
        <v>28.026340029631196</v>
      </c>
      <c r="H414">
        <v>1434.530029</v>
      </c>
      <c r="I414">
        <v>412</v>
      </c>
      <c r="J414">
        <f t="shared" si="41"/>
        <v>1164.0010829501362</v>
      </c>
      <c r="K414">
        <f t="shared" si="42"/>
        <v>-136.95854432077158</v>
      </c>
      <c r="L414">
        <v>85.673323774374694</v>
      </c>
    </row>
    <row r="415" spans="1:12">
      <c r="A415" s="1">
        <v>44460</v>
      </c>
      <c r="B415">
        <v>97.82</v>
      </c>
      <c r="C415">
        <v>413</v>
      </c>
      <c r="D415">
        <f t="shared" si="39"/>
        <v>143.32233900250694</v>
      </c>
      <c r="E415">
        <v>18.940000999999999</v>
      </c>
      <c r="F415">
        <v>413</v>
      </c>
      <c r="G415">
        <f t="shared" si="40"/>
        <v>29.356496972554616</v>
      </c>
      <c r="H415">
        <v>1437.150024</v>
      </c>
      <c r="I415">
        <v>413</v>
      </c>
      <c r="J415">
        <f t="shared" si="41"/>
        <v>1208.2026126369781</v>
      </c>
      <c r="K415">
        <f t="shared" si="42"/>
        <v>12.976069887345147</v>
      </c>
      <c r="L415">
        <v>85.715094397163739</v>
      </c>
    </row>
    <row r="416" spans="1:12">
      <c r="A416" s="1">
        <v>44461</v>
      </c>
      <c r="B416">
        <v>99.150002000000001</v>
      </c>
      <c r="C416">
        <v>414</v>
      </c>
      <c r="D416">
        <f t="shared" si="39"/>
        <v>144.94428834594152</v>
      </c>
      <c r="E416">
        <v>19.739999999999998</v>
      </c>
      <c r="F416">
        <v>414</v>
      </c>
      <c r="G416">
        <f t="shared" si="40"/>
        <v>30.22491920670965</v>
      </c>
      <c r="H416">
        <v>1465.900024</v>
      </c>
      <c r="I416">
        <v>414</v>
      </c>
      <c r="J416">
        <f t="shared" si="41"/>
        <v>1230.1258737229789</v>
      </c>
      <c r="K416">
        <f t="shared" si="42"/>
        <v>86.068419006018303</v>
      </c>
      <c r="L416">
        <v>85.761225663167352</v>
      </c>
    </row>
    <row r="417" spans="1:12">
      <c r="A417" s="1">
        <v>44462</v>
      </c>
      <c r="B417">
        <v>101.43</v>
      </c>
      <c r="C417">
        <v>415</v>
      </c>
      <c r="D417">
        <f t="shared" si="39"/>
        <v>146.28834803250939</v>
      </c>
      <c r="E417">
        <v>20.170000000000002</v>
      </c>
      <c r="F417">
        <v>415</v>
      </c>
      <c r="G417">
        <f t="shared" si="40"/>
        <v>29.631712259371838</v>
      </c>
      <c r="H417">
        <v>1476.599976</v>
      </c>
      <c r="I417">
        <v>415</v>
      </c>
      <c r="J417">
        <f t="shared" si="41"/>
        <v>1214.8028800741733</v>
      </c>
      <c r="K417">
        <f t="shared" si="42"/>
        <v>59.964924364017861</v>
      </c>
      <c r="L417">
        <v>86.068419006018303</v>
      </c>
    </row>
    <row r="418" spans="1:12">
      <c r="A418" s="1">
        <v>44463</v>
      </c>
      <c r="B418">
        <v>101.5</v>
      </c>
      <c r="C418">
        <v>416</v>
      </c>
      <c r="D418">
        <f t="shared" si="39"/>
        <v>143.09868875086266</v>
      </c>
      <c r="E418">
        <v>20.219999000000001</v>
      </c>
      <c r="F418">
        <v>416</v>
      </c>
      <c r="G418">
        <f t="shared" si="40"/>
        <v>29.071887506197324</v>
      </c>
      <c r="H418">
        <v>1444</v>
      </c>
      <c r="I418">
        <v>416</v>
      </c>
      <c r="J418">
        <f t="shared" si="41"/>
        <v>1179.3742572836125</v>
      </c>
      <c r="K418">
        <f t="shared" si="42"/>
        <v>-51.186285331188628</v>
      </c>
      <c r="L418">
        <v>87.43108287258292</v>
      </c>
    </row>
    <row r="419" spans="1:12">
      <c r="A419" s="1">
        <v>44466</v>
      </c>
      <c r="B419">
        <v>102.470001</v>
      </c>
      <c r="C419">
        <v>417</v>
      </c>
      <c r="D419">
        <f t="shared" si="39"/>
        <v>144.36660239408866</v>
      </c>
      <c r="E419">
        <v>20.99</v>
      </c>
      <c r="F419">
        <v>417</v>
      </c>
      <c r="G419">
        <f t="shared" si="40"/>
        <v>30.104353615447749</v>
      </c>
      <c r="H419">
        <v>1443.8100589999999</v>
      </c>
      <c r="I419">
        <v>417</v>
      </c>
      <c r="J419">
        <f t="shared" si="41"/>
        <v>1205.8413650650969</v>
      </c>
      <c r="K419">
        <f t="shared" si="42"/>
        <v>29.914058302796548</v>
      </c>
      <c r="L419">
        <v>90.190029250772568</v>
      </c>
    </row>
    <row r="420" spans="1:12">
      <c r="A420" s="1">
        <v>44467</v>
      </c>
      <c r="B420">
        <v>100.989998</v>
      </c>
      <c r="C420">
        <v>418</v>
      </c>
      <c r="D420">
        <f t="shared" si="39"/>
        <v>140.93461084283584</v>
      </c>
      <c r="E420">
        <v>20.9</v>
      </c>
      <c r="F420">
        <v>418</v>
      </c>
      <c r="G420">
        <f t="shared" si="40"/>
        <v>28.875655073844687</v>
      </c>
      <c r="H420">
        <v>1369.3100589999999</v>
      </c>
      <c r="I420">
        <v>418</v>
      </c>
      <c r="J420">
        <f t="shared" si="41"/>
        <v>1143.7709003757536</v>
      </c>
      <c r="K420">
        <f t="shared" si="42"/>
        <v>-146.97726471246369</v>
      </c>
      <c r="L420">
        <v>94.434431899260744</v>
      </c>
    </row>
    <row r="421" spans="1:12">
      <c r="A421" s="1">
        <v>44468</v>
      </c>
      <c r="B421">
        <v>100.5</v>
      </c>
      <c r="C421">
        <v>419</v>
      </c>
      <c r="D421">
        <f t="shared" si="39"/>
        <v>142.30617174583963</v>
      </c>
      <c r="E421">
        <v>20.74</v>
      </c>
      <c r="F421">
        <v>419</v>
      </c>
      <c r="G421">
        <f t="shared" si="40"/>
        <v>28.777990430622008</v>
      </c>
      <c r="H421">
        <v>1346.5500489999999</v>
      </c>
      <c r="I421">
        <v>419</v>
      </c>
      <c r="J421">
        <f t="shared" si="41"/>
        <v>1185.9544508713786</v>
      </c>
      <c r="K421">
        <f t="shared" si="42"/>
        <v>-50.359524339515701</v>
      </c>
      <c r="L421">
        <v>94.476104742623647</v>
      </c>
    </row>
    <row r="422" spans="1:12">
      <c r="A422" s="1">
        <v>44469</v>
      </c>
      <c r="B422">
        <v>99.730002999999996</v>
      </c>
      <c r="C422">
        <v>420</v>
      </c>
      <c r="D422">
        <f t="shared" si="39"/>
        <v>141.90438237810943</v>
      </c>
      <c r="E422">
        <v>20.74</v>
      </c>
      <c r="F422">
        <v>420</v>
      </c>
      <c r="G422">
        <f t="shared" si="40"/>
        <v>29</v>
      </c>
      <c r="H422">
        <v>1355.780029</v>
      </c>
      <c r="I422">
        <v>420</v>
      </c>
      <c r="J422">
        <f t="shared" si="41"/>
        <v>1214.2665741895496</v>
      </c>
      <c r="K422">
        <f t="shared" si="42"/>
        <v>5.5769721601936908</v>
      </c>
      <c r="L422">
        <v>96.414114802188124</v>
      </c>
    </row>
    <row r="423" spans="1:12">
      <c r="A423" s="1">
        <v>44470</v>
      </c>
      <c r="B423">
        <v>100.75</v>
      </c>
      <c r="C423">
        <v>421</v>
      </c>
      <c r="D423">
        <f t="shared" si="39"/>
        <v>144.46254453637187</v>
      </c>
      <c r="E423">
        <v>20.959999</v>
      </c>
      <c r="F423">
        <v>421</v>
      </c>
      <c r="G423">
        <f t="shared" si="40"/>
        <v>29.307616730954678</v>
      </c>
      <c r="H423">
        <v>1350.76001</v>
      </c>
      <c r="I423">
        <v>421</v>
      </c>
      <c r="J423">
        <f t="shared" si="41"/>
        <v>1201.5345684517381</v>
      </c>
      <c r="K423">
        <f t="shared" si="42"/>
        <v>10.308833231514654</v>
      </c>
      <c r="L423">
        <v>96.867938410334318</v>
      </c>
    </row>
    <row r="424" spans="1:12">
      <c r="A424" s="1">
        <v>44473</v>
      </c>
      <c r="B424">
        <v>101.099998</v>
      </c>
      <c r="C424">
        <v>422</v>
      </c>
      <c r="D424">
        <f t="shared" si="39"/>
        <v>143.49677135483873</v>
      </c>
      <c r="E424">
        <v>21.370000999999998</v>
      </c>
      <c r="F424">
        <v>422</v>
      </c>
      <c r="G424">
        <f t="shared" si="40"/>
        <v>29.56727378660657</v>
      </c>
      <c r="H424">
        <v>1314.900024</v>
      </c>
      <c r="I424">
        <v>422</v>
      </c>
      <c r="J424">
        <f t="shared" si="41"/>
        <v>1173.9831037372805</v>
      </c>
      <c r="K424">
        <f t="shared" si="42"/>
        <v>-50.556972177952957</v>
      </c>
      <c r="L424">
        <v>99.341356853430625</v>
      </c>
    </row>
    <row r="425" spans="1:12">
      <c r="A425" s="1">
        <v>44474</v>
      </c>
      <c r="B425">
        <v>102.489998</v>
      </c>
      <c r="C425">
        <v>423</v>
      </c>
      <c r="D425">
        <f t="shared" si="39"/>
        <v>144.96607323375019</v>
      </c>
      <c r="E425">
        <v>22.120000999999998</v>
      </c>
      <c r="F425">
        <v>423</v>
      </c>
      <c r="G425">
        <f t="shared" si="40"/>
        <v>30.017781889668605</v>
      </c>
      <c r="H425">
        <v>1318.079956</v>
      </c>
      <c r="I425">
        <v>423</v>
      </c>
      <c r="J425">
        <f t="shared" si="41"/>
        <v>1208.9165700220567</v>
      </c>
      <c r="K425">
        <f t="shared" si="42"/>
        <v>40.760600726644043</v>
      </c>
      <c r="L425">
        <v>99.462532636738615</v>
      </c>
    </row>
    <row r="426" spans="1:12">
      <c r="A426" s="1">
        <v>44475</v>
      </c>
      <c r="B426">
        <v>102.05999799999999</v>
      </c>
      <c r="C426">
        <v>424</v>
      </c>
      <c r="D426">
        <f t="shared" si="39"/>
        <v>142.40003901649018</v>
      </c>
      <c r="E426">
        <v>21.559999000000001</v>
      </c>
      <c r="F426">
        <v>424</v>
      </c>
      <c r="G426">
        <f t="shared" si="40"/>
        <v>28.265820195939419</v>
      </c>
      <c r="H426">
        <v>1349.880005</v>
      </c>
      <c r="I426">
        <v>424</v>
      </c>
      <c r="J426">
        <f t="shared" si="41"/>
        <v>1235.0960035614107</v>
      </c>
      <c r="K426">
        <f t="shared" si="42"/>
        <v>41.17970022681402</v>
      </c>
      <c r="L426">
        <v>100.17274427923257</v>
      </c>
    </row>
    <row r="427" spans="1:12">
      <c r="A427" s="1">
        <v>44476</v>
      </c>
      <c r="B427">
        <v>103.55999799999999</v>
      </c>
      <c r="C427">
        <v>425</v>
      </c>
      <c r="D427">
        <f t="shared" si="39"/>
        <v>145.10170492066834</v>
      </c>
      <c r="E427">
        <v>22.309999000000001</v>
      </c>
      <c r="F427">
        <v>425</v>
      </c>
      <c r="G427">
        <f t="shared" si="40"/>
        <v>30.008812662746415</v>
      </c>
      <c r="H427">
        <v>1398.5</v>
      </c>
      <c r="I427">
        <v>425</v>
      </c>
      <c r="J427">
        <f t="shared" si="41"/>
        <v>1249.437723170068</v>
      </c>
      <c r="K427">
        <f t="shared" si="42"/>
        <v>123.02468548801517</v>
      </c>
      <c r="L427">
        <v>100.36932241854811</v>
      </c>
    </row>
    <row r="428" spans="1:12">
      <c r="A428" s="1">
        <v>44477</v>
      </c>
      <c r="B428">
        <v>104.82</v>
      </c>
      <c r="C428">
        <v>426</v>
      </c>
      <c r="D428">
        <f t="shared" si="39"/>
        <v>144.73986374545893</v>
      </c>
      <c r="E428">
        <v>23.1</v>
      </c>
      <c r="F428">
        <v>426</v>
      </c>
      <c r="G428">
        <f t="shared" si="40"/>
        <v>30.026895115504043</v>
      </c>
      <c r="H428">
        <v>1378.030029</v>
      </c>
      <c r="I428">
        <v>426</v>
      </c>
      <c r="J428">
        <f t="shared" si="41"/>
        <v>1188.3476689124063</v>
      </c>
      <c r="K428">
        <f t="shared" si="42"/>
        <v>-2.5025979880374507</v>
      </c>
      <c r="L428">
        <v>100.995282333869</v>
      </c>
    </row>
    <row r="429" spans="1:12">
      <c r="A429" s="1">
        <v>44480</v>
      </c>
      <c r="B429">
        <v>104.33000199999999</v>
      </c>
      <c r="C429">
        <v>427</v>
      </c>
      <c r="D429">
        <f t="shared" si="39"/>
        <v>142.33152343064302</v>
      </c>
      <c r="E429">
        <v>23.42</v>
      </c>
      <c r="F429">
        <v>427</v>
      </c>
      <c r="G429">
        <f t="shared" si="40"/>
        <v>29.401731601731601</v>
      </c>
      <c r="H429">
        <v>1357.01001</v>
      </c>
      <c r="I429">
        <v>427</v>
      </c>
      <c r="J429">
        <f t="shared" si="41"/>
        <v>1187.6040707528007</v>
      </c>
      <c r="K429">
        <f t="shared" si="42"/>
        <v>-37.450650161994417</v>
      </c>
      <c r="L429">
        <v>103.56394395567077</v>
      </c>
    </row>
    <row r="430" spans="1:12">
      <c r="A430" s="1">
        <v>44481</v>
      </c>
      <c r="B430">
        <v>104.040001</v>
      </c>
      <c r="C430">
        <v>428</v>
      </c>
      <c r="D430">
        <f t="shared" si="39"/>
        <v>142.60250989930969</v>
      </c>
      <c r="E430">
        <v>23.42</v>
      </c>
      <c r="F430">
        <v>428</v>
      </c>
      <c r="G430">
        <f t="shared" si="40"/>
        <v>29</v>
      </c>
      <c r="H430">
        <v>1357.219971</v>
      </c>
      <c r="I430">
        <v>428</v>
      </c>
      <c r="J430">
        <f t="shared" si="41"/>
        <v>1206.1865962403622</v>
      </c>
      <c r="K430">
        <f t="shared" si="42"/>
        <v>-3.601708526179209</v>
      </c>
      <c r="L430">
        <v>106.52099250590618</v>
      </c>
    </row>
    <row r="431" spans="1:12">
      <c r="A431" s="1">
        <v>44482</v>
      </c>
      <c r="B431">
        <v>104.089996</v>
      </c>
      <c r="C431">
        <v>429</v>
      </c>
      <c r="D431">
        <f t="shared" si="39"/>
        <v>143.06871669484124</v>
      </c>
      <c r="E431">
        <v>23.48</v>
      </c>
      <c r="F431">
        <v>429</v>
      </c>
      <c r="G431">
        <f t="shared" si="40"/>
        <v>29.074295473953882</v>
      </c>
      <c r="H431">
        <v>1398.969971</v>
      </c>
      <c r="I431">
        <v>429</v>
      </c>
      <c r="J431">
        <f t="shared" si="41"/>
        <v>1243.0982604705571</v>
      </c>
      <c r="K431">
        <f t="shared" si="42"/>
        <v>75.998119998834227</v>
      </c>
      <c r="L431">
        <v>106.57321667468386</v>
      </c>
    </row>
    <row r="432" spans="1:12">
      <c r="A432" s="1">
        <v>44483</v>
      </c>
      <c r="B432">
        <v>105.510002</v>
      </c>
      <c r="C432">
        <v>430</v>
      </c>
      <c r="D432">
        <f t="shared" si="39"/>
        <v>144.95082011531636</v>
      </c>
      <c r="E432">
        <v>23.549999</v>
      </c>
      <c r="F432">
        <v>430</v>
      </c>
      <c r="G432">
        <f t="shared" si="40"/>
        <v>29.086455323679726</v>
      </c>
      <c r="H432">
        <v>1406.75</v>
      </c>
      <c r="I432">
        <v>430</v>
      </c>
      <c r="J432">
        <f t="shared" si="41"/>
        <v>1212.7068737489005</v>
      </c>
      <c r="K432">
        <f t="shared" si="42"/>
        <v>34.218778506160561</v>
      </c>
      <c r="L432">
        <v>107.00901755907762</v>
      </c>
    </row>
    <row r="433" spans="1:12">
      <c r="A433" s="1">
        <v>44484</v>
      </c>
      <c r="B433">
        <v>107.209999</v>
      </c>
      <c r="C433">
        <v>431</v>
      </c>
      <c r="D433">
        <f t="shared" si="39"/>
        <v>145.3040429001224</v>
      </c>
      <c r="E433">
        <v>23.51</v>
      </c>
      <c r="F433">
        <v>431</v>
      </c>
      <c r="G433">
        <f t="shared" si="40"/>
        <v>28.95074432911866</v>
      </c>
      <c r="H433">
        <v>1424.579956</v>
      </c>
      <c r="I433">
        <v>431</v>
      </c>
      <c r="J433">
        <f t="shared" si="41"/>
        <v>1221.2855354085659</v>
      </c>
      <c r="K433">
        <f t="shared" si="42"/>
        <v>52.872664755135702</v>
      </c>
      <c r="L433">
        <v>108.70455732535902</v>
      </c>
    </row>
    <row r="434" spans="1:12">
      <c r="A434" s="1">
        <v>44487</v>
      </c>
      <c r="B434">
        <v>106.980003</v>
      </c>
      <c r="C434">
        <v>432</v>
      </c>
      <c r="D434">
        <f t="shared" si="39"/>
        <v>142.69322424860763</v>
      </c>
      <c r="E434">
        <v>23.17</v>
      </c>
      <c r="F434">
        <v>432</v>
      </c>
      <c r="G434">
        <f t="shared" si="40"/>
        <v>28.580603998298596</v>
      </c>
      <c r="H434">
        <v>1465.1099850000001</v>
      </c>
      <c r="I434">
        <v>432</v>
      </c>
      <c r="J434">
        <f t="shared" si="41"/>
        <v>1240.3113173592903</v>
      </c>
      <c r="K434">
        <f t="shared" si="42"/>
        <v>59.26393717913561</v>
      </c>
      <c r="L434">
        <v>109.05039841096368</v>
      </c>
    </row>
    <row r="435" spans="1:12">
      <c r="A435" s="1">
        <v>44488</v>
      </c>
      <c r="B435">
        <v>107.709999</v>
      </c>
      <c r="C435">
        <v>433</v>
      </c>
      <c r="D435">
        <f t="shared" si="39"/>
        <v>143.97578449310757</v>
      </c>
      <c r="E435">
        <v>23.16</v>
      </c>
      <c r="F435">
        <v>433</v>
      </c>
      <c r="G435">
        <f t="shared" si="40"/>
        <v>28.987483815278374</v>
      </c>
      <c r="H435">
        <v>1485.73999</v>
      </c>
      <c r="I435">
        <v>433</v>
      </c>
      <c r="J435">
        <f t="shared" si="41"/>
        <v>1222.9815142103478</v>
      </c>
      <c r="K435">
        <f t="shared" si="42"/>
        <v>43.533130580946818</v>
      </c>
      <c r="L435">
        <v>109.12059673196563</v>
      </c>
    </row>
    <row r="436" spans="1:12">
      <c r="A436" s="1">
        <v>44489</v>
      </c>
      <c r="B436">
        <v>109.300003</v>
      </c>
      <c r="C436">
        <v>434</v>
      </c>
      <c r="D436">
        <f t="shared" si="39"/>
        <v>145.11095138901638</v>
      </c>
      <c r="E436">
        <v>23.16</v>
      </c>
      <c r="F436">
        <v>434</v>
      </c>
      <c r="G436">
        <f t="shared" si="40"/>
        <v>29</v>
      </c>
      <c r="H436">
        <v>1487.469971</v>
      </c>
      <c r="I436">
        <v>434</v>
      </c>
      <c r="J436">
        <f t="shared" si="41"/>
        <v>1207.4042545129312</v>
      </c>
      <c r="K436">
        <f t="shared" si="42"/>
        <v>23.91802291602653</v>
      </c>
      <c r="L436">
        <v>110.12910407520758</v>
      </c>
    </row>
    <row r="437" spans="1:12">
      <c r="A437" s="1">
        <v>44490</v>
      </c>
      <c r="B437">
        <v>108.980003</v>
      </c>
      <c r="C437">
        <v>435</v>
      </c>
      <c r="D437">
        <f t="shared" si="39"/>
        <v>142.5813357845928</v>
      </c>
      <c r="E437">
        <v>22.58</v>
      </c>
      <c r="F437">
        <v>435</v>
      </c>
      <c r="G437">
        <f t="shared" si="40"/>
        <v>28.273747841105351</v>
      </c>
      <c r="H437">
        <v>1496.709961</v>
      </c>
      <c r="I437">
        <v>435</v>
      </c>
      <c r="J437">
        <f t="shared" si="41"/>
        <v>1213.4915313634926</v>
      </c>
      <c r="K437">
        <f t="shared" si="42"/>
        <v>-9.7361810507209157E-2</v>
      </c>
      <c r="L437">
        <v>112.42210598652127</v>
      </c>
    </row>
    <row r="438" spans="1:12">
      <c r="A438" s="1">
        <v>44491</v>
      </c>
      <c r="B438">
        <v>109.5</v>
      </c>
      <c r="C438">
        <v>436</v>
      </c>
      <c r="D438">
        <f t="shared" si="39"/>
        <v>143.68232307719794</v>
      </c>
      <c r="E438">
        <v>22.860001</v>
      </c>
      <c r="F438">
        <v>436</v>
      </c>
      <c r="G438">
        <f t="shared" si="40"/>
        <v>29.359611558901683</v>
      </c>
      <c r="H438">
        <v>1425.849976</v>
      </c>
      <c r="I438">
        <v>436</v>
      </c>
      <c r="J438">
        <f t="shared" si="41"/>
        <v>1148.9033385647388</v>
      </c>
      <c r="K438">
        <f t="shared" si="42"/>
        <v>-101.97591871501754</v>
      </c>
      <c r="L438">
        <v>113.26530482693488</v>
      </c>
    </row>
    <row r="439" spans="1:12">
      <c r="A439" s="1">
        <v>44494</v>
      </c>
      <c r="B439">
        <v>110.80999799999999</v>
      </c>
      <c r="C439">
        <v>437</v>
      </c>
      <c r="D439">
        <f t="shared" si="39"/>
        <v>144.71077364383561</v>
      </c>
      <c r="E439">
        <v>23.51</v>
      </c>
      <c r="F439">
        <v>437</v>
      </c>
      <c r="G439">
        <f t="shared" si="40"/>
        <v>29.824583122284206</v>
      </c>
      <c r="H439">
        <v>1425.160034</v>
      </c>
      <c r="I439">
        <v>437</v>
      </c>
      <c r="J439">
        <f t="shared" si="41"/>
        <v>1205.4164392706066</v>
      </c>
      <c r="K439">
        <f t="shared" si="42"/>
        <v>28.309361813831856</v>
      </c>
      <c r="L439">
        <v>114.39020746576989</v>
      </c>
    </row>
    <row r="440" spans="1:12">
      <c r="A440" s="1">
        <v>44495</v>
      </c>
      <c r="B440">
        <v>111.269997</v>
      </c>
      <c r="C440">
        <v>438</v>
      </c>
      <c r="D440">
        <f t="shared" si="39"/>
        <v>143.59362745408589</v>
      </c>
      <c r="E440">
        <v>23.67</v>
      </c>
      <c r="F440">
        <v>438</v>
      </c>
      <c r="G440">
        <f t="shared" si="40"/>
        <v>29.197362824330074</v>
      </c>
      <c r="H440">
        <v>1363.6999510000001</v>
      </c>
      <c r="I440">
        <v>438</v>
      </c>
      <c r="J440">
        <f t="shared" si="41"/>
        <v>1153.9912021599673</v>
      </c>
      <c r="K440">
        <f t="shared" si="42"/>
        <v>-95.120878774255289</v>
      </c>
      <c r="L440">
        <v>116.46534549027456</v>
      </c>
    </row>
    <row r="441" spans="1:12">
      <c r="A441" s="1">
        <v>44496</v>
      </c>
      <c r="B441">
        <v>110.879997</v>
      </c>
      <c r="C441">
        <v>439</v>
      </c>
      <c r="D441">
        <f t="shared" si="39"/>
        <v>142.49878672145556</v>
      </c>
      <c r="E441">
        <v>22.889999</v>
      </c>
      <c r="F441">
        <v>439</v>
      </c>
      <c r="G441">
        <f t="shared" si="40"/>
        <v>28.044358724123363</v>
      </c>
      <c r="H441">
        <v>1361.119995</v>
      </c>
      <c r="I441">
        <v>439</v>
      </c>
      <c r="J441">
        <f t="shared" si="41"/>
        <v>1203.7183933065933</v>
      </c>
      <c r="K441">
        <f t="shared" si="42"/>
        <v>-23.909965310407642</v>
      </c>
      <c r="L441">
        <v>116.72515311541247</v>
      </c>
    </row>
    <row r="442" spans="1:12">
      <c r="A442" s="1">
        <v>44497</v>
      </c>
      <c r="B442">
        <v>112.300003</v>
      </c>
      <c r="C442">
        <v>440</v>
      </c>
      <c r="D442">
        <f t="shared" si="39"/>
        <v>144.83135699399415</v>
      </c>
      <c r="E442">
        <v>25.91</v>
      </c>
      <c r="F442">
        <v>440</v>
      </c>
      <c r="G442">
        <f t="shared" si="40"/>
        <v>32.826126379472541</v>
      </c>
      <c r="H442">
        <v>1457</v>
      </c>
      <c r="I442">
        <v>440</v>
      </c>
      <c r="J442">
        <f t="shared" si="41"/>
        <v>1290.9530434162787</v>
      </c>
      <c r="K442">
        <f t="shared" si="42"/>
        <v>245.61155246458657</v>
      </c>
      <c r="L442">
        <v>117.19174613544237</v>
      </c>
    </row>
    <row r="443" spans="1:12">
      <c r="A443" s="1">
        <v>44498</v>
      </c>
      <c r="B443">
        <v>108.510002</v>
      </c>
      <c r="C443">
        <v>441</v>
      </c>
      <c r="D443">
        <f t="shared" si="39"/>
        <v>138.17390802741119</v>
      </c>
      <c r="E443">
        <v>26.299999</v>
      </c>
      <c r="F443">
        <v>441</v>
      </c>
      <c r="G443">
        <f t="shared" si="40"/>
        <v>29.436509880355075</v>
      </c>
      <c r="H443">
        <v>1466.7299800000001</v>
      </c>
      <c r="I443">
        <v>441</v>
      </c>
      <c r="J443">
        <f t="shared" si="41"/>
        <v>1214.0537789155801</v>
      </c>
      <c r="K443">
        <f t="shared" si="42"/>
        <v>-25.605713689401455</v>
      </c>
      <c r="L443">
        <v>117.35682354713026</v>
      </c>
    </row>
    <row r="444" spans="1:12">
      <c r="A444" s="1">
        <v>44501</v>
      </c>
      <c r="B444">
        <v>109.57</v>
      </c>
      <c r="C444">
        <v>442</v>
      </c>
      <c r="D444">
        <f t="shared" si="39"/>
        <v>144.396919281229</v>
      </c>
      <c r="E444">
        <v>26.719999000000001</v>
      </c>
      <c r="F444">
        <v>442</v>
      </c>
      <c r="G444">
        <f t="shared" si="40"/>
        <v>29.463117888331482</v>
      </c>
      <c r="H444">
        <v>1527.619995</v>
      </c>
      <c r="I444">
        <v>442</v>
      </c>
      <c r="J444">
        <f t="shared" si="41"/>
        <v>1256.0660374379202</v>
      </c>
      <c r="K444">
        <f t="shared" si="42"/>
        <v>121.04803601310232</v>
      </c>
      <c r="L444">
        <v>118.14264318543064</v>
      </c>
    </row>
    <row r="445" spans="1:12">
      <c r="A445" s="1">
        <v>44502</v>
      </c>
      <c r="B445">
        <v>110.139999</v>
      </c>
      <c r="C445">
        <v>443</v>
      </c>
      <c r="D445">
        <f t="shared" si="39"/>
        <v>143.74390669891395</v>
      </c>
      <c r="E445">
        <v>25.76</v>
      </c>
      <c r="F445">
        <v>443</v>
      </c>
      <c r="G445">
        <f t="shared" si="40"/>
        <v>27.958084878670842</v>
      </c>
      <c r="H445">
        <v>1476.6400149999999</v>
      </c>
      <c r="I445">
        <v>443</v>
      </c>
      <c r="J445">
        <f t="shared" si="41"/>
        <v>1165.7531741655423</v>
      </c>
      <c r="K445">
        <f t="shared" si="42"/>
        <v>-88.683311499713454</v>
      </c>
      <c r="L445">
        <v>118.88644994040442</v>
      </c>
    </row>
    <row r="446" spans="1:12">
      <c r="A446" s="1">
        <v>44503</v>
      </c>
      <c r="B446">
        <v>110.620003</v>
      </c>
      <c r="C446">
        <v>444</v>
      </c>
      <c r="D446">
        <f t="shared" si="39"/>
        <v>143.62321202672246</v>
      </c>
      <c r="E446">
        <v>25.389999</v>
      </c>
      <c r="F446">
        <v>444</v>
      </c>
      <c r="G446">
        <f t="shared" si="40"/>
        <v>28.583461607142855</v>
      </c>
      <c r="H446">
        <v>1495.339966</v>
      </c>
      <c r="I446">
        <v>444</v>
      </c>
      <c r="J446">
        <f t="shared" si="41"/>
        <v>1221.2726058327764</v>
      </c>
      <c r="K446">
        <f t="shared" si="42"/>
        <v>30.529256039920256</v>
      </c>
      <c r="L446">
        <v>120.27967598372652</v>
      </c>
    </row>
    <row r="447" spans="1:12">
      <c r="A447" s="1">
        <v>44504</v>
      </c>
      <c r="B447">
        <v>110.260002</v>
      </c>
      <c r="C447">
        <v>445</v>
      </c>
      <c r="D447">
        <f t="shared" si="39"/>
        <v>142.53462175371666</v>
      </c>
      <c r="E447">
        <v>25.93</v>
      </c>
      <c r="F447">
        <v>445</v>
      </c>
      <c r="G447">
        <f t="shared" si="40"/>
        <v>29.616779425631329</v>
      </c>
      <c r="H447">
        <v>1540.5600589999999</v>
      </c>
      <c r="I447">
        <v>445</v>
      </c>
      <c r="J447">
        <f t="shared" si="41"/>
        <v>1242.4702565289424</v>
      </c>
      <c r="K447">
        <f t="shared" si="42"/>
        <v>77.538421979521445</v>
      </c>
      <c r="L447">
        <v>120.66088078012945</v>
      </c>
    </row>
    <row r="448" spans="1:12">
      <c r="A448" s="1">
        <v>44505</v>
      </c>
      <c r="B448">
        <v>110.620003</v>
      </c>
      <c r="C448">
        <v>446</v>
      </c>
      <c r="D448">
        <f t="shared" si="39"/>
        <v>143.46689771509347</v>
      </c>
      <c r="E448">
        <v>26.52</v>
      </c>
      <c r="F448">
        <v>446</v>
      </c>
      <c r="G448">
        <f t="shared" si="40"/>
        <v>29.659853451600465</v>
      </c>
      <c r="H448">
        <v>1528.0600589999999</v>
      </c>
      <c r="I448">
        <v>446</v>
      </c>
      <c r="J448">
        <f t="shared" si="41"/>
        <v>1196.2145976640563</v>
      </c>
      <c r="K448">
        <f t="shared" si="42"/>
        <v>-5.0040257469454446</v>
      </c>
      <c r="L448">
        <v>120.74063952719644</v>
      </c>
    </row>
    <row r="449" spans="1:12">
      <c r="A449" s="1">
        <v>44508</v>
      </c>
      <c r="B449">
        <v>111.730003</v>
      </c>
      <c r="C449">
        <v>447</v>
      </c>
      <c r="D449">
        <f t="shared" si="39"/>
        <v>144.43491227350626</v>
      </c>
      <c r="E449">
        <v>26.389999</v>
      </c>
      <c r="F449">
        <v>447</v>
      </c>
      <c r="G449">
        <f t="shared" si="40"/>
        <v>28.857842043740575</v>
      </c>
      <c r="H449">
        <v>1533.7700199999999</v>
      </c>
      <c r="I449">
        <v>447</v>
      </c>
      <c r="J449">
        <f t="shared" si="41"/>
        <v>1210.5065067471933</v>
      </c>
      <c r="K449">
        <f t="shared" si="42"/>
        <v>21.229766885557183</v>
      </c>
      <c r="L449">
        <v>120.85303007917173</v>
      </c>
    </row>
    <row r="450" spans="1:12">
      <c r="A450" s="1">
        <v>44509</v>
      </c>
      <c r="B450">
        <v>112.029999</v>
      </c>
      <c r="C450">
        <v>448</v>
      </c>
      <c r="D450">
        <f t="shared" si="39"/>
        <v>143.38395620556818</v>
      </c>
      <c r="E450">
        <v>26.25</v>
      </c>
      <c r="F450">
        <v>448</v>
      </c>
      <c r="G450">
        <f t="shared" si="40"/>
        <v>28.846154939225272</v>
      </c>
      <c r="H450">
        <v>1554.849976</v>
      </c>
      <c r="I450">
        <v>448</v>
      </c>
      <c r="J450">
        <f t="shared" si="41"/>
        <v>1222.5751231309112</v>
      </c>
      <c r="K450">
        <f t="shared" si="42"/>
        <v>34.682132405883749</v>
      </c>
      <c r="L450">
        <v>121.04803601310232</v>
      </c>
    </row>
    <row r="451" spans="1:12">
      <c r="A451" s="1">
        <v>44510</v>
      </c>
      <c r="B451">
        <v>111.209999</v>
      </c>
      <c r="C451">
        <v>449</v>
      </c>
      <c r="D451">
        <f t="shared" si="39"/>
        <v>141.95331606670817</v>
      </c>
      <c r="E451">
        <v>25.879999000000002</v>
      </c>
      <c r="F451">
        <v>449</v>
      </c>
      <c r="G451">
        <f t="shared" si="40"/>
        <v>28.591236990476194</v>
      </c>
      <c r="H451">
        <v>1474</v>
      </c>
      <c r="I451">
        <v>449</v>
      </c>
      <c r="J451">
        <f t="shared" si="41"/>
        <v>1143.2897240498785</v>
      </c>
      <c r="K451">
        <f t="shared" si="42"/>
        <v>-142.01883637601895</v>
      </c>
      <c r="L451">
        <v>121.30926214306237</v>
      </c>
    </row>
    <row r="452" spans="1:12">
      <c r="A452" s="1">
        <v>44511</v>
      </c>
      <c r="B452">
        <v>111.25</v>
      </c>
      <c r="C452">
        <v>450</v>
      </c>
      <c r="D452">
        <f t="shared" ref="D452:D505" si="43">143*B452/B451</f>
        <v>143.05143550985915</v>
      </c>
      <c r="E452">
        <v>25.780000999999999</v>
      </c>
      <c r="F452">
        <v>450</v>
      </c>
      <c r="G452">
        <f t="shared" ref="G452:G505" si="44">29 *E452/E451</f>
        <v>28.887946595361147</v>
      </c>
      <c r="H452">
        <v>1490.339966</v>
      </c>
      <c r="I452">
        <v>450</v>
      </c>
      <c r="J452">
        <f t="shared" ref="J452:J505" si="45">1206 *H452/H451</f>
        <v>1219.3690630909091</v>
      </c>
      <c r="K452">
        <f t="shared" ref="K452:K505" si="46">(1430*D452/143+435*G452/29+2412*J452/1206)-1430-435-2412</f>
        <v>25.571680210827253</v>
      </c>
      <c r="L452">
        <v>121.80508205805381</v>
      </c>
    </row>
    <row r="453" spans="1:12">
      <c r="A453" s="1">
        <v>44512</v>
      </c>
      <c r="B453">
        <v>111.790001</v>
      </c>
      <c r="C453">
        <v>451</v>
      </c>
      <c r="D453">
        <f t="shared" si="43"/>
        <v>143.69411364494383</v>
      </c>
      <c r="E453">
        <v>25.77</v>
      </c>
      <c r="F453">
        <v>451</v>
      </c>
      <c r="G453">
        <f t="shared" si="44"/>
        <v>28.988749845277354</v>
      </c>
      <c r="H453">
        <v>1669.5200199999999</v>
      </c>
      <c r="I453">
        <v>451</v>
      </c>
      <c r="J453">
        <f t="shared" si="45"/>
        <v>1350.994531485308</v>
      </c>
      <c r="K453">
        <f t="shared" si="46"/>
        <v>296.76144709921482</v>
      </c>
      <c r="L453">
        <v>122.27919658670999</v>
      </c>
    </row>
    <row r="454" spans="1:12">
      <c r="A454" s="1">
        <v>44515</v>
      </c>
      <c r="B454">
        <v>112.07</v>
      </c>
      <c r="C454">
        <v>452</v>
      </c>
      <c r="D454">
        <f t="shared" si="43"/>
        <v>143.35817028930876</v>
      </c>
      <c r="E454">
        <v>25.93</v>
      </c>
      <c r="F454">
        <v>452</v>
      </c>
      <c r="G454">
        <f t="shared" si="44"/>
        <v>29.180054326736517</v>
      </c>
      <c r="H454">
        <v>1656.5</v>
      </c>
      <c r="I454">
        <v>452</v>
      </c>
      <c r="J454">
        <f t="shared" si="45"/>
        <v>1196.5948153170395</v>
      </c>
      <c r="K454">
        <f t="shared" si="46"/>
        <v>-12.527851571785504</v>
      </c>
      <c r="L454">
        <v>123.02468548801517</v>
      </c>
    </row>
    <row r="455" spans="1:12">
      <c r="A455" s="1">
        <v>44516</v>
      </c>
      <c r="B455">
        <v>111.209999</v>
      </c>
      <c r="C455">
        <v>453</v>
      </c>
      <c r="D455">
        <f t="shared" si="43"/>
        <v>141.90264885339519</v>
      </c>
      <c r="E455">
        <v>25.59</v>
      </c>
      <c r="F455">
        <v>453</v>
      </c>
      <c r="G455">
        <f t="shared" si="44"/>
        <v>28.619745468569224</v>
      </c>
      <c r="H455">
        <v>1675.3199460000001</v>
      </c>
      <c r="I455">
        <v>453</v>
      </c>
      <c r="J455">
        <f t="shared" si="45"/>
        <v>1219.7016932544523</v>
      </c>
      <c r="K455">
        <f t="shared" si="46"/>
        <v>10.726057071395189</v>
      </c>
      <c r="L455">
        <v>123.11146887148061</v>
      </c>
    </row>
    <row r="456" spans="1:12">
      <c r="A456" s="1">
        <v>44517</v>
      </c>
      <c r="B456">
        <v>110.339996</v>
      </c>
      <c r="C456">
        <v>454</v>
      </c>
      <c r="D456">
        <f t="shared" si="43"/>
        <v>141.88130177035612</v>
      </c>
      <c r="E456">
        <v>25.559999000000001</v>
      </c>
      <c r="F456">
        <v>454</v>
      </c>
      <c r="G456">
        <f t="shared" si="44"/>
        <v>28.96600121141071</v>
      </c>
      <c r="H456">
        <v>1637.8100589999999</v>
      </c>
      <c r="I456">
        <v>454</v>
      </c>
      <c r="J456">
        <f t="shared" si="45"/>
        <v>1178.9980390730689</v>
      </c>
      <c r="K456">
        <f t="shared" si="46"/>
        <v>-65.700885979140367</v>
      </c>
      <c r="L456">
        <v>123.76593358490481</v>
      </c>
    </row>
    <row r="457" spans="1:12">
      <c r="A457" s="1">
        <v>44518</v>
      </c>
      <c r="B457">
        <v>110.199997</v>
      </c>
      <c r="C457">
        <v>455</v>
      </c>
      <c r="D457">
        <f t="shared" si="43"/>
        <v>142.8185621014523</v>
      </c>
      <c r="E457">
        <v>25.639999</v>
      </c>
      <c r="F457">
        <v>455</v>
      </c>
      <c r="G457">
        <f t="shared" si="44"/>
        <v>29.090766826712315</v>
      </c>
      <c r="H457">
        <v>1681.3000489999999</v>
      </c>
      <c r="I457">
        <v>455</v>
      </c>
      <c r="J457">
        <f t="shared" si="45"/>
        <v>1238.0238159802389</v>
      </c>
      <c r="K457">
        <f t="shared" si="46"/>
        <v>63.594755375685054</v>
      </c>
      <c r="L457">
        <v>124.01983980671775</v>
      </c>
    </row>
    <row r="458" spans="1:12">
      <c r="A458" s="1">
        <v>44519</v>
      </c>
      <c r="B458">
        <v>108.93</v>
      </c>
      <c r="C458">
        <v>456</v>
      </c>
      <c r="D458">
        <f t="shared" si="43"/>
        <v>141.35200021829402</v>
      </c>
      <c r="E458">
        <v>25.030000999999999</v>
      </c>
      <c r="F458">
        <v>456</v>
      </c>
      <c r="G458">
        <f t="shared" si="44"/>
        <v>28.310064637678025</v>
      </c>
      <c r="H458">
        <v>1690.599976</v>
      </c>
      <c r="I458">
        <v>456</v>
      </c>
      <c r="J458">
        <f t="shared" si="45"/>
        <v>1212.6708568578647</v>
      </c>
      <c r="K458">
        <f t="shared" si="46"/>
        <v>-13.487314536159829</v>
      </c>
      <c r="L458">
        <v>131.23669648001305</v>
      </c>
    </row>
    <row r="459" spans="1:12">
      <c r="A459" s="1">
        <v>44522</v>
      </c>
      <c r="B459">
        <v>109.110001</v>
      </c>
      <c r="C459">
        <v>457</v>
      </c>
      <c r="D459">
        <f t="shared" si="43"/>
        <v>143.23629985311666</v>
      </c>
      <c r="E459">
        <v>25.059999000000001</v>
      </c>
      <c r="F459">
        <v>457</v>
      </c>
      <c r="G459">
        <f t="shared" si="44"/>
        <v>29.034755971444032</v>
      </c>
      <c r="H459">
        <v>1595.01001</v>
      </c>
      <c r="I459">
        <v>457</v>
      </c>
      <c r="J459">
        <f t="shared" si="45"/>
        <v>1137.8103036599121</v>
      </c>
      <c r="K459">
        <f t="shared" si="46"/>
        <v>-133.49505457734904</v>
      </c>
      <c r="L459">
        <v>131.51721787531278</v>
      </c>
    </row>
    <row r="460" spans="1:12">
      <c r="A460" s="1">
        <v>44523</v>
      </c>
      <c r="B460">
        <v>110.349998</v>
      </c>
      <c r="C460">
        <v>458</v>
      </c>
      <c r="D460">
        <f t="shared" si="43"/>
        <v>144.62514498556371</v>
      </c>
      <c r="E460">
        <v>26.030000999999999</v>
      </c>
      <c r="F460">
        <v>458</v>
      </c>
      <c r="G460">
        <f t="shared" si="44"/>
        <v>30.122508344872635</v>
      </c>
      <c r="H460">
        <v>1573.0600589999999</v>
      </c>
      <c r="I460">
        <v>458</v>
      </c>
      <c r="J460">
        <f t="shared" si="45"/>
        <v>1189.4034640911125</v>
      </c>
      <c r="K460">
        <f t="shared" si="46"/>
        <v>-0.10399678904832399</v>
      </c>
      <c r="L460">
        <v>131.73335763495743</v>
      </c>
    </row>
    <row r="461" spans="1:12">
      <c r="A461" s="1">
        <v>44524</v>
      </c>
      <c r="B461">
        <v>110.709999</v>
      </c>
      <c r="C461">
        <v>459</v>
      </c>
      <c r="D461">
        <f t="shared" si="43"/>
        <v>143.46651693641172</v>
      </c>
      <c r="E461">
        <v>26.639999</v>
      </c>
      <c r="F461">
        <v>459</v>
      </c>
      <c r="G461">
        <f t="shared" si="44"/>
        <v>29.679598206700032</v>
      </c>
      <c r="H461">
        <v>1628.6999510000001</v>
      </c>
      <c r="I461">
        <v>459</v>
      </c>
      <c r="J461">
        <f t="shared" si="45"/>
        <v>1248.6568009073073</v>
      </c>
      <c r="K461">
        <f t="shared" si="46"/>
        <v>100.17274427923257</v>
      </c>
      <c r="L461">
        <v>133.5679546228348</v>
      </c>
    </row>
    <row r="462" spans="1:12">
      <c r="A462" s="1">
        <v>44526</v>
      </c>
      <c r="B462">
        <v>107.639999</v>
      </c>
      <c r="C462">
        <v>460</v>
      </c>
      <c r="D462">
        <f t="shared" si="43"/>
        <v>139.0345948517261</v>
      </c>
      <c r="E462">
        <v>24.77</v>
      </c>
      <c r="F462">
        <v>460</v>
      </c>
      <c r="G462">
        <f t="shared" si="44"/>
        <v>26.964340351514281</v>
      </c>
      <c r="H462">
        <v>1576.6999510000001</v>
      </c>
      <c r="I462">
        <v>460</v>
      </c>
      <c r="J462">
        <f t="shared" si="45"/>
        <v>1167.4956702359475</v>
      </c>
      <c r="K462">
        <f t="shared" si="46"/>
        <v>-147.19760573812982</v>
      </c>
      <c r="L462">
        <v>134.39766894391323</v>
      </c>
    </row>
    <row r="463" spans="1:12">
      <c r="A463" s="1">
        <v>44529</v>
      </c>
      <c r="B463">
        <v>107.379997</v>
      </c>
      <c r="C463">
        <v>461</v>
      </c>
      <c r="D463">
        <f t="shared" si="43"/>
        <v>142.65458671176688</v>
      </c>
      <c r="E463">
        <v>25.049999</v>
      </c>
      <c r="F463">
        <v>461</v>
      </c>
      <c r="G463">
        <f t="shared" si="44"/>
        <v>29.32781473556722</v>
      </c>
      <c r="H463">
        <v>1567.0200199999999</v>
      </c>
      <c r="I463">
        <v>461</v>
      </c>
      <c r="J463">
        <f t="shared" si="45"/>
        <v>1198.5959300128118</v>
      </c>
      <c r="K463">
        <f t="shared" si="46"/>
        <v>-13.345051823199356</v>
      </c>
      <c r="L463">
        <v>134.52512979864969</v>
      </c>
    </row>
    <row r="464" spans="1:12">
      <c r="A464" s="1">
        <v>44530</v>
      </c>
      <c r="B464">
        <v>104.07</v>
      </c>
      <c r="C464">
        <v>462</v>
      </c>
      <c r="D464">
        <f t="shared" si="43"/>
        <v>138.59201355723636</v>
      </c>
      <c r="E464">
        <v>24.35</v>
      </c>
      <c r="F464">
        <v>462</v>
      </c>
      <c r="G464">
        <f t="shared" si="44"/>
        <v>28.189621883817246</v>
      </c>
      <c r="H464">
        <v>1521.790039</v>
      </c>
      <c r="I464">
        <v>462</v>
      </c>
      <c r="J464">
        <f t="shared" si="45"/>
        <v>1171.190389152782</v>
      </c>
      <c r="K464">
        <f t="shared" si="46"/>
        <v>-125.85475786481402</v>
      </c>
      <c r="L464">
        <v>134.65139650402489</v>
      </c>
    </row>
    <row r="465" spans="1:12">
      <c r="A465" s="1">
        <v>44531</v>
      </c>
      <c r="B465">
        <v>103.43</v>
      </c>
      <c r="C465">
        <v>463</v>
      </c>
      <c r="D465">
        <f t="shared" si="43"/>
        <v>142.12059190929185</v>
      </c>
      <c r="E465">
        <v>23.82</v>
      </c>
      <c r="F465">
        <v>463</v>
      </c>
      <c r="G465">
        <f t="shared" si="44"/>
        <v>28.368788501026692</v>
      </c>
      <c r="H465">
        <v>1459.709961</v>
      </c>
      <c r="I465">
        <v>463</v>
      </c>
      <c r="J465">
        <f t="shared" si="45"/>
        <v>1156.802297196532</v>
      </c>
      <c r="K465">
        <f t="shared" si="46"/>
        <v>-116.65765899861708</v>
      </c>
      <c r="L465">
        <v>140.29752650436239</v>
      </c>
    </row>
    <row r="466" spans="1:12">
      <c r="A466" s="1">
        <v>44532</v>
      </c>
      <c r="B466">
        <v>105.18</v>
      </c>
      <c r="C466">
        <v>464</v>
      </c>
      <c r="D466">
        <f t="shared" si="43"/>
        <v>145.41951078023786</v>
      </c>
      <c r="E466">
        <v>24.15</v>
      </c>
      <c r="F466">
        <v>464</v>
      </c>
      <c r="G466">
        <f t="shared" si="44"/>
        <v>29.401763224181355</v>
      </c>
      <c r="H466">
        <v>1447.150024</v>
      </c>
      <c r="I466">
        <v>464</v>
      </c>
      <c r="J466">
        <f t="shared" si="45"/>
        <v>1195.6230864851925</v>
      </c>
      <c r="K466">
        <f t="shared" si="46"/>
        <v>9.4677291354837507</v>
      </c>
      <c r="L466">
        <v>140.35922753329032</v>
      </c>
    </row>
    <row r="467" spans="1:12">
      <c r="A467" s="1">
        <v>44533</v>
      </c>
      <c r="B467">
        <v>107.470001</v>
      </c>
      <c r="C467">
        <v>465</v>
      </c>
      <c r="D467">
        <f t="shared" si="43"/>
        <v>146.11342596501234</v>
      </c>
      <c r="E467">
        <v>23.58</v>
      </c>
      <c r="F467">
        <v>465</v>
      </c>
      <c r="G467">
        <f t="shared" si="44"/>
        <v>28.315527950310557</v>
      </c>
      <c r="H467">
        <v>1410</v>
      </c>
      <c r="I467">
        <v>465</v>
      </c>
      <c r="J467">
        <f t="shared" si="45"/>
        <v>1175.0405775483025</v>
      </c>
      <c r="K467">
        <f t="shared" si="46"/>
        <v>-41.051665998613316</v>
      </c>
      <c r="L467">
        <v>140.79904885771612</v>
      </c>
    </row>
    <row r="468" spans="1:12">
      <c r="A468" s="1">
        <v>44536</v>
      </c>
      <c r="B468">
        <v>108.05999799999999</v>
      </c>
      <c r="C468">
        <v>466</v>
      </c>
      <c r="D468">
        <f t="shared" si="43"/>
        <v>143.78505229566343</v>
      </c>
      <c r="E468">
        <v>24.370000999999998</v>
      </c>
      <c r="F468">
        <v>466</v>
      </c>
      <c r="G468">
        <f t="shared" si="44"/>
        <v>29.971587319762509</v>
      </c>
      <c r="H468">
        <v>1428.119995</v>
      </c>
      <c r="I468">
        <v>466</v>
      </c>
      <c r="J468">
        <f t="shared" si="45"/>
        <v>1221.4983787021276</v>
      </c>
      <c r="K468">
        <f t="shared" si="46"/>
        <v>53.421090157327853</v>
      </c>
      <c r="L468">
        <v>142.74632893823036</v>
      </c>
    </row>
    <row r="469" spans="1:12">
      <c r="A469" s="1">
        <v>44537</v>
      </c>
      <c r="B469">
        <v>109.260002</v>
      </c>
      <c r="C469">
        <v>467</v>
      </c>
      <c r="D469">
        <f t="shared" si="43"/>
        <v>144.58801198571189</v>
      </c>
      <c r="E469">
        <v>25.07</v>
      </c>
      <c r="F469">
        <v>467</v>
      </c>
      <c r="G469">
        <f t="shared" si="44"/>
        <v>29.83299015867911</v>
      </c>
      <c r="H469">
        <v>1520.51001</v>
      </c>
      <c r="I469">
        <v>467</v>
      </c>
      <c r="J469">
        <f t="shared" si="45"/>
        <v>1284.0203053525624</v>
      </c>
      <c r="K469">
        <f t="shared" si="46"/>
        <v>184.41558294243077</v>
      </c>
      <c r="L469">
        <v>143.92015018028906</v>
      </c>
    </row>
    <row r="470" spans="1:12">
      <c r="A470" s="1">
        <v>44538</v>
      </c>
      <c r="B470">
        <v>109.05999799999999</v>
      </c>
      <c r="C470">
        <v>468</v>
      </c>
      <c r="D470">
        <f t="shared" si="43"/>
        <v>142.73823383235887</v>
      </c>
      <c r="E470">
        <v>24.780000999999999</v>
      </c>
      <c r="F470">
        <v>468</v>
      </c>
      <c r="G470">
        <f t="shared" si="44"/>
        <v>28.664540446749101</v>
      </c>
      <c r="H470">
        <v>1520.290039</v>
      </c>
      <c r="I470">
        <v>468</v>
      </c>
      <c r="J470">
        <f t="shared" si="45"/>
        <v>1205.8255289184187</v>
      </c>
      <c r="K470">
        <f t="shared" si="46"/>
        <v>-7.9984971383373704</v>
      </c>
      <c r="L470">
        <v>147.85392682292968</v>
      </c>
    </row>
    <row r="471" spans="1:12">
      <c r="A471" s="1">
        <v>44539</v>
      </c>
      <c r="B471">
        <v>108.400002</v>
      </c>
      <c r="C471">
        <v>469</v>
      </c>
      <c r="D471">
        <f t="shared" si="43"/>
        <v>142.13461003364407</v>
      </c>
      <c r="E471">
        <v>24.469999000000001</v>
      </c>
      <c r="F471">
        <v>469</v>
      </c>
      <c r="G471">
        <f t="shared" si="44"/>
        <v>28.637205099386399</v>
      </c>
      <c r="H471">
        <v>1494.9499510000001</v>
      </c>
      <c r="I471">
        <v>469</v>
      </c>
      <c r="J471">
        <f t="shared" si="45"/>
        <v>1185.8984763801377</v>
      </c>
      <c r="K471">
        <f t="shared" si="46"/>
        <v>-54.298870412488213</v>
      </c>
      <c r="L471">
        <v>150.86868306856104</v>
      </c>
    </row>
    <row r="472" spans="1:12">
      <c r="A472" s="1">
        <v>44540</v>
      </c>
      <c r="B472">
        <v>109.07</v>
      </c>
      <c r="C472">
        <v>470</v>
      </c>
      <c r="D472">
        <f t="shared" si="43"/>
        <v>143.88385343387722</v>
      </c>
      <c r="E472">
        <v>24.620000999999998</v>
      </c>
      <c r="F472">
        <v>470</v>
      </c>
      <c r="G472">
        <f t="shared" si="44"/>
        <v>29.177771073877032</v>
      </c>
      <c r="H472">
        <v>1461.579956</v>
      </c>
      <c r="I472">
        <v>470</v>
      </c>
      <c r="J472">
        <f t="shared" si="45"/>
        <v>1179.0798921107159</v>
      </c>
      <c r="K472">
        <f t="shared" si="46"/>
        <v>-42.335115331639827</v>
      </c>
      <c r="L472">
        <v>154.26447776661553</v>
      </c>
    </row>
    <row r="473" spans="1:12">
      <c r="A473" s="1">
        <v>44543</v>
      </c>
      <c r="B473">
        <v>107.879997</v>
      </c>
      <c r="C473">
        <v>471</v>
      </c>
      <c r="D473">
        <f t="shared" si="43"/>
        <v>141.43980536352802</v>
      </c>
      <c r="E473">
        <v>23.82</v>
      </c>
      <c r="F473">
        <v>471</v>
      </c>
      <c r="G473">
        <f t="shared" si="44"/>
        <v>28.057675545992058</v>
      </c>
      <c r="H473">
        <v>1397.150024</v>
      </c>
      <c r="I473">
        <v>471</v>
      </c>
      <c r="J473">
        <f t="shared" si="45"/>
        <v>1152.8366423109321</v>
      </c>
      <c r="K473">
        <f t="shared" si="46"/>
        <v>-136.06352855297519</v>
      </c>
      <c r="L473">
        <v>156.686464522194</v>
      </c>
    </row>
    <row r="474" spans="1:12">
      <c r="A474" s="1">
        <v>44544</v>
      </c>
      <c r="B474">
        <v>107.82</v>
      </c>
      <c r="C474">
        <v>472</v>
      </c>
      <c r="D474">
        <f t="shared" si="43"/>
        <v>142.92047116019106</v>
      </c>
      <c r="E474">
        <v>23.469999000000001</v>
      </c>
      <c r="F474">
        <v>472</v>
      </c>
      <c r="G474">
        <f t="shared" si="44"/>
        <v>28.573886272040305</v>
      </c>
      <c r="H474">
        <v>1354.280029</v>
      </c>
      <c r="I474">
        <v>472</v>
      </c>
      <c r="J474">
        <f t="shared" si="45"/>
        <v>1168.9952309473674</v>
      </c>
      <c r="K474">
        <f t="shared" si="46"/>
        <v>-81.196532422750352</v>
      </c>
      <c r="L474">
        <v>156.81298997133854</v>
      </c>
    </row>
    <row r="475" spans="1:12">
      <c r="A475" s="1">
        <v>44545</v>
      </c>
      <c r="B475">
        <v>108.989998</v>
      </c>
      <c r="C475">
        <v>473</v>
      </c>
      <c r="D475">
        <f t="shared" si="43"/>
        <v>144.5517502689668</v>
      </c>
      <c r="E475">
        <v>23.51</v>
      </c>
      <c r="F475">
        <v>473</v>
      </c>
      <c r="G475">
        <f t="shared" si="44"/>
        <v>29.049426035339842</v>
      </c>
      <c r="H475">
        <v>1368.079956</v>
      </c>
      <c r="I475">
        <v>473</v>
      </c>
      <c r="J475">
        <f t="shared" si="45"/>
        <v>1218.2889739238708</v>
      </c>
      <c r="K475">
        <f t="shared" si="46"/>
        <v>40.836841067506612</v>
      </c>
      <c r="L475">
        <v>157.37566693380722</v>
      </c>
    </row>
    <row r="476" spans="1:12">
      <c r="A476" s="1">
        <v>44546</v>
      </c>
      <c r="B476">
        <v>106.970001</v>
      </c>
      <c r="C476">
        <v>474</v>
      </c>
      <c r="D476">
        <f t="shared" si="43"/>
        <v>140.34966899439709</v>
      </c>
      <c r="E476">
        <v>23.690000999999999</v>
      </c>
      <c r="F476">
        <v>474</v>
      </c>
      <c r="G476">
        <f t="shared" si="44"/>
        <v>29.222034410888977</v>
      </c>
      <c r="H476">
        <v>1326.880005</v>
      </c>
      <c r="I476">
        <v>474</v>
      </c>
      <c r="J476">
        <f t="shared" si="45"/>
        <v>1169.6811133091405</v>
      </c>
      <c r="K476">
        <f t="shared" si="46"/>
        <v>-95.810567274413188</v>
      </c>
      <c r="L476">
        <v>157.89632294952935</v>
      </c>
    </row>
    <row r="477" spans="1:12">
      <c r="A477" s="1">
        <v>44547</v>
      </c>
      <c r="B477">
        <v>103.970001</v>
      </c>
      <c r="C477">
        <v>475</v>
      </c>
      <c r="D477">
        <f t="shared" si="43"/>
        <v>138.98952981219475</v>
      </c>
      <c r="E477">
        <v>23.18</v>
      </c>
      <c r="F477">
        <v>475</v>
      </c>
      <c r="G477">
        <f t="shared" si="44"/>
        <v>28.375684745644378</v>
      </c>
      <c r="H477">
        <v>1323.400024</v>
      </c>
      <c r="I477">
        <v>475</v>
      </c>
      <c r="J477">
        <f t="shared" si="45"/>
        <v>1202.83704851216</v>
      </c>
      <c r="K477">
        <f t="shared" si="46"/>
        <v>-55.795333669067077</v>
      </c>
      <c r="L477">
        <v>161.50637636412739</v>
      </c>
    </row>
    <row r="478" spans="1:12">
      <c r="A478" s="1">
        <v>44550</v>
      </c>
      <c r="B478">
        <v>101.650002</v>
      </c>
      <c r="C478">
        <v>476</v>
      </c>
      <c r="D478">
        <f t="shared" si="43"/>
        <v>139.80908094826313</v>
      </c>
      <c r="E478">
        <v>23.1</v>
      </c>
      <c r="F478">
        <v>476</v>
      </c>
      <c r="G478">
        <f t="shared" si="44"/>
        <v>28.899913718723042</v>
      </c>
      <c r="H478">
        <v>1282.170044</v>
      </c>
      <c r="I478">
        <v>476</v>
      </c>
      <c r="J478">
        <f t="shared" si="45"/>
        <v>1168.4275691565197</v>
      </c>
      <c r="K478">
        <f t="shared" si="46"/>
        <v>-108.55534642348357</v>
      </c>
      <c r="L478">
        <v>163.09156456505843</v>
      </c>
    </row>
    <row r="479" spans="1:12">
      <c r="A479" s="1">
        <v>44551</v>
      </c>
      <c r="B479">
        <v>103.129997</v>
      </c>
      <c r="C479">
        <v>477</v>
      </c>
      <c r="D479">
        <f t="shared" si="43"/>
        <v>145.08203916218321</v>
      </c>
      <c r="E479">
        <v>23.969999000000001</v>
      </c>
      <c r="F479">
        <v>477</v>
      </c>
      <c r="G479">
        <f t="shared" si="44"/>
        <v>30.092206536796539</v>
      </c>
      <c r="H479">
        <v>1370.1099850000001</v>
      </c>
      <c r="I479">
        <v>477</v>
      </c>
      <c r="J479">
        <f t="shared" si="45"/>
        <v>1288.7156813889812</v>
      </c>
      <c r="K479">
        <f t="shared" si="46"/>
        <v>202.63485245174252</v>
      </c>
      <c r="L479">
        <v>163.11230578561026</v>
      </c>
    </row>
    <row r="480" spans="1:12">
      <c r="A480" s="1">
        <v>44552</v>
      </c>
      <c r="B480">
        <v>105.5</v>
      </c>
      <c r="C480">
        <v>478</v>
      </c>
      <c r="D480">
        <f t="shared" si="43"/>
        <v>146.28624492251271</v>
      </c>
      <c r="E480">
        <v>24.4</v>
      </c>
      <c r="F480">
        <v>478</v>
      </c>
      <c r="G480">
        <f t="shared" si="44"/>
        <v>29.520234856914257</v>
      </c>
      <c r="H480">
        <v>1385.630005</v>
      </c>
      <c r="I480">
        <v>478</v>
      </c>
      <c r="J480">
        <f t="shared" si="45"/>
        <v>1219.6610522694643</v>
      </c>
      <c r="K480">
        <f t="shared" si="46"/>
        <v>67.988076617769366</v>
      </c>
      <c r="L480">
        <v>165.02486574135401</v>
      </c>
    </row>
    <row r="481" spans="1:12">
      <c r="A481" s="1">
        <v>44553</v>
      </c>
      <c r="B481">
        <v>105.910004</v>
      </c>
      <c r="C481">
        <v>479</v>
      </c>
      <c r="D481">
        <f t="shared" si="43"/>
        <v>143.55574001895735</v>
      </c>
      <c r="E481">
        <v>24.51</v>
      </c>
      <c r="F481">
        <v>479</v>
      </c>
      <c r="G481">
        <f t="shared" si="44"/>
        <v>29.130737704918037</v>
      </c>
      <c r="H481">
        <v>1439.329956</v>
      </c>
      <c r="I481">
        <v>479</v>
      </c>
      <c r="J481">
        <f t="shared" si="45"/>
        <v>1252.7384082852623</v>
      </c>
      <c r="K481">
        <f t="shared" si="46"/>
        <v>100.995282333869</v>
      </c>
      <c r="L481">
        <v>165.50890651918689</v>
      </c>
    </row>
    <row r="482" spans="1:12">
      <c r="A482" s="1">
        <v>44557</v>
      </c>
      <c r="B482">
        <v>107.660004</v>
      </c>
      <c r="C482">
        <v>480</v>
      </c>
      <c r="D482">
        <f t="shared" si="43"/>
        <v>145.36285516522122</v>
      </c>
      <c r="E482">
        <v>25.01</v>
      </c>
      <c r="F482">
        <v>480</v>
      </c>
      <c r="G482">
        <f t="shared" si="44"/>
        <v>29.591595267237864</v>
      </c>
      <c r="H482">
        <v>1400.589966</v>
      </c>
      <c r="I482">
        <v>480</v>
      </c>
      <c r="J482">
        <f t="shared" si="45"/>
        <v>1173.5401545384079</v>
      </c>
      <c r="K482">
        <f t="shared" si="46"/>
        <v>-32.417210262404296</v>
      </c>
      <c r="L482">
        <v>169.22018999928514</v>
      </c>
    </row>
    <row r="483" spans="1:12">
      <c r="A483" s="1">
        <v>44558</v>
      </c>
      <c r="B483">
        <v>108.019997</v>
      </c>
      <c r="C483">
        <v>481</v>
      </c>
      <c r="D483">
        <f t="shared" si="43"/>
        <v>143.47816270748049</v>
      </c>
      <c r="E483">
        <v>24.99</v>
      </c>
      <c r="F483">
        <v>481</v>
      </c>
      <c r="G483">
        <f t="shared" si="44"/>
        <v>28.97680927628948</v>
      </c>
      <c r="H483">
        <v>1375.619995</v>
      </c>
      <c r="I483">
        <v>481</v>
      </c>
      <c r="J483">
        <f t="shared" si="45"/>
        <v>1184.4992140761915</v>
      </c>
      <c r="K483">
        <f t="shared" si="46"/>
        <v>-38.567805628470524</v>
      </c>
      <c r="L483">
        <v>176.18159429401021</v>
      </c>
    </row>
    <row r="484" spans="1:12">
      <c r="A484" s="1">
        <v>44559</v>
      </c>
      <c r="B484">
        <v>107</v>
      </c>
      <c r="C484">
        <v>482</v>
      </c>
      <c r="D484">
        <f t="shared" si="43"/>
        <v>141.64969843500364</v>
      </c>
      <c r="E484">
        <v>24.719999000000001</v>
      </c>
      <c r="F484">
        <v>482</v>
      </c>
      <c r="G484">
        <f t="shared" si="44"/>
        <v>28.686673509403764</v>
      </c>
      <c r="H484">
        <v>1392.079956</v>
      </c>
      <c r="I484">
        <v>482</v>
      </c>
      <c r="J484">
        <f t="shared" si="45"/>
        <v>1220.4303754221021</v>
      </c>
      <c r="K484">
        <f t="shared" si="46"/>
        <v>10.657837835296959</v>
      </c>
      <c r="L484">
        <v>179.99660530344408</v>
      </c>
    </row>
    <row r="485" spans="1:12">
      <c r="A485" s="1">
        <v>44560</v>
      </c>
      <c r="B485">
        <v>107.129997</v>
      </c>
      <c r="C485">
        <v>483</v>
      </c>
      <c r="D485">
        <f t="shared" si="43"/>
        <v>143.17373430841121</v>
      </c>
      <c r="E485">
        <v>24.700001</v>
      </c>
      <c r="F485">
        <v>483</v>
      </c>
      <c r="G485">
        <f t="shared" si="44"/>
        <v>28.976539562157747</v>
      </c>
      <c r="H485">
        <v>1398.23999</v>
      </c>
      <c r="I485">
        <v>483</v>
      </c>
      <c r="J485">
        <f t="shared" si="45"/>
        <v>1211.3366194750383</v>
      </c>
      <c r="K485">
        <f t="shared" si="46"/>
        <v>12.058675466554632</v>
      </c>
      <c r="L485">
        <v>184.41558294243077</v>
      </c>
    </row>
    <row r="486" spans="1:12">
      <c r="A486" s="1">
        <v>44561</v>
      </c>
      <c r="B486">
        <v>107.720001</v>
      </c>
      <c r="C486">
        <v>484</v>
      </c>
      <c r="D486">
        <f t="shared" si="43"/>
        <v>143.78755320043555</v>
      </c>
      <c r="E486">
        <v>25.030000999999999</v>
      </c>
      <c r="F486">
        <v>484</v>
      </c>
      <c r="G486">
        <f t="shared" si="44"/>
        <v>29.387449377026339</v>
      </c>
      <c r="H486">
        <v>1377.3900149999999</v>
      </c>
      <c r="I486">
        <v>484</v>
      </c>
      <c r="J486">
        <f t="shared" si="45"/>
        <v>1188.0166280253507</v>
      </c>
      <c r="K486">
        <f t="shared" si="46"/>
        <v>-22.279471289548383</v>
      </c>
      <c r="L486">
        <v>189.04555136956606</v>
      </c>
    </row>
    <row r="487" spans="1:12">
      <c r="A487" s="1">
        <v>44564</v>
      </c>
      <c r="B487">
        <v>108.889999</v>
      </c>
      <c r="C487">
        <v>485</v>
      </c>
      <c r="D487">
        <f t="shared" si="43"/>
        <v>144.55319079508737</v>
      </c>
      <c r="E487">
        <v>25.700001</v>
      </c>
      <c r="F487">
        <v>485</v>
      </c>
      <c r="G487">
        <f t="shared" si="44"/>
        <v>29.776268446813088</v>
      </c>
      <c r="H487">
        <v>1363.1400149999999</v>
      </c>
      <c r="I487">
        <v>485</v>
      </c>
      <c r="J487">
        <f t="shared" si="45"/>
        <v>1193.5231417297591</v>
      </c>
      <c r="K487">
        <f t="shared" si="46"/>
        <v>2.222218112588962</v>
      </c>
      <c r="L487">
        <v>192.3868510849743</v>
      </c>
    </row>
    <row r="488" spans="1:12">
      <c r="A488" s="1">
        <v>44565</v>
      </c>
      <c r="B488">
        <v>110.879997</v>
      </c>
      <c r="C488">
        <v>486</v>
      </c>
      <c r="D488">
        <f t="shared" si="43"/>
        <v>145.61336868962593</v>
      </c>
      <c r="E488">
        <v>26.08</v>
      </c>
      <c r="F488">
        <v>486</v>
      </c>
      <c r="G488">
        <f t="shared" si="44"/>
        <v>29.428792629229857</v>
      </c>
      <c r="H488">
        <v>1221.8599850000001</v>
      </c>
      <c r="I488">
        <v>486</v>
      </c>
      <c r="J488">
        <f t="shared" si="45"/>
        <v>1081.006445188978</v>
      </c>
      <c r="K488">
        <f t="shared" si="46"/>
        <v>-217.42153328733684</v>
      </c>
      <c r="L488">
        <v>197.47687877283715</v>
      </c>
    </row>
    <row r="489" spans="1:12">
      <c r="A489" s="1">
        <v>44566</v>
      </c>
      <c r="B489">
        <v>109.629997</v>
      </c>
      <c r="C489">
        <v>487</v>
      </c>
      <c r="D489">
        <f t="shared" si="43"/>
        <v>141.38789678177932</v>
      </c>
      <c r="E489">
        <v>26.16</v>
      </c>
      <c r="F489">
        <v>487</v>
      </c>
      <c r="G489">
        <f t="shared" si="44"/>
        <v>29.088957055214724</v>
      </c>
      <c r="H489">
        <v>1190.01001</v>
      </c>
      <c r="I489">
        <v>487</v>
      </c>
      <c r="J489">
        <f t="shared" si="45"/>
        <v>1174.5634439939531</v>
      </c>
      <c r="K489">
        <f t="shared" si="46"/>
        <v>-77.659788366079738</v>
      </c>
      <c r="L489">
        <v>199.84711554558544</v>
      </c>
    </row>
    <row r="490" spans="1:12">
      <c r="A490" s="1">
        <v>44567</v>
      </c>
      <c r="B490">
        <v>111.379997</v>
      </c>
      <c r="C490">
        <v>488</v>
      </c>
      <c r="D490">
        <f t="shared" si="43"/>
        <v>145.28267816152544</v>
      </c>
      <c r="E490">
        <v>26.58</v>
      </c>
      <c r="F490">
        <v>488</v>
      </c>
      <c r="G490">
        <f t="shared" si="44"/>
        <v>29.465596330275226</v>
      </c>
      <c r="H490">
        <v>1168.9300539999999</v>
      </c>
      <c r="I490">
        <v>488</v>
      </c>
      <c r="J490">
        <f t="shared" si="45"/>
        <v>1184.6367957224156</v>
      </c>
      <c r="K490">
        <f t="shared" si="46"/>
        <v>-12.915681985785341</v>
      </c>
      <c r="L490">
        <v>202.63485245174252</v>
      </c>
    </row>
    <row r="491" spans="1:12">
      <c r="A491" s="1">
        <v>44568</v>
      </c>
      <c r="B491">
        <v>113.18</v>
      </c>
      <c r="C491">
        <v>489</v>
      </c>
      <c r="D491">
        <f t="shared" si="43"/>
        <v>145.31101127610913</v>
      </c>
      <c r="E491">
        <v>26.559999000000001</v>
      </c>
      <c r="F491">
        <v>489</v>
      </c>
      <c r="G491">
        <f t="shared" si="44"/>
        <v>28.978177990970661</v>
      </c>
      <c r="H491">
        <v>1144.4799800000001</v>
      </c>
      <c r="I491">
        <v>489</v>
      </c>
      <c r="J491">
        <f t="shared" si="45"/>
        <v>1180.7745477643441</v>
      </c>
      <c r="K491">
        <f t="shared" si="46"/>
        <v>-27.668121845660608</v>
      </c>
      <c r="L491">
        <v>203.23027906075913</v>
      </c>
    </row>
    <row r="492" spans="1:12">
      <c r="A492" s="1">
        <v>44571</v>
      </c>
      <c r="B492">
        <v>112.860001</v>
      </c>
      <c r="C492">
        <v>490</v>
      </c>
      <c r="D492">
        <f t="shared" si="43"/>
        <v>142.59568954762324</v>
      </c>
      <c r="E492">
        <v>26.610001</v>
      </c>
      <c r="F492">
        <v>490</v>
      </c>
      <c r="G492">
        <f t="shared" si="44"/>
        <v>29.054595559284468</v>
      </c>
      <c r="H492">
        <v>1131.170044</v>
      </c>
      <c r="I492">
        <v>490</v>
      </c>
      <c r="J492">
        <f t="shared" si="45"/>
        <v>1191.9746058502481</v>
      </c>
      <c r="K492">
        <f t="shared" si="46"/>
        <v>-31.274959434003904</v>
      </c>
      <c r="L492">
        <v>206.59339547174204</v>
      </c>
    </row>
    <row r="493" spans="1:12">
      <c r="A493" s="1">
        <v>44572</v>
      </c>
      <c r="B493">
        <v>115.300003</v>
      </c>
      <c r="C493">
        <v>491</v>
      </c>
      <c r="D493">
        <f t="shared" si="43"/>
        <v>146.09162044044285</v>
      </c>
      <c r="E493">
        <v>27.98</v>
      </c>
      <c r="F493">
        <v>491</v>
      </c>
      <c r="G493">
        <f t="shared" si="44"/>
        <v>30.493046580494301</v>
      </c>
      <c r="H493">
        <v>1157.3100589999999</v>
      </c>
      <c r="I493">
        <v>491</v>
      </c>
      <c r="J493">
        <f t="shared" si="45"/>
        <v>1233.8692476495603</v>
      </c>
      <c r="K493">
        <f t="shared" si="46"/>
        <v>109.05039841096368</v>
      </c>
      <c r="L493">
        <v>209.89603228319538</v>
      </c>
    </row>
    <row r="494" spans="1:12">
      <c r="A494" s="1">
        <v>44573</v>
      </c>
      <c r="B494">
        <v>116.860001</v>
      </c>
      <c r="C494">
        <v>492</v>
      </c>
      <c r="D494">
        <f t="shared" si="43"/>
        <v>144.9347763069876</v>
      </c>
      <c r="E494">
        <v>28.18</v>
      </c>
      <c r="F494">
        <v>492</v>
      </c>
      <c r="G494">
        <f t="shared" si="44"/>
        <v>29.207290922087207</v>
      </c>
      <c r="H494">
        <v>1168.76001</v>
      </c>
      <c r="I494">
        <v>492</v>
      </c>
      <c r="J494">
        <f t="shared" si="45"/>
        <v>1217.9316693038438</v>
      </c>
      <c r="K494">
        <f t="shared" si="46"/>
        <v>46.320465508872076</v>
      </c>
      <c r="L494">
        <v>216.79647313369605</v>
      </c>
    </row>
    <row r="495" spans="1:12">
      <c r="A495" s="1">
        <v>44574</v>
      </c>
      <c r="B495">
        <v>117.910004</v>
      </c>
      <c r="C495">
        <v>493</v>
      </c>
      <c r="D495">
        <f t="shared" si="43"/>
        <v>144.28487444561978</v>
      </c>
      <c r="E495">
        <v>27.870000999999998</v>
      </c>
      <c r="F495">
        <v>493</v>
      </c>
      <c r="G495">
        <f t="shared" si="44"/>
        <v>28.68098044712562</v>
      </c>
      <c r="H495">
        <v>1064.3599850000001</v>
      </c>
      <c r="I495">
        <v>493</v>
      </c>
      <c r="J495">
        <f t="shared" si="45"/>
        <v>1098.2734957795142</v>
      </c>
      <c r="K495">
        <f t="shared" si="46"/>
        <v>-207.38955727788971</v>
      </c>
      <c r="L495">
        <v>234.23726145849105</v>
      </c>
    </row>
    <row r="496" spans="1:12">
      <c r="A496" s="1">
        <v>44575</v>
      </c>
      <c r="B496">
        <v>118.029999</v>
      </c>
      <c r="C496">
        <v>494</v>
      </c>
      <c r="D496">
        <f t="shared" si="43"/>
        <v>143.1455286609947</v>
      </c>
      <c r="E496">
        <v>28.23</v>
      </c>
      <c r="F496">
        <v>494</v>
      </c>
      <c r="G496">
        <f t="shared" si="44"/>
        <v>29.374595286164503</v>
      </c>
      <c r="H496">
        <v>1102.910034</v>
      </c>
      <c r="I496">
        <v>494</v>
      </c>
      <c r="J496">
        <f t="shared" si="45"/>
        <v>1249.680107998423</v>
      </c>
      <c r="K496">
        <f t="shared" si="46"/>
        <v>94.434431899260744</v>
      </c>
      <c r="L496">
        <v>238.89275941270716</v>
      </c>
    </row>
    <row r="497" spans="1:12">
      <c r="A497" s="1">
        <v>44579</v>
      </c>
      <c r="B497">
        <v>118.540001</v>
      </c>
      <c r="C497">
        <v>495</v>
      </c>
      <c r="D497">
        <f t="shared" si="43"/>
        <v>143.61789618417265</v>
      </c>
      <c r="E497">
        <v>28.6</v>
      </c>
      <c r="F497">
        <v>495</v>
      </c>
      <c r="G497">
        <f t="shared" si="44"/>
        <v>29.380092100602198</v>
      </c>
      <c r="H497">
        <v>1054.660034</v>
      </c>
      <c r="I497">
        <v>495</v>
      </c>
      <c r="J497">
        <f t="shared" si="45"/>
        <v>1153.2400302779365</v>
      </c>
      <c r="K497">
        <f t="shared" si="46"/>
        <v>-93.6395960933678</v>
      </c>
      <c r="L497">
        <v>245.61155246458657</v>
      </c>
    </row>
    <row r="498" spans="1:12">
      <c r="A498" s="1">
        <v>44580</v>
      </c>
      <c r="B498">
        <v>117.209999</v>
      </c>
      <c r="C498">
        <v>496</v>
      </c>
      <c r="D498">
        <f t="shared" si="43"/>
        <v>141.39556028011165</v>
      </c>
      <c r="E498">
        <v>28.379999000000002</v>
      </c>
      <c r="F498">
        <v>496</v>
      </c>
      <c r="G498">
        <f t="shared" si="44"/>
        <v>28.776922062937064</v>
      </c>
      <c r="H498">
        <v>1030.9499510000001</v>
      </c>
      <c r="I498">
        <v>496</v>
      </c>
      <c r="J498">
        <f t="shared" si="45"/>
        <v>1178.8876043690113</v>
      </c>
      <c r="K498">
        <f t="shared" si="46"/>
        <v>-73.615357516804579</v>
      </c>
      <c r="L498">
        <v>271.16026825461449</v>
      </c>
    </row>
    <row r="499" spans="1:12">
      <c r="A499" s="1">
        <v>44581</v>
      </c>
      <c r="B499">
        <v>116.41999800000001</v>
      </c>
      <c r="C499">
        <v>497</v>
      </c>
      <c r="D499">
        <f t="shared" si="43"/>
        <v>142.03617315959539</v>
      </c>
      <c r="E499">
        <v>28.209999</v>
      </c>
      <c r="F499">
        <v>497</v>
      </c>
      <c r="G499">
        <f t="shared" si="44"/>
        <v>28.826286110862792</v>
      </c>
      <c r="H499">
        <v>1023.950012</v>
      </c>
      <c r="I499">
        <v>497</v>
      </c>
      <c r="J499">
        <f t="shared" si="45"/>
        <v>1197.8115070224198</v>
      </c>
      <c r="K499">
        <f t="shared" si="46"/>
        <v>-28.620962696264542</v>
      </c>
      <c r="L499">
        <v>283.37326523285265</v>
      </c>
    </row>
    <row r="500" spans="1:12">
      <c r="A500" s="1">
        <v>44582</v>
      </c>
      <c r="B500">
        <v>114.010002</v>
      </c>
      <c r="C500">
        <v>498</v>
      </c>
      <c r="D500">
        <f t="shared" si="43"/>
        <v>140.03977466139452</v>
      </c>
      <c r="E500">
        <v>27.07</v>
      </c>
      <c r="F500">
        <v>498</v>
      </c>
      <c r="G500">
        <f t="shared" si="44"/>
        <v>27.828076137117197</v>
      </c>
      <c r="H500">
        <v>882.11999500000002</v>
      </c>
      <c r="I500">
        <v>498</v>
      </c>
      <c r="J500">
        <f t="shared" si="45"/>
        <v>1038.9537589751012</v>
      </c>
      <c r="K500">
        <f t="shared" si="46"/>
        <v>-381.27359337909456</v>
      </c>
      <c r="L500">
        <v>296.76144709921482</v>
      </c>
    </row>
    <row r="501" spans="1:12">
      <c r="A501" s="1">
        <v>44585</v>
      </c>
      <c r="B501">
        <v>112.41999800000001</v>
      </c>
      <c r="C501">
        <v>499</v>
      </c>
      <c r="D501">
        <f t="shared" si="43"/>
        <v>141.00569627215691</v>
      </c>
      <c r="E501">
        <v>26.24</v>
      </c>
      <c r="F501">
        <v>499</v>
      </c>
      <c r="G501">
        <f t="shared" si="44"/>
        <v>28.110823790173622</v>
      </c>
      <c r="H501">
        <v>938.48999000000003</v>
      </c>
      <c r="I501">
        <v>499</v>
      </c>
      <c r="J501">
        <f t="shared" si="45"/>
        <v>1283.066855252499</v>
      </c>
      <c r="K501">
        <f t="shared" si="46"/>
        <v>120.85303007917173</v>
      </c>
      <c r="L501">
        <v>302.26907727341131</v>
      </c>
    </row>
    <row r="502" spans="1:12">
      <c r="A502" s="1">
        <v>44586</v>
      </c>
      <c r="B502">
        <v>114.300003</v>
      </c>
      <c r="C502">
        <v>500</v>
      </c>
      <c r="D502">
        <f t="shared" si="43"/>
        <v>145.39139583510757</v>
      </c>
      <c r="E502">
        <v>27.610001</v>
      </c>
      <c r="F502">
        <v>500</v>
      </c>
      <c r="G502">
        <f t="shared" si="44"/>
        <v>30.514101714939027</v>
      </c>
      <c r="H502">
        <v>892.39001499999995</v>
      </c>
      <c r="I502">
        <v>500</v>
      </c>
      <c r="J502">
        <f t="shared" si="45"/>
        <v>1146.759549443889</v>
      </c>
      <c r="K502">
        <f t="shared" si="46"/>
        <v>-71.855417037060761</v>
      </c>
      <c r="L502">
        <v>334.15105463494001</v>
      </c>
    </row>
    <row r="503" spans="1:12">
      <c r="A503" s="1">
        <v>44587</v>
      </c>
      <c r="B503">
        <v>115.379997</v>
      </c>
      <c r="C503">
        <v>501</v>
      </c>
      <c r="D503">
        <f t="shared" si="43"/>
        <v>144.35117356033666</v>
      </c>
      <c r="E503">
        <v>27.889999</v>
      </c>
      <c r="F503">
        <v>501</v>
      </c>
      <c r="G503">
        <f t="shared" si="44"/>
        <v>29.294094230565221</v>
      </c>
      <c r="H503">
        <v>868.919983</v>
      </c>
      <c r="I503">
        <v>501</v>
      </c>
      <c r="J503">
        <f t="shared" si="45"/>
        <v>1174.2819640334053</v>
      </c>
      <c r="K503">
        <f t="shared" si="46"/>
        <v>-45.512922871344927</v>
      </c>
      <c r="L503">
        <v>350.77874987269934</v>
      </c>
    </row>
    <row r="504" spans="1:12">
      <c r="A504" s="1">
        <v>44588</v>
      </c>
      <c r="B504">
        <v>113.639999</v>
      </c>
      <c r="C504">
        <v>502</v>
      </c>
      <c r="D504">
        <f t="shared" si="43"/>
        <v>140.84347616164351</v>
      </c>
      <c r="E504">
        <v>28.450001</v>
      </c>
      <c r="F504">
        <v>502</v>
      </c>
      <c r="G504">
        <f t="shared" si="44"/>
        <v>29.582289658741114</v>
      </c>
      <c r="H504">
        <v>815.76000999999997</v>
      </c>
      <c r="I504">
        <v>502</v>
      </c>
      <c r="J504">
        <f t="shared" si="45"/>
        <v>1132.2176855265163</v>
      </c>
      <c r="K504">
        <f t="shared" si="46"/>
        <v>-160.39552244941569</v>
      </c>
      <c r="L504">
        <v>390.51815254283792</v>
      </c>
    </row>
    <row r="505" spans="1:12">
      <c r="A505" s="1">
        <v>44589</v>
      </c>
      <c r="B505">
        <v>113.05999799999999</v>
      </c>
      <c r="C505">
        <v>503</v>
      </c>
      <c r="D505">
        <f t="shared" si="43"/>
        <v>142.27015009037441</v>
      </c>
      <c r="E505">
        <v>28.299999</v>
      </c>
      <c r="F505">
        <v>503</v>
      </c>
      <c r="G505">
        <f t="shared" si="44"/>
        <v>28.847098142457007</v>
      </c>
      <c r="H505">
        <v>872.22997999999995</v>
      </c>
      <c r="I505">
        <v>503</v>
      </c>
      <c r="J505">
        <f t="shared" si="45"/>
        <v>1289.4838469466038</v>
      </c>
      <c r="K505">
        <f t="shared" si="46"/>
        <v>157.37566693380722</v>
      </c>
      <c r="L505">
        <v>616.18394349667506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6CBA-2D00-407D-A935-9F5B3EAB976A}">
  <dimension ref="A1:G7"/>
  <sheetViews>
    <sheetView workbookViewId="0">
      <selection activeCell="I17" sqref="I17"/>
    </sheetView>
  </sheetViews>
  <sheetFormatPr defaultRowHeight="15"/>
  <cols>
    <col min="1" max="1" width="18" customWidth="1"/>
  </cols>
  <sheetData>
    <row r="1" spans="1:7">
      <c r="A1" t="s">
        <v>69</v>
      </c>
    </row>
    <row r="2" spans="1:7">
      <c r="A2" t="s">
        <v>71</v>
      </c>
      <c r="B2">
        <v>1</v>
      </c>
      <c r="C2">
        <v>2</v>
      </c>
      <c r="D2">
        <v>3</v>
      </c>
      <c r="E2">
        <v>4</v>
      </c>
      <c r="F2">
        <v>5</v>
      </c>
    </row>
    <row r="3" spans="1:7">
      <c r="A3" t="s">
        <v>70</v>
      </c>
      <c r="B3">
        <f>1.112/100</f>
        <v>1.1120000000000001E-2</v>
      </c>
      <c r="C3">
        <f>3.083/100</f>
        <v>3.0830000000000003E-2</v>
      </c>
      <c r="D3">
        <f>5.424/100</f>
        <v>5.4240000000000003E-2</v>
      </c>
      <c r="E3">
        <f>7.934/100</f>
        <v>7.9340000000000008E-2</v>
      </c>
      <c r="F3">
        <f>10.189/100</f>
        <v>0.10188999999999999</v>
      </c>
    </row>
    <row r="4" spans="1:7">
      <c r="A4" t="s">
        <v>72</v>
      </c>
      <c r="C4">
        <f>C3-B3</f>
        <v>1.9710000000000002E-2</v>
      </c>
      <c r="D4">
        <f t="shared" ref="D4:F4" si="0">D3-C3</f>
        <v>2.341E-2</v>
      </c>
      <c r="E4">
        <f t="shared" si="0"/>
        <v>2.5100000000000004E-2</v>
      </c>
      <c r="F4">
        <f t="shared" si="0"/>
        <v>2.2549999999999987E-2</v>
      </c>
    </row>
    <row r="5" spans="1:7">
      <c r="A5" t="s">
        <v>73</v>
      </c>
      <c r="C5">
        <f>C4/(1-B3)</f>
        <v>1.993163983496481E-2</v>
      </c>
      <c r="D5">
        <f t="shared" ref="D5:F5" si="1">D4/(1-C3)</f>
        <v>2.4154689063838129E-2</v>
      </c>
      <c r="E5">
        <f t="shared" si="1"/>
        <v>2.6539502622229743E-2</v>
      </c>
      <c r="F5">
        <f t="shared" si="1"/>
        <v>2.4493298286012193E-2</v>
      </c>
    </row>
    <row r="6" spans="1:7">
      <c r="A6" t="s">
        <v>74</v>
      </c>
      <c r="G6">
        <f>AVERAGE(C5:F5)</f>
        <v>2.3779782451761221E-2</v>
      </c>
    </row>
    <row r="7" spans="1:7">
      <c r="A7" t="s">
        <v>75</v>
      </c>
      <c r="B7">
        <f>1 - EXP(-1*G6*B2)</f>
        <v>2.3499271322106496E-2</v>
      </c>
      <c r="C7">
        <f>1 - EXP(-1*0.02378*C2)</f>
        <v>4.6446741779297085E-2</v>
      </c>
      <c r="D7">
        <f t="shared" ref="D7:F7" si="2">1 - EXP(-1*0.02378*D2)</f>
        <v>6.8854751083335053E-2</v>
      </c>
      <c r="E7">
        <f t="shared" si="2"/>
        <v>9.0736183736681575E-2</v>
      </c>
      <c r="F7">
        <f t="shared" si="2"/>
        <v>0.11210341401878676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D27E-3034-4AA1-A68F-A536FE7C487B}">
  <dimension ref="A1:K51"/>
  <sheetViews>
    <sheetView showGridLines="0" zoomScale="97" workbookViewId="0">
      <selection activeCell="N4" sqref="N4"/>
    </sheetView>
  </sheetViews>
  <sheetFormatPr defaultRowHeight="12.75"/>
  <cols>
    <col min="1" max="1" width="12" style="21" bestFit="1" customWidth="1"/>
    <col min="2" max="2" width="10.28515625" style="21" customWidth="1"/>
    <col min="3" max="4" width="11" style="21" customWidth="1"/>
    <col min="5" max="5" width="8.140625" style="21" bestFit="1" customWidth="1"/>
    <col min="6" max="8" width="8.140625" style="21" customWidth="1"/>
    <col min="9" max="9" width="11" style="21" customWidth="1"/>
    <col min="10" max="10" width="9.85546875" style="21" bestFit="1" customWidth="1"/>
    <col min="11" max="11" width="10.7109375" style="21" customWidth="1"/>
    <col min="12" max="16384" width="9.140625" style="21"/>
  </cols>
  <sheetData>
    <row r="1" spans="1:11">
      <c r="A1" s="29" t="s">
        <v>100</v>
      </c>
    </row>
    <row r="3" spans="1:11" ht="15">
      <c r="A3" s="21" t="s">
        <v>99</v>
      </c>
      <c r="B3" s="42">
        <f>Question_1!$D$2</f>
        <v>129.41000399999999</v>
      </c>
      <c r="C3" s="42"/>
      <c r="D3" s="42"/>
    </row>
    <row r="4" spans="1:11" ht="15">
      <c r="A4" s="21" t="s">
        <v>98</v>
      </c>
      <c r="B4" s="41">
        <f>Question_1!$N$2</f>
        <v>-0.12680328149524217</v>
      </c>
      <c r="C4" s="41"/>
      <c r="D4" s="41"/>
    </row>
    <row r="5" spans="1:11" ht="15">
      <c r="A5" s="21" t="s">
        <v>97</v>
      </c>
      <c r="B5" s="41">
        <f>Question_1!$N$3</f>
        <v>0.10298508091209546</v>
      </c>
      <c r="C5" s="41"/>
      <c r="D5" s="41"/>
    </row>
    <row r="6" spans="1:11" ht="15">
      <c r="A6" s="21" t="s">
        <v>96</v>
      </c>
      <c r="B6" s="40">
        <v>52</v>
      </c>
      <c r="C6" s="40"/>
      <c r="D6" s="40"/>
    </row>
    <row r="7" spans="1:11">
      <c r="A7" s="21" t="s">
        <v>95</v>
      </c>
      <c r="B7" s="21">
        <f>1/B6</f>
        <v>1.9230769230769232E-2</v>
      </c>
    </row>
    <row r="8" spans="1:11">
      <c r="B8" s="21" t="s">
        <v>94</v>
      </c>
      <c r="E8" s="38" t="s">
        <v>93</v>
      </c>
    </row>
    <row r="9" spans="1:11" ht="38.25">
      <c r="B9" s="39" t="s">
        <v>92</v>
      </c>
      <c r="C9" s="39" t="s">
        <v>91</v>
      </c>
      <c r="D9" s="39"/>
      <c r="E9" s="38"/>
      <c r="I9" s="37" t="s">
        <v>90</v>
      </c>
    </row>
    <row r="10" spans="1:11">
      <c r="A10" s="36" t="s">
        <v>89</v>
      </c>
      <c r="B10" s="33" t="s">
        <v>88</v>
      </c>
      <c r="C10" s="35" t="s">
        <v>87</v>
      </c>
      <c r="D10" s="33" t="s">
        <v>86</v>
      </c>
      <c r="E10" s="34" t="s">
        <v>85</v>
      </c>
      <c r="F10" s="32" t="s">
        <v>84</v>
      </c>
      <c r="G10" s="32" t="s">
        <v>83</v>
      </c>
      <c r="H10" s="33" t="s">
        <v>82</v>
      </c>
      <c r="I10" s="33" t="s">
        <v>81</v>
      </c>
      <c r="J10" s="32" t="s">
        <v>80</v>
      </c>
      <c r="K10" s="31" t="s">
        <v>79</v>
      </c>
    </row>
    <row r="11" spans="1:11">
      <c r="A11" s="21">
        <v>0</v>
      </c>
      <c r="B11" s="29"/>
      <c r="C11" s="30">
        <f>Szero</f>
        <v>129.41000399999999</v>
      </c>
      <c r="D11" s="30"/>
      <c r="I11" s="21">
        <v>0</v>
      </c>
      <c r="J11" s="29"/>
      <c r="K11" s="22">
        <f>B3</f>
        <v>129.41000399999999</v>
      </c>
    </row>
    <row r="12" spans="1:11" ht="15">
      <c r="A12" s="21">
        <v>1</v>
      </c>
      <c r="B12" s="28">
        <f>Mu*dt</f>
        <v>-2.4385246441392728E-3</v>
      </c>
      <c r="C12" s="27">
        <f>C11*(1+B12)</f>
        <v>129.09443451604781</v>
      </c>
      <c r="D12" s="26">
        <f>K11*B12</f>
        <v>-0.31556948395216183</v>
      </c>
      <c r="E12" s="25">
        <f ca="1">NORMINV(RAND(),0,1)</f>
        <v>0.59041551630139566</v>
      </c>
      <c r="F12" s="25">
        <f ca="1">E12*SQRT(dt)</f>
        <v>8.1875900686701031E-2</v>
      </c>
      <c r="G12" s="25">
        <f ca="1">Sigma*F12</f>
        <v>8.4319962569705982E-3</v>
      </c>
      <c r="H12" s="23">
        <f ca="1">G12*K11</f>
        <v>1.09118466934255</v>
      </c>
      <c r="I12" s="24">
        <f ca="1">I11+H12</f>
        <v>1.09118466934255</v>
      </c>
      <c r="J12" s="23">
        <f ca="1">D12+H12</f>
        <v>0.7756151853903881</v>
      </c>
      <c r="K12" s="22">
        <f ca="1">K11+J12</f>
        <v>130.18561918539038</v>
      </c>
    </row>
    <row r="13" spans="1:11" ht="15">
      <c r="A13" s="21">
        <v>2</v>
      </c>
      <c r="B13" s="28">
        <f>Mu*dt</f>
        <v>-2.4385246441392728E-3</v>
      </c>
      <c r="C13" s="27">
        <f>C12*(1+B13)</f>
        <v>128.77963455605919</v>
      </c>
      <c r="D13" s="26">
        <f ca="1">K12*B13</f>
        <v>-0.31746084069610497</v>
      </c>
      <c r="E13" s="25">
        <f ca="1">NORMINV(RAND(),0,1)</f>
        <v>-1.0144608261549624</v>
      </c>
      <c r="F13" s="25">
        <f ca="1">E13*SQRT(dt)</f>
        <v>-0.14068040483274141</v>
      </c>
      <c r="G13" s="25">
        <f ca="1">Sigma*F13</f>
        <v>-1.448798287444622E-2</v>
      </c>
      <c r="H13" s="23">
        <f ca="1">G13*K12</f>
        <v>-1.8861270212571131</v>
      </c>
      <c r="I13" s="24">
        <f ca="1">I12+H13</f>
        <v>-0.79494235191456308</v>
      </c>
      <c r="J13" s="23">
        <f ca="1">D13+H13</f>
        <v>-2.2035878619532179</v>
      </c>
      <c r="K13" s="22">
        <f ca="1">K12+J13</f>
        <v>127.98203132343716</v>
      </c>
    </row>
    <row r="14" spans="1:11" ht="15">
      <c r="A14" s="21">
        <v>3</v>
      </c>
      <c r="B14" s="28">
        <f>Mu*dt</f>
        <v>-2.4385246441392728E-3</v>
      </c>
      <c r="C14" s="27">
        <f>C13*(1+B14)</f>
        <v>128.46560224353098</v>
      </c>
      <c r="D14" s="26">
        <f ca="1">K13*B14</f>
        <v>-0.31208733738920585</v>
      </c>
      <c r="E14" s="25">
        <f ca="1">NORMINV(RAND(),0,1)</f>
        <v>0.49491591767983634</v>
      </c>
      <c r="F14" s="25">
        <f ca="1">E14*SQRT(dt)</f>
        <v>6.8632489162998647E-2</v>
      </c>
      <c r="G14" s="25">
        <f ca="1">Sigma*F14</f>
        <v>7.0681224496499306E-3</v>
      </c>
      <c r="H14" s="23">
        <f ca="1">G14*K13</f>
        <v>0.90459266874898681</v>
      </c>
      <c r="I14" s="24">
        <f ca="1">I13+H14</f>
        <v>0.10965031683442372</v>
      </c>
      <c r="J14" s="23">
        <f ca="1">D14+H14</f>
        <v>0.59250533135978101</v>
      </c>
      <c r="K14" s="22">
        <f ca="1">K13+J14</f>
        <v>128.57453665479693</v>
      </c>
    </row>
    <row r="15" spans="1:11" ht="15">
      <c r="A15" s="21">
        <v>4</v>
      </c>
      <c r="B15" s="28">
        <f>Mu*dt</f>
        <v>-2.4385246441392728E-3</v>
      </c>
      <c r="C15" s="27">
        <f>C14*(1+B15)</f>
        <v>128.15233570653592</v>
      </c>
      <c r="D15" s="26">
        <f ca="1">K14*B15</f>
        <v>-0.31353217624151059</v>
      </c>
      <c r="E15" s="25">
        <f ca="1">NORMINV(RAND(),0,1)</f>
        <v>3.8188211730554027E-2</v>
      </c>
      <c r="F15" s="25">
        <f ca="1">E15*SQRT(dt)</f>
        <v>5.2957521351072291E-3</v>
      </c>
      <c r="G15" s="25">
        <f ca="1">Sigma*F15</f>
        <v>5.4538346212442031E-4</v>
      </c>
      <c r="H15" s="23">
        <f ca="1">G15*K14</f>
        <v>7.0122425941836333E-2</v>
      </c>
      <c r="I15" s="24">
        <f ca="1">I14+H15</f>
        <v>0.17977274277626004</v>
      </c>
      <c r="J15" s="23">
        <f ca="1">D15+H15</f>
        <v>-0.24340975029967427</v>
      </c>
      <c r="K15" s="22">
        <f ca="1">K14+J15</f>
        <v>128.33112690449727</v>
      </c>
    </row>
    <row r="16" spans="1:11" ht="15">
      <c r="A16" s="21">
        <v>5</v>
      </c>
      <c r="B16" s="28">
        <f>Mu*dt</f>
        <v>-2.4385246441392728E-3</v>
      </c>
      <c r="C16" s="27">
        <f>C15*(1+B16)</f>
        <v>127.83983307771152</v>
      </c>
      <c r="D16" s="26">
        <f ca="1">K15*B16</f>
        <v>-0.31293861556678104</v>
      </c>
      <c r="E16" s="25">
        <f ca="1">NORMINV(RAND(),0,1)</f>
        <v>0.14475486760919334</v>
      </c>
      <c r="F16" s="25">
        <f ca="1">E16*SQRT(dt)</f>
        <v>2.0073888366844154E-2</v>
      </c>
      <c r="G16" s="25">
        <f ca="1">Sigma*F16</f>
        <v>2.0673110176798169E-3</v>
      </c>
      <c r="H16" s="23">
        <f ca="1">G16*K15</f>
        <v>0.26530035256093398</v>
      </c>
      <c r="I16" s="24">
        <f ca="1">I15+H16</f>
        <v>0.44507309533719402</v>
      </c>
      <c r="J16" s="23">
        <f ca="1">D16+H16</f>
        <v>-4.7638263005847059E-2</v>
      </c>
      <c r="K16" s="22">
        <f ca="1">K15+J16</f>
        <v>128.28348864149143</v>
      </c>
    </row>
    <row r="17" spans="1:11" ht="15">
      <c r="A17" s="21">
        <v>6</v>
      </c>
      <c r="B17" s="28">
        <f>Mu*dt</f>
        <v>-2.4385246441392728E-3</v>
      </c>
      <c r="C17" s="27">
        <f>C16*(1+B17)</f>
        <v>127.52809249424887</v>
      </c>
      <c r="D17" s="26">
        <f ca="1">K16*B17</f>
        <v>-0.31282244848843732</v>
      </c>
      <c r="E17" s="25">
        <f ca="1">NORMINV(RAND(),0,1)</f>
        <v>0.79063730271859378</v>
      </c>
      <c r="F17" s="25">
        <f ca="1">E17*SQRT(dt)</f>
        <v>0.10964166674024747</v>
      </c>
      <c r="G17" s="25">
        <f ca="1">Sigma*F17</f>
        <v>1.1291455920581391E-2</v>
      </c>
      <c r="H17" s="23">
        <f ca="1">G17*K16</f>
        <v>1.4485073573338041</v>
      </c>
      <c r="I17" s="24">
        <f ca="1">I16+H17</f>
        <v>1.8935804526709981</v>
      </c>
      <c r="J17" s="23">
        <f ca="1">D17+H17</f>
        <v>1.1356849088453669</v>
      </c>
      <c r="K17" s="22">
        <f ca="1">K16+J17</f>
        <v>129.41917355033681</v>
      </c>
    </row>
    <row r="18" spans="1:11" ht="15">
      <c r="A18" s="21">
        <v>7</v>
      </c>
      <c r="B18" s="28">
        <f>Mu*dt</f>
        <v>-2.4385246441392728E-3</v>
      </c>
      <c r="C18" s="27">
        <f>C17*(1+B18)</f>
        <v>127.21711209788157</v>
      </c>
      <c r="D18" s="26">
        <f ca="1">K17*B18</f>
        <v>-0.31559184412663388</v>
      </c>
      <c r="E18" s="25">
        <f ca="1">NORMINV(RAND(),0,1)</f>
        <v>8.7992875457335487E-2</v>
      </c>
      <c r="F18" s="25">
        <f ca="1">E18*SQRT(dt)</f>
        <v>1.2202416320651535E-2</v>
      </c>
      <c r="G18" s="25">
        <f ca="1">Sigma*F18</f>
        <v>1.2566668321053725E-3</v>
      </c>
      <c r="H18" s="23">
        <f ca="1">G18*K17</f>
        <v>0.16263678283919716</v>
      </c>
      <c r="I18" s="24">
        <f ca="1">I17+H18</f>
        <v>2.0562172355101951</v>
      </c>
      <c r="J18" s="23">
        <f ca="1">D18+H18</f>
        <v>-0.15295506128743672</v>
      </c>
      <c r="K18" s="22">
        <f ca="1">K17+J18</f>
        <v>129.26621848904938</v>
      </c>
    </row>
    <row r="19" spans="1:11" ht="15">
      <c r="A19" s="21">
        <v>8</v>
      </c>
      <c r="B19" s="28">
        <f>Mu*dt</f>
        <v>-2.4385246441392728E-3</v>
      </c>
      <c r="C19" s="27">
        <f>C18*(1+B19)</f>
        <v>126.90689003487465</v>
      </c>
      <c r="D19" s="26">
        <f ca="1">K18*B19</f>
        <v>-0.31521885944023864</v>
      </c>
      <c r="E19" s="25">
        <f ca="1">NORMINV(RAND(),0,1)</f>
        <v>-2.0026258560939607</v>
      </c>
      <c r="F19" s="25">
        <f ca="1">E19*SQRT(dt)</f>
        <v>-0.27771423883525936</v>
      </c>
      <c r="G19" s="25">
        <f ca="1">Sigma*F19</f>
        <v>-2.8600423356890191E-2</v>
      </c>
      <c r="H19" s="23">
        <f ca="1">G19*K18</f>
        <v>-3.6970685745310785</v>
      </c>
      <c r="I19" s="24">
        <f ca="1">I18+H19</f>
        <v>-1.6408513390208834</v>
      </c>
      <c r="J19" s="23">
        <f ca="1">D19+H19</f>
        <v>-4.0122874339713173</v>
      </c>
      <c r="K19" s="22">
        <f ca="1">K18+J19</f>
        <v>125.25393105507806</v>
      </c>
    </row>
    <row r="20" spans="1:11" ht="15">
      <c r="A20" s="21">
        <v>9</v>
      </c>
      <c r="B20" s="28">
        <f>Mu*dt</f>
        <v>-2.4385246441392728E-3</v>
      </c>
      <c r="C20" s="27">
        <f>C19*(1+B20)</f>
        <v>126.59742445601353</v>
      </c>
      <c r="D20" s="26">
        <f ca="1">K19*B20</f>
        <v>-0.30543479765312925</v>
      </c>
      <c r="E20" s="25">
        <f ca="1">NORMINV(RAND(),0,1)</f>
        <v>-0.39173837706854764</v>
      </c>
      <c r="F20" s="25">
        <f ca="1">E20*SQRT(dt)</f>
        <v>-5.4324338657219043E-2</v>
      </c>
      <c r="G20" s="25">
        <f ca="1">Sigma*F20</f>
        <v>-5.594596412109778E-3</v>
      </c>
      <c r="H20" s="23">
        <f ca="1">G20*K19</f>
        <v>-0.70074519328338514</v>
      </c>
      <c r="I20" s="24">
        <f ca="1">I19+H20</f>
        <v>-2.3415965323042687</v>
      </c>
      <c r="J20" s="23">
        <f ca="1">D20+H20</f>
        <v>-1.0061799909365143</v>
      </c>
      <c r="K20" s="22">
        <f ca="1">K19+J20</f>
        <v>124.24775106414154</v>
      </c>
    </row>
    <row r="21" spans="1:11" ht="15">
      <c r="A21" s="21">
        <v>10</v>
      </c>
      <c r="B21" s="28">
        <f>Mu*dt</f>
        <v>-2.4385246441392728E-3</v>
      </c>
      <c r="C21" s="27">
        <f>C20*(1+B21)</f>
        <v>126.28871351659298</v>
      </c>
      <c r="D21" s="26">
        <f ca="1">K20*B21</f>
        <v>-0.30298120294879072</v>
      </c>
      <c r="E21" s="25">
        <f ca="1">NORMINV(RAND(),0,1)</f>
        <v>0.32691047906863907</v>
      </c>
      <c r="F21" s="25">
        <f ca="1">E21*SQRT(dt)</f>
        <v>4.5334326721864437E-2</v>
      </c>
      <c r="G21" s="25">
        <f ca="1">Sigma*F21</f>
        <v>4.6687593055465808E-3</v>
      </c>
      <c r="H21" s="23">
        <f ca="1">G21*K20</f>
        <v>0.58008284397394594</v>
      </c>
      <c r="I21" s="24">
        <f ca="1">I20+H21</f>
        <v>-1.7615136883303228</v>
      </c>
      <c r="J21" s="23">
        <f ca="1">D21+H21</f>
        <v>0.27710164102515522</v>
      </c>
      <c r="K21" s="22">
        <f ca="1">K20+J21</f>
        <v>124.52485270516669</v>
      </c>
    </row>
    <row r="22" spans="1:11" ht="15">
      <c r="A22" s="21">
        <v>11</v>
      </c>
      <c r="B22" s="28">
        <f>Mu*dt</f>
        <v>-2.4385246441392728E-3</v>
      </c>
      <c r="C22" s="27">
        <f>C21*(1+B22)</f>
        <v>125.98075537640612</v>
      </c>
      <c r="D22" s="26">
        <f ca="1">K21*B22</f>
        <v>-0.30365692212936196</v>
      </c>
      <c r="E22" s="25">
        <f ca="1">NORMINV(RAND(),0,1)</f>
        <v>1.2647893880567915</v>
      </c>
      <c r="F22" s="25">
        <f ca="1">E22*SQRT(dt)</f>
        <v>0.17539473043467244</v>
      </c>
      <c r="G22" s="25">
        <f ca="1">Sigma*F22</f>
        <v>1.8063040505369912E-2</v>
      </c>
      <c r="H22" s="23">
        <f ca="1">G22*K21</f>
        <v>2.2492974583386478</v>
      </c>
      <c r="I22" s="24">
        <f ca="1">I21+H22</f>
        <v>0.48778377000832496</v>
      </c>
      <c r="J22" s="23">
        <f ca="1">D22+H22</f>
        <v>1.9456405362092859</v>
      </c>
      <c r="K22" s="22">
        <f ca="1">K21+J22</f>
        <v>126.47049324137598</v>
      </c>
    </row>
    <row r="23" spans="1:11" ht="15">
      <c r="A23" s="21">
        <v>12</v>
      </c>
      <c r="B23" s="28">
        <f>Mu*dt</f>
        <v>-2.4385246441392728E-3</v>
      </c>
      <c r="C23" s="27">
        <f>C22*(1+B23)</f>
        <v>125.67354819973347</v>
      </c>
      <c r="D23" s="26">
        <f ca="1">K22*B23</f>
        <v>-0.30840141452554465</v>
      </c>
      <c r="E23" s="25">
        <f ca="1">NORMINV(RAND(),0,1)</f>
        <v>0.55707093922010709</v>
      </c>
      <c r="F23" s="25">
        <f ca="1">E23*SQRT(dt)</f>
        <v>7.7251839824191523E-2</v>
      </c>
      <c r="G23" s="25">
        <f ca="1">Sigma*F23</f>
        <v>7.9557869749026025E-3</v>
      </c>
      <c r="H23" s="23">
        <f ca="1">G23*K22</f>
        <v>1.0061723028392466</v>
      </c>
      <c r="I23" s="24">
        <f ca="1">I22+H23</f>
        <v>1.4939560728475716</v>
      </c>
      <c r="J23" s="23">
        <f ca="1">D23+H23</f>
        <v>0.69777088831370193</v>
      </c>
      <c r="K23" s="22">
        <f ca="1">K22+J23</f>
        <v>127.16826412968967</v>
      </c>
    </row>
    <row r="24" spans="1:11" ht="15">
      <c r="A24" s="21">
        <v>13</v>
      </c>
      <c r="B24" s="28">
        <f>Mu*dt</f>
        <v>-2.4385246441392728E-3</v>
      </c>
      <c r="C24" s="27">
        <f>C23*(1+B24)</f>
        <v>125.36709015533199</v>
      </c>
      <c r="D24" s="26">
        <f ca="1">K23*B24</f>
        <v>-0.31010294603266059</v>
      </c>
      <c r="E24" s="25">
        <f ca="1">NORMINV(RAND(),0,1)</f>
        <v>1.6391513920476806</v>
      </c>
      <c r="F24" s="25">
        <f ca="1">E24*SQRT(dt)</f>
        <v>0.22730939970292649</v>
      </c>
      <c r="G24" s="25">
        <f ca="1">Sigma*F24</f>
        <v>2.3409476920485731E-2</v>
      </c>
      <c r="H24" s="23">
        <f ca="1">G24*K23</f>
        <v>2.9769425441622039</v>
      </c>
      <c r="I24" s="24">
        <f ca="1">I23+H24</f>
        <v>4.4708986170097758</v>
      </c>
      <c r="J24" s="23">
        <f ca="1">D24+H24</f>
        <v>2.6668395981295432</v>
      </c>
      <c r="K24" s="22">
        <f ca="1">K23+J24</f>
        <v>129.83510372781922</v>
      </c>
    </row>
    <row r="25" spans="1:11" ht="15">
      <c r="A25" s="21">
        <v>14</v>
      </c>
      <c r="B25" s="28">
        <f>Mu*dt</f>
        <v>-2.4385246441392728E-3</v>
      </c>
      <c r="C25" s="27">
        <f>C24*(1+B25)</f>
        <v>125.06137941642419</v>
      </c>
      <c r="D25" s="26">
        <f ca="1">K24*B25</f>
        <v>-0.31660610011466594</v>
      </c>
      <c r="E25" s="25">
        <f ca="1">NORMINV(RAND(),0,1)</f>
        <v>0.8469517957640802</v>
      </c>
      <c r="F25" s="25">
        <f ca="1">E25*SQRT(dt)</f>
        <v>0.11745108182591137</v>
      </c>
      <c r="G25" s="25">
        <f ca="1">Sigma*F25</f>
        <v>1.2095709165054628E-2</v>
      </c>
      <c r="H25" s="23">
        <f ca="1">G25*K24</f>
        <v>1.5704476541064012</v>
      </c>
      <c r="I25" s="24">
        <f ca="1">I24+H25</f>
        <v>6.0413462711161774</v>
      </c>
      <c r="J25" s="23">
        <f ca="1">D25+H25</f>
        <v>1.2538415539917351</v>
      </c>
      <c r="K25" s="22">
        <f ca="1">K24+J25</f>
        <v>131.08894528181096</v>
      </c>
    </row>
    <row r="26" spans="1:11" ht="15">
      <c r="A26" s="21">
        <v>15</v>
      </c>
      <c r="B26" s="28">
        <f>Mu*dt</f>
        <v>-2.4385246441392728E-3</v>
      </c>
      <c r="C26" s="27">
        <f>C25*(1+B26)</f>
        <v>124.75641416068719</v>
      </c>
      <c r="D26" s="26">
        <f ca="1">K25*B26</f>
        <v>-0.3196636236439207</v>
      </c>
      <c r="E26" s="25">
        <f ca="1">NORMINV(RAND(),0,1)</f>
        <v>0.19454820583139326</v>
      </c>
      <c r="F26" s="25">
        <f ca="1">E26*SQRT(dt)</f>
        <v>2.6978981987485027E-2</v>
      </c>
      <c r="G26" s="25">
        <f ca="1">Sigma*F26</f>
        <v>2.7784326429071116E-3</v>
      </c>
      <c r="H26" s="23">
        <f ca="1">G26*K25</f>
        <v>0.36422180469524779</v>
      </c>
      <c r="I26" s="24">
        <f ca="1">I25+H26</f>
        <v>6.4055680758114253</v>
      </c>
      <c r="J26" s="23">
        <f ca="1">D26+H26</f>
        <v>4.4558181051327084E-2</v>
      </c>
      <c r="K26" s="22">
        <f ca="1">K25+J26</f>
        <v>131.13350346286228</v>
      </c>
    </row>
    <row r="27" spans="1:11" ht="15">
      <c r="A27" s="21">
        <v>16</v>
      </c>
      <c r="B27" s="28">
        <f>Mu*dt</f>
        <v>-2.4385246441392728E-3</v>
      </c>
      <c r="C27" s="27">
        <f>C26*(1+B27)</f>
        <v>124.45219257024191</v>
      </c>
      <c r="D27" s="26">
        <f ca="1">K26*B27</f>
        <v>-0.31977227986651235</v>
      </c>
      <c r="E27" s="25">
        <f ca="1">NORMINV(RAND(),0,1)</f>
        <v>-0.69356963454505249</v>
      </c>
      <c r="F27" s="25">
        <f ca="1">E27*SQRT(dt)</f>
        <v>-9.6180803094500278E-2</v>
      </c>
      <c r="G27" s="25">
        <f ca="1">Sigma*F27</f>
        <v>-9.9051877888774332E-3</v>
      </c>
      <c r="H27" s="23">
        <f ca="1">G27*K26</f>
        <v>-1.2989019772130601</v>
      </c>
      <c r="I27" s="24">
        <f ca="1">I26+H27</f>
        <v>5.1066660985983656</v>
      </c>
      <c r="J27" s="23">
        <f ca="1">D27+H27</f>
        <v>-1.6186742570795725</v>
      </c>
      <c r="K27" s="22">
        <f ca="1">K26+J27</f>
        <v>129.51482920578272</v>
      </c>
    </row>
    <row r="28" spans="1:11" ht="15">
      <c r="A28" s="21">
        <v>17</v>
      </c>
      <c r="B28" s="28">
        <f>Mu*dt</f>
        <v>-2.4385246441392728E-3</v>
      </c>
      <c r="C28" s="27">
        <f>C27*(1+B28)</f>
        <v>124.1487128316422</v>
      </c>
      <c r="D28" s="26">
        <f ca="1">K27*B28</f>
        <v>-0.31582510279978998</v>
      </c>
      <c r="E28" s="25">
        <f ca="1">NORMINV(RAND(),0,1)</f>
        <v>1.2029621676144739</v>
      </c>
      <c r="F28" s="25">
        <f ca="1">E28*SQRT(dt)</f>
        <v>0.16682083760681893</v>
      </c>
      <c r="G28" s="25">
        <f ca="1">Sigma*F28</f>
        <v>1.7180057458761784E-2</v>
      </c>
      <c r="H28" s="23">
        <f ca="1">G28*K27</f>
        <v>2.2250722075170661</v>
      </c>
      <c r="I28" s="24">
        <f ca="1">I27+H28</f>
        <v>7.3317383061154313</v>
      </c>
      <c r="J28" s="23">
        <f ca="1">D28+H28</f>
        <v>1.9092471047172761</v>
      </c>
      <c r="K28" s="22">
        <f ca="1">K27+J28</f>
        <v>131.4240763105</v>
      </c>
    </row>
    <row r="29" spans="1:11" ht="15">
      <c r="A29" s="21">
        <v>18</v>
      </c>
      <c r="B29" s="28">
        <f>Mu*dt</f>
        <v>-2.4385246441392728E-3</v>
      </c>
      <c r="C29" s="27">
        <f>C28*(1+B29)</f>
        <v>123.84597313586407</v>
      </c>
      <c r="D29" s="26">
        <f ca="1">K28*B29</f>
        <v>-0.32048084891639467</v>
      </c>
      <c r="E29" s="25">
        <f ca="1">NORMINV(RAND(),0,1)</f>
        <v>0.55786758084627674</v>
      </c>
      <c r="F29" s="25">
        <f ca="1">E29*SQRT(dt)</f>
        <v>7.7362314140780902E-2</v>
      </c>
      <c r="G29" s="25">
        <f ca="1">Sigma*F29</f>
        <v>7.9671641813352685E-3</v>
      </c>
      <c r="H29" s="23">
        <f ca="1">G29*K28</f>
        <v>1.0470771933460885</v>
      </c>
      <c r="I29" s="24">
        <f ca="1">I28+H29</f>
        <v>8.3788154994615205</v>
      </c>
      <c r="J29" s="23">
        <f ca="1">D29+H29</f>
        <v>0.7265963444296939</v>
      </c>
      <c r="K29" s="22">
        <f ca="1">K28+J29</f>
        <v>132.15067265492968</v>
      </c>
    </row>
    <row r="30" spans="1:11" ht="15">
      <c r="A30" s="21">
        <v>19</v>
      </c>
      <c r="B30" s="28">
        <f>Mu*dt</f>
        <v>-2.4385246441392728E-3</v>
      </c>
      <c r="C30" s="27">
        <f>C29*(1+B30)</f>
        <v>123.54397167829485</v>
      </c>
      <c r="D30" s="26">
        <f ca="1">K29*B30</f>
        <v>-0.32225267200862795</v>
      </c>
      <c r="E30" s="25">
        <f ca="1">NORMINV(RAND(),0,1)</f>
        <v>1.2810940133795028</v>
      </c>
      <c r="F30" s="25">
        <f ca="1">E30*SQRT(dt)</f>
        <v>0.17765577515114414</v>
      </c>
      <c r="G30" s="25">
        <f ca="1">Sigma*F30</f>
        <v>1.8295894378441618E-2</v>
      </c>
      <c r="H30" s="23">
        <f ca="1">G30*K29</f>
        <v>2.4178147489346062</v>
      </c>
      <c r="I30" s="24">
        <f ca="1">I29+H30</f>
        <v>10.796630248396127</v>
      </c>
      <c r="J30" s="23">
        <f ca="1">D30+H30</f>
        <v>2.0955620769259782</v>
      </c>
      <c r="K30" s="22">
        <f ca="1">K29+J30</f>
        <v>134.24623473185565</v>
      </c>
    </row>
    <row r="31" spans="1:11" ht="15">
      <c r="A31" s="21">
        <v>20</v>
      </c>
      <c r="B31" s="28">
        <f>Mu*dt</f>
        <v>-2.4385246441392728E-3</v>
      </c>
      <c r="C31" s="27">
        <f>C30*(1+B31)</f>
        <v>123.24270665872248</v>
      </c>
      <c r="D31" s="26">
        <f ca="1">K30*B31</f>
        <v>-0.32736275177653557</v>
      </c>
      <c r="E31" s="25">
        <f ca="1">NORMINV(RAND(),0,1)</f>
        <v>0.19564112236852096</v>
      </c>
      <c r="F31" s="25">
        <f ca="1">E31*SQRT(dt)</f>
        <v>2.7130542241885661E-2</v>
      </c>
      <c r="G31" s="25">
        <f ca="1">Sigma*F31</f>
        <v>2.7940410879696187E-3</v>
      </c>
      <c r="H31" s="23">
        <f ca="1">G31*K30</f>
        <v>0.3750894957460188</v>
      </c>
      <c r="I31" s="24">
        <f ca="1">I30+H31</f>
        <v>11.171719744142147</v>
      </c>
      <c r="J31" s="23">
        <f ca="1">D31+H31</f>
        <v>4.7726743969483232E-2</v>
      </c>
      <c r="K31" s="22">
        <f ca="1">K30+J31</f>
        <v>134.29396147582514</v>
      </c>
    </row>
    <row r="32" spans="1:11" ht="15">
      <c r="A32" s="21">
        <v>21</v>
      </c>
      <c r="B32" s="28">
        <f>Mu*dt</f>
        <v>-2.4385246441392728E-3</v>
      </c>
      <c r="C32" s="27">
        <f>C31*(1+B32)</f>
        <v>122.94217628132476</v>
      </c>
      <c r="D32" s="26">
        <f ca="1">K31*B32</f>
        <v>-0.32747913461788974</v>
      </c>
      <c r="E32" s="25">
        <f ca="1">NORMINV(RAND(),0,1)</f>
        <v>0.62572606779045881</v>
      </c>
      <c r="F32" s="25">
        <f ca="1">E32*SQRT(dt)</f>
        <v>8.677259314665213E-2</v>
      </c>
      <c r="G32" s="25">
        <f ca="1">Sigma*F32</f>
        <v>8.93628252616031E-3</v>
      </c>
      <c r="H32" s="23">
        <f ca="1">G32*K31</f>
        <v>1.2000887813052621</v>
      </c>
      <c r="I32" s="24">
        <f ca="1">I31+H32</f>
        <v>12.371808525447408</v>
      </c>
      <c r="J32" s="23">
        <f ca="1">D32+H32</f>
        <v>0.87260964668737229</v>
      </c>
      <c r="K32" s="22">
        <f ca="1">K31+J32</f>
        <v>135.16657112251252</v>
      </c>
    </row>
    <row r="33" spans="1:11" ht="15">
      <c r="A33" s="21">
        <v>22</v>
      </c>
      <c r="B33" s="28">
        <f>Mu*dt</f>
        <v>-2.4385246441392728E-3</v>
      </c>
      <c r="C33" s="27">
        <f>C32*(1+B33)</f>
        <v>122.64237875465864</v>
      </c>
      <c r="D33" s="26">
        <f ca="1">K32*B33</f>
        <v>-0.32960701474605053</v>
      </c>
      <c r="E33" s="25">
        <f ca="1">NORMINV(RAND(),0,1)</f>
        <v>-0.25625924410404666</v>
      </c>
      <c r="F33" s="25">
        <f ca="1">E33*SQRT(dt)</f>
        <v>-3.5536763247260891E-2</v>
      </c>
      <c r="G33" s="25">
        <f ca="1">Sigma*F33</f>
        <v>-3.659756438373143E-3</v>
      </c>
      <c r="H33" s="23">
        <f ca="1">G33*K32</f>
        <v>-0.49467672891843656</v>
      </c>
      <c r="I33" s="24">
        <f ca="1">I32+H33</f>
        <v>11.877131796528971</v>
      </c>
      <c r="J33" s="23">
        <f ca="1">D33+H33</f>
        <v>-0.82428374366448709</v>
      </c>
      <c r="K33" s="22">
        <f ca="1">K32+J33</f>
        <v>134.34228737884803</v>
      </c>
    </row>
    <row r="34" spans="1:11" ht="15">
      <c r="A34" s="21">
        <v>23</v>
      </c>
      <c r="B34" s="28">
        <f>Mu*dt</f>
        <v>-2.4385246441392728E-3</v>
      </c>
      <c r="C34" s="27">
        <f>C33*(1+B34)</f>
        <v>122.34331229164954</v>
      </c>
      <c r="D34" s="26">
        <f ca="1">K33*B34</f>
        <v>-0.32759697852336128</v>
      </c>
      <c r="E34" s="25">
        <f ca="1">NORMINV(RAND(),0,1)</f>
        <v>-0.45401105199537145</v>
      </c>
      <c r="F34" s="25">
        <f ca="1">E34*SQRT(dt)</f>
        <v>-6.2960004907563816E-2</v>
      </c>
      <c r="G34" s="25">
        <f ca="1">Sigma*F34</f>
        <v>-6.483941199631387E-3</v>
      </c>
      <c r="H34" s="23">
        <f ca="1">G34*K33</f>
        <v>-0.87106749198843236</v>
      </c>
      <c r="I34" s="24">
        <f ca="1">I33+H34</f>
        <v>11.006064304540539</v>
      </c>
      <c r="J34" s="23">
        <f ca="1">D34+H34</f>
        <v>-1.1986644705117937</v>
      </c>
      <c r="K34" s="22">
        <f ca="1">K33+J34</f>
        <v>133.14362290833623</v>
      </c>
    </row>
    <row r="35" spans="1:11" ht="15">
      <c r="A35" s="21">
        <v>24</v>
      </c>
      <c r="B35" s="28">
        <f>Mu*dt</f>
        <v>-2.4385246441392728E-3</v>
      </c>
      <c r="C35" s="27">
        <f>C34*(1+B35)</f>
        <v>122.04497510958072</v>
      </c>
      <c r="D35" s="26">
        <f ca="1">K34*B35</f>
        <v>-0.32467400567196414</v>
      </c>
      <c r="E35" s="25">
        <f ca="1">NORMINV(RAND(),0,1)</f>
        <v>2.0539483424857297</v>
      </c>
      <c r="F35" s="25">
        <f ca="1">E35*SQRT(dt)</f>
        <v>0.28483138715332962</v>
      </c>
      <c r="G35" s="25">
        <f ca="1">Sigma*F35</f>
        <v>2.933338345229004E-2</v>
      </c>
      <c r="H35" s="23">
        <f ca="1">G35*K34</f>
        <v>3.9055529449973347</v>
      </c>
      <c r="I35" s="24">
        <f ca="1">I34+H35</f>
        <v>14.911617249537873</v>
      </c>
      <c r="J35" s="23">
        <f ca="1">D35+H35</f>
        <v>3.5808789393253706</v>
      </c>
      <c r="K35" s="22">
        <f ca="1">K34+J35</f>
        <v>136.7245018476616</v>
      </c>
    </row>
    <row r="36" spans="1:11" ht="15">
      <c r="A36" s="21">
        <v>25</v>
      </c>
      <c r="B36" s="28">
        <f>Mu*dt</f>
        <v>-2.4385246441392728E-3</v>
      </c>
      <c r="C36" s="27">
        <f>C35*(1+B36)</f>
        <v>121.74736543008264</v>
      </c>
      <c r="D36" s="26">
        <f ca="1">K35*B36</f>
        <v>-0.33340606721318833</v>
      </c>
      <c r="E36" s="25">
        <f ca="1">NORMINV(RAND(),0,1)</f>
        <v>-1.3548277271811981</v>
      </c>
      <c r="F36" s="25">
        <f ca="1">E36*SQRT(dt)</f>
        <v>-0.18788080152969797</v>
      </c>
      <c r="G36" s="25">
        <f ca="1">Sigma*F36</f>
        <v>-1.9348919547365295E-2</v>
      </c>
      <c r="H36" s="23">
        <f ca="1">G36*K35</f>
        <v>-2.6454713864040018</v>
      </c>
      <c r="I36" s="24">
        <f ca="1">I35+H36</f>
        <v>12.266145863133872</v>
      </c>
      <c r="J36" s="23">
        <f ca="1">D36+H36</f>
        <v>-2.9788774536171903</v>
      </c>
      <c r="K36" s="22">
        <f ca="1">K35+J36</f>
        <v>133.7456243940444</v>
      </c>
    </row>
    <row r="37" spans="1:11" ht="15">
      <c r="A37" s="21">
        <v>26</v>
      </c>
      <c r="B37" s="28">
        <f>Mu*dt</f>
        <v>-2.4385246441392728E-3</v>
      </c>
      <c r="C37" s="27">
        <f>C36*(1+B37)</f>
        <v>121.45048147912235</v>
      </c>
      <c r="D37" s="26">
        <f ca="1">K36*B37</f>
        <v>-0.32614200113067199</v>
      </c>
      <c r="E37" s="25">
        <f ca="1">NORMINV(RAND(),0,1)</f>
        <v>-0.32595989312551887</v>
      </c>
      <c r="F37" s="25">
        <f ca="1">E37*SQRT(dt)</f>
        <v>-4.5202504169570008E-2</v>
      </c>
      <c r="G37" s="25">
        <f ca="1">Sigma*F37</f>
        <v>-4.6551835493324999E-3</v>
      </c>
      <c r="H37" s="23">
        <f ca="1">G37*K36</f>
        <v>-0.62261043047435893</v>
      </c>
      <c r="I37" s="24">
        <f ca="1">I36+H37</f>
        <v>11.643535432659514</v>
      </c>
      <c r="J37" s="23">
        <f ca="1">D37+H37</f>
        <v>-0.94875243160503087</v>
      </c>
      <c r="K37" s="22">
        <f ca="1">K36+J37</f>
        <v>132.79687196243935</v>
      </c>
    </row>
    <row r="38" spans="1:11" ht="15">
      <c r="A38" s="21">
        <v>27</v>
      </c>
      <c r="B38" s="28">
        <f>Mu*dt</f>
        <v>-2.4385246441392728E-3</v>
      </c>
      <c r="C38" s="27">
        <f>C37*(1+B38)</f>
        <v>121.15432148699293</v>
      </c>
      <c r="D38" s="26">
        <f ca="1">K37*B38</f>
        <v>-0.323828444945016</v>
      </c>
      <c r="E38" s="25">
        <f ca="1">NORMINV(RAND(),0,1)</f>
        <v>-0.76030484017968414</v>
      </c>
      <c r="F38" s="25">
        <f ca="1">E38*SQRT(dt)</f>
        <v>-0.10543531100966556</v>
      </c>
      <c r="G38" s="25">
        <f ca="1">Sigma*F38</f>
        <v>-1.0858264035322357E-2</v>
      </c>
      <c r="H38" s="23">
        <f ca="1">G38*K37</f>
        <v>-1.4419434988330631</v>
      </c>
      <c r="I38" s="24">
        <f ca="1">I37+H38</f>
        <v>10.20159193382645</v>
      </c>
      <c r="J38" s="23">
        <f ca="1">D38+H38</f>
        <v>-1.765771943778079</v>
      </c>
      <c r="K38" s="22">
        <f ca="1">K37+J38</f>
        <v>131.03110001866128</v>
      </c>
    </row>
    <row r="39" spans="1:11" ht="15">
      <c r="A39" s="21">
        <v>28</v>
      </c>
      <c r="B39" s="28">
        <f>Mu*dt</f>
        <v>-2.4385246441392728E-3</v>
      </c>
      <c r="C39" s="27">
        <f>C38*(1+B39)</f>
        <v>120.85888368830292</v>
      </c>
      <c r="D39" s="26">
        <f ca="1">K38*B39</f>
        <v>-0.31952256654418343</v>
      </c>
      <c r="E39" s="25">
        <f ca="1">NORMINV(RAND(),0,1)</f>
        <v>-0.28843623272399621</v>
      </c>
      <c r="F39" s="25">
        <f ca="1">E39*SQRT(dt)</f>
        <v>-3.999890872261664E-2</v>
      </c>
      <c r="G39" s="25">
        <f ca="1">Sigma*F39</f>
        <v>-4.1192908511941953E-3</v>
      </c>
      <c r="H39" s="23">
        <f ca="1">G39*K38</f>
        <v>-0.53975521152878292</v>
      </c>
      <c r="I39" s="24">
        <f ca="1">I38+H39</f>
        <v>9.6618367222976662</v>
      </c>
      <c r="J39" s="23">
        <f ca="1">D39+H39</f>
        <v>-0.85927777807296635</v>
      </c>
      <c r="K39" s="22">
        <f ca="1">K38+J39</f>
        <v>130.17182224058831</v>
      </c>
    </row>
    <row r="40" spans="1:11" ht="15">
      <c r="A40" s="21">
        <v>29</v>
      </c>
      <c r="B40" s="28">
        <f>Mu*dt</f>
        <v>-2.4385246441392728E-3</v>
      </c>
      <c r="C40" s="27">
        <f>C39*(1+B40)</f>
        <v>120.56416632196583</v>
      </c>
      <c r="D40" s="26">
        <f ca="1">K39*B40</f>
        <v>-0.31742719650619128</v>
      </c>
      <c r="E40" s="25">
        <f ca="1">NORMINV(RAND(),0,1)</f>
        <v>0.77872677059370243</v>
      </c>
      <c r="F40" s="25">
        <f ca="1">E40*SQRT(dt)</f>
        <v>0.10798997311354143</v>
      </c>
      <c r="G40" s="25">
        <f ca="1">Sigma*F40</f>
        <v>1.1121356118793077E-2</v>
      </c>
      <c r="H40" s="23">
        <f ca="1">G40*K39</f>
        <v>1.4476871917698115</v>
      </c>
      <c r="I40" s="24">
        <f ca="1">I39+H40</f>
        <v>11.109523914067477</v>
      </c>
      <c r="J40" s="23">
        <f ca="1">D40+H40</f>
        <v>1.1302599952636203</v>
      </c>
      <c r="K40" s="22">
        <f ca="1">K39+J40</f>
        <v>131.30208223585194</v>
      </c>
    </row>
    <row r="41" spans="1:11" ht="15">
      <c r="A41" s="21">
        <v>30</v>
      </c>
      <c r="B41" s="28">
        <f>Mu*dt</f>
        <v>-2.4385246441392728E-3</v>
      </c>
      <c r="C41" s="27">
        <f>C40*(1+B41)</f>
        <v>120.27016763118961</v>
      </c>
      <c r="D41" s="26">
        <f ca="1">K40*B41</f>
        <v>-0.32018336335892639</v>
      </c>
      <c r="E41" s="25">
        <f ca="1">NORMINV(RAND(),0,1)</f>
        <v>1.5716388693224241</v>
      </c>
      <c r="F41" s="25">
        <f ca="1">E41*SQRT(dt)</f>
        <v>0.21794709730208647</v>
      </c>
      <c r="G41" s="25">
        <f ca="1">Sigma*F41</f>
        <v>2.2445299450211717E-2</v>
      </c>
      <c r="H41" s="23">
        <f ca="1">G41*K40</f>
        <v>2.9471145542200214</v>
      </c>
      <c r="I41" s="24">
        <f ca="1">I40+H41</f>
        <v>14.056638468287499</v>
      </c>
      <c r="J41" s="23">
        <f ca="1">D41+H41</f>
        <v>2.6269311908610948</v>
      </c>
      <c r="K41" s="22">
        <f ca="1">K40+J41</f>
        <v>133.92901342671303</v>
      </c>
    </row>
    <row r="42" spans="1:11" ht="15">
      <c r="A42" s="21">
        <v>31</v>
      </c>
      <c r="B42" s="28">
        <f>Mu*dt</f>
        <v>-2.4385246441392728E-3</v>
      </c>
      <c r="C42" s="27">
        <f>C41*(1+B42)</f>
        <v>119.97688586346619</v>
      </c>
      <c r="D42" s="26">
        <f ca="1">K41*B42</f>
        <v>-0.3265891998062993</v>
      </c>
      <c r="E42" s="25">
        <f ca="1">NORMINV(RAND(),0,1)</f>
        <v>0.31688704885864621</v>
      </c>
      <c r="F42" s="25">
        <f ca="1">E42*SQRT(dt)</f>
        <v>4.394432704578121E-2</v>
      </c>
      <c r="G42" s="25">
        <f ca="1">Sigma*F42</f>
        <v>4.5256100764373627E-3</v>
      </c>
      <c r="H42" s="23">
        <f ca="1">G42*K41</f>
        <v>0.60611049269124728</v>
      </c>
      <c r="I42" s="24">
        <f ca="1">I41+H42</f>
        <v>14.662748960978746</v>
      </c>
      <c r="J42" s="23">
        <f ca="1">D42+H42</f>
        <v>0.27952129288494798</v>
      </c>
      <c r="K42" s="22">
        <f ca="1">K41+J42</f>
        <v>134.20853471959796</v>
      </c>
    </row>
    <row r="43" spans="1:11" ht="15">
      <c r="A43" s="21">
        <v>32</v>
      </c>
      <c r="B43" s="28">
        <f>Mu*dt</f>
        <v>-2.4385246441392728E-3</v>
      </c>
      <c r="C43" s="27">
        <f>C42*(1+B43)</f>
        <v>119.68431927056105</v>
      </c>
      <c r="D43" s="26">
        <f ca="1">K42*B43</f>
        <v>-0.32727081936756086</v>
      </c>
      <c r="E43" s="25">
        <f ca="1">NORMINV(RAND(),0,1)</f>
        <v>1.0654098668183618</v>
      </c>
      <c r="F43" s="25">
        <f ca="1">E43*SQRT(dt)</f>
        <v>0.14774576554611013</v>
      </c>
      <c r="G43" s="25">
        <f ca="1">Sigma*F43</f>
        <v>1.5215609619185638E-2</v>
      </c>
      <c r="H43" s="23">
        <f ca="1">G43*K42</f>
        <v>2.0420646718563247</v>
      </c>
      <c r="I43" s="24">
        <f ca="1">I42+H43</f>
        <v>16.704813632835069</v>
      </c>
      <c r="J43" s="23">
        <f ca="1">D43+H43</f>
        <v>1.7147938524887638</v>
      </c>
      <c r="K43" s="22">
        <f ca="1">K42+J43</f>
        <v>135.92332857208672</v>
      </c>
    </row>
    <row r="44" spans="1:11" ht="15">
      <c r="A44" s="21">
        <v>33</v>
      </c>
      <c r="B44" s="28">
        <f>Mu*dt</f>
        <v>-2.4385246441392728E-3</v>
      </c>
      <c r="C44" s="27">
        <f>C43*(1+B44)</f>
        <v>119.39246610850275</v>
      </c>
      <c r="D44" s="26">
        <f ca="1">K43*B44</f>
        <v>-0.33145238643647323</v>
      </c>
      <c r="E44" s="25">
        <f ca="1">NORMINV(RAND(),0,1)</f>
        <v>1.0126549225289796</v>
      </c>
      <c r="F44" s="25">
        <f ca="1">E44*SQRT(dt)</f>
        <v>0.1404299710588173</v>
      </c>
      <c r="G44" s="25">
        <f ca="1">Sigma*F44</f>
        <v>1.4462191931975524E-2</v>
      </c>
      <c r="H44" s="23">
        <f ca="1">G44*K43</f>
        <v>1.9657492658424907</v>
      </c>
      <c r="I44" s="24">
        <f ca="1">I43+H44</f>
        <v>18.670562898677559</v>
      </c>
      <c r="J44" s="23">
        <f ca="1">D44+H44</f>
        <v>1.6342968794060173</v>
      </c>
      <c r="K44" s="22">
        <f ca="1">K43+J44</f>
        <v>137.55762545149273</v>
      </c>
    </row>
    <row r="45" spans="1:11" ht="15">
      <c r="A45" s="21">
        <v>34</v>
      </c>
      <c r="B45" s="28">
        <f>Mu*dt</f>
        <v>-2.4385246441392728E-3</v>
      </c>
      <c r="C45" s="27">
        <f>C44*(1+B45)</f>
        <v>119.1013246375726</v>
      </c>
      <c r="D45" s="26">
        <f ca="1">K44*B45</f>
        <v>-0.33543765965274469</v>
      </c>
      <c r="E45" s="25">
        <f ca="1">NORMINV(RAND(),0,1)</f>
        <v>-0.8101373654061137</v>
      </c>
      <c r="F45" s="25">
        <f ca="1">E45*SQRT(dt)</f>
        <v>-0.11234583889004036</v>
      </c>
      <c r="G45" s="25">
        <f ca="1">Sigma*F45</f>
        <v>-1.1569945308228047E-2</v>
      </c>
      <c r="H45" s="23">
        <f ca="1">G45*K44</f>
        <v>-1.5915342032034894</v>
      </c>
      <c r="I45" s="24">
        <f ca="1">I44+H45</f>
        <v>17.079028695474069</v>
      </c>
      <c r="J45" s="23">
        <f ca="1">D45+H45</f>
        <v>-1.926971862856234</v>
      </c>
      <c r="K45" s="22">
        <f ca="1">K44+J45</f>
        <v>135.63065358863651</v>
      </c>
    </row>
    <row r="46" spans="1:11" ht="15">
      <c r="A46" s="21">
        <v>35</v>
      </c>
      <c r="B46" s="28">
        <f>Mu*dt</f>
        <v>-2.4385246441392728E-3</v>
      </c>
      <c r="C46" s="27">
        <f>C45*(1+B46)</f>
        <v>118.81089312229425</v>
      </c>
      <c r="D46" s="26">
        <f ca="1">K45*B46</f>
        <v>-0.33073869127660682</v>
      </c>
      <c r="E46" s="25">
        <f ca="1">NORMINV(RAND(),0,1)</f>
        <v>-0.74842696923462848</v>
      </c>
      <c r="F46" s="25">
        <f ca="1">E46*SQRT(dt)</f>
        <v>-0.10378814667367549</v>
      </c>
      <c r="G46" s="25">
        <f ca="1">Sigma*F46</f>
        <v>-1.0688630682904902E-2</v>
      </c>
      <c r="H46" s="23">
        <f ca="1">G46*K45</f>
        <v>-1.449705965489946</v>
      </c>
      <c r="I46" s="24">
        <f ca="1">I45+H46</f>
        <v>15.629322729984123</v>
      </c>
      <c r="J46" s="23">
        <f ca="1">D46+H46</f>
        <v>-1.7804446567665528</v>
      </c>
      <c r="K46" s="22">
        <f ca="1">K45+J46</f>
        <v>133.85020893186996</v>
      </c>
    </row>
    <row r="47" spans="1:11" ht="15">
      <c r="A47" s="21">
        <v>36</v>
      </c>
      <c r="B47" s="28">
        <f>Mu*dt</f>
        <v>-2.4385246441392728E-3</v>
      </c>
      <c r="C47" s="27">
        <f>C46*(1+B47)</f>
        <v>118.52116983142334</v>
      </c>
      <c r="D47" s="26">
        <f ca="1">K46*B47</f>
        <v>-0.3263970331035555</v>
      </c>
      <c r="E47" s="25">
        <f ca="1">NORMINV(RAND(),0,1)</f>
        <v>-0.58738212148467805</v>
      </c>
      <c r="F47" s="25">
        <f ca="1">E47*SQRT(dt)</f>
        <v>-8.1455244511685579E-2</v>
      </c>
      <c r="G47" s="25">
        <f ca="1">Sigma*F47</f>
        <v>-8.3886749467504598E-3</v>
      </c>
      <c r="H47" s="23">
        <f ca="1">G47*K46</f>
        <v>-1.1228258942840921</v>
      </c>
      <c r="I47" s="24">
        <f ca="1">I46+H47</f>
        <v>14.50649683570003</v>
      </c>
      <c r="J47" s="23">
        <f ca="1">D47+H47</f>
        <v>-1.4492229273876476</v>
      </c>
      <c r="K47" s="22">
        <f ca="1">K46+J47</f>
        <v>132.40098600448232</v>
      </c>
    </row>
    <row r="48" spans="1:11" ht="15">
      <c r="A48" s="21">
        <v>37</v>
      </c>
      <c r="B48" s="28">
        <f>Mu*dt</f>
        <v>-2.4385246441392728E-3</v>
      </c>
      <c r="C48" s="27">
        <f>C47*(1+B48)</f>
        <v>118.23215303793719</v>
      </c>
      <c r="D48" s="26">
        <f ca="1">K47*B48</f>
        <v>-0.32286306728026909</v>
      </c>
      <c r="E48" s="25">
        <f ca="1">NORMINV(RAND(),0,1)</f>
        <v>1.0816222125622448</v>
      </c>
      <c r="F48" s="25">
        <f ca="1">E48*SQRT(dt)</f>
        <v>0.14999401338746093</v>
      </c>
      <c r="G48" s="25">
        <f ca="1">Sigma*F48</f>
        <v>1.5447145605037594E-2</v>
      </c>
      <c r="H48" s="23">
        <f ca="1">G48*K47</f>
        <v>2.0452173090617829</v>
      </c>
      <c r="I48" s="24">
        <f ca="1">I47+H48</f>
        <v>16.551714144761814</v>
      </c>
      <c r="J48" s="23">
        <f ca="1">D48+H48</f>
        <v>1.7223542417815139</v>
      </c>
      <c r="K48" s="22">
        <f ca="1">K47+J48</f>
        <v>134.12334024626384</v>
      </c>
    </row>
    <row r="49" spans="1:11" ht="15">
      <c r="A49" s="21">
        <v>38</v>
      </c>
      <c r="B49" s="28">
        <f>Mu*dt</f>
        <v>-2.4385246441392728E-3</v>
      </c>
      <c r="C49" s="27">
        <f>C48*(1+B49)</f>
        <v>117.94384101902453</v>
      </c>
      <c r="D49" s="26">
        <f ca="1">K48*B49</f>
        <v>-0.32706307054479111</v>
      </c>
      <c r="E49" s="25">
        <f ca="1">NORMINV(RAND(),0,1)</f>
        <v>1.0466161918676609</v>
      </c>
      <c r="F49" s="25">
        <f ca="1">E49*SQRT(dt)</f>
        <v>0.14513955175037338</v>
      </c>
      <c r="G49" s="25">
        <f ca="1">Sigma*F49</f>
        <v>1.4947208480557469E-2</v>
      </c>
      <c r="H49" s="23">
        <f ca="1">G49*K48</f>
        <v>2.0047695287696499</v>
      </c>
      <c r="I49" s="24">
        <f ca="1">I48+H49</f>
        <v>18.556483673531464</v>
      </c>
      <c r="J49" s="23">
        <f ca="1">D49+H49</f>
        <v>1.6777064582248586</v>
      </c>
      <c r="K49" s="22">
        <f ca="1">K48+J49</f>
        <v>135.8010467044887</v>
      </c>
    </row>
    <row r="50" spans="1:11" ht="15">
      <c r="A50" s="21">
        <v>39</v>
      </c>
      <c r="B50" s="28">
        <f>Mu*dt</f>
        <v>-2.4385246441392728E-3</v>
      </c>
      <c r="C50" s="27">
        <f>C49*(1+B50)</f>
        <v>117.6562320560752</v>
      </c>
      <c r="D50" s="26">
        <f ca="1">K49*B50</f>
        <v>-0.33115419908880406</v>
      </c>
      <c r="E50" s="25">
        <f ca="1">NORMINV(RAND(),0,1)</f>
        <v>1.4452044098041334</v>
      </c>
      <c r="F50" s="25">
        <f ca="1">E50*SQRT(dt)</f>
        <v>0.20041379242597981</v>
      </c>
      <c r="G50" s="25">
        <f ca="1">Sigma*F50</f>
        <v>2.0639630628889436E-2</v>
      </c>
      <c r="H50" s="23">
        <f ca="1">G50*K49</f>
        <v>2.8028834429972096</v>
      </c>
      <c r="I50" s="24">
        <f ca="1">I49+H50</f>
        <v>21.359367116528674</v>
      </c>
      <c r="J50" s="23">
        <f ca="1">D50+H50</f>
        <v>2.4717292439084053</v>
      </c>
      <c r="K50" s="22">
        <f ca="1">K49+J50</f>
        <v>138.27277594839711</v>
      </c>
    </row>
    <row r="51" spans="1:11" ht="15">
      <c r="A51" s="21">
        <v>40</v>
      </c>
      <c r="B51" s="28">
        <f>Mu*dt</f>
        <v>-2.4385246441392728E-3</v>
      </c>
      <c r="C51" s="27">
        <f>C50*(1+B51)</f>
        <v>117.36932443466989</v>
      </c>
      <c r="D51" s="26">
        <f ca="1">K50*B51</f>
        <v>-0.33718157176371449</v>
      </c>
      <c r="E51" s="25">
        <f ca="1">NORMINV(RAND(),0,1)</f>
        <v>1.9850095838265698E-2</v>
      </c>
      <c r="F51" s="25">
        <f ca="1">E51*SQRT(dt)</f>
        <v>2.7527130141438969E-3</v>
      </c>
      <c r="G51" s="25">
        <f ca="1">Sigma*F51</f>
        <v>2.834883724893874E-4</v>
      </c>
      <c r="H51" s="23">
        <f ca="1">G51*K50</f>
        <v>3.9198724213200808E-2</v>
      </c>
      <c r="I51" s="24">
        <f ca="1">I50+H51</f>
        <v>21.398565840741874</v>
      </c>
      <c r="J51" s="23">
        <f ca="1">D51+H51</f>
        <v>-0.29798284755051369</v>
      </c>
      <c r="K51" s="22">
        <f ca="1">K50+J51</f>
        <v>137.9747931008466</v>
      </c>
    </row>
  </sheetData>
  <sheetProtection sheet="1" objects="1" scenarios="1"/>
  <pageMargins left="0.75" right="0.75" top="1" bottom="1" header="0.5" footer="0.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C79F-B1D9-4098-83C6-C58FEED86975}">
  <dimension ref="A1:K51"/>
  <sheetViews>
    <sheetView showGridLines="0" topLeftCell="A19" zoomScale="97" workbookViewId="0">
      <selection activeCell="P15" sqref="P15"/>
    </sheetView>
  </sheetViews>
  <sheetFormatPr defaultRowHeight="12.75"/>
  <cols>
    <col min="1" max="1" width="12" style="21" bestFit="1" customWidth="1"/>
    <col min="2" max="2" width="10.28515625" style="21" customWidth="1"/>
    <col min="3" max="4" width="11" style="21" customWidth="1"/>
    <col min="5" max="5" width="8.140625" style="21" bestFit="1" customWidth="1"/>
    <col min="6" max="8" width="8.140625" style="21" customWidth="1"/>
    <col min="9" max="9" width="11" style="21" customWidth="1"/>
    <col min="10" max="10" width="9.85546875" style="21" bestFit="1" customWidth="1"/>
    <col min="11" max="11" width="10.7109375" style="21" customWidth="1"/>
    <col min="12" max="16384" width="9.140625" style="21"/>
  </cols>
  <sheetData>
    <row r="1" spans="1:11">
      <c r="A1" s="29" t="s">
        <v>100</v>
      </c>
    </row>
    <row r="3" spans="1:11" ht="15">
      <c r="A3" s="21" t="s">
        <v>99</v>
      </c>
      <c r="B3" s="42">
        <f>Question_1!$B$2</f>
        <v>729.77002000000005</v>
      </c>
      <c r="C3" s="42"/>
      <c r="D3" s="42"/>
    </row>
    <row r="4" spans="1:11" ht="15">
      <c r="A4" s="21" t="s">
        <v>98</v>
      </c>
      <c r="B4" s="41">
        <f>Question_1!$M$2</f>
        <v>0.53212056512536543</v>
      </c>
      <c r="C4" s="41"/>
      <c r="D4" s="41"/>
    </row>
    <row r="5" spans="1:11" ht="15">
      <c r="A5" s="21" t="s">
        <v>97</v>
      </c>
      <c r="B5" s="41">
        <f>Question_1!$M$3</f>
        <v>0.20617098424876923</v>
      </c>
      <c r="C5" s="41"/>
      <c r="D5" s="41"/>
    </row>
    <row r="6" spans="1:11" ht="15">
      <c r="A6" s="21" t="s">
        <v>96</v>
      </c>
      <c r="B6" s="40">
        <v>52</v>
      </c>
      <c r="C6" s="40"/>
      <c r="D6" s="40"/>
    </row>
    <row r="7" spans="1:11">
      <c r="A7" s="21" t="s">
        <v>95</v>
      </c>
      <c r="B7" s="21">
        <f>1/B6</f>
        <v>1.9230769230769232E-2</v>
      </c>
    </row>
    <row r="8" spans="1:11">
      <c r="B8" s="21" t="s">
        <v>94</v>
      </c>
      <c r="E8" s="38" t="s">
        <v>93</v>
      </c>
    </row>
    <row r="9" spans="1:11" ht="38.25">
      <c r="B9" s="39" t="s">
        <v>92</v>
      </c>
      <c r="C9" s="39" t="s">
        <v>91</v>
      </c>
      <c r="D9" s="39"/>
      <c r="E9" s="38"/>
      <c r="I9" s="37" t="s">
        <v>90</v>
      </c>
    </row>
    <row r="10" spans="1:11">
      <c r="A10" s="36" t="s">
        <v>89</v>
      </c>
      <c r="B10" s="33" t="s">
        <v>88</v>
      </c>
      <c r="C10" s="35" t="s">
        <v>87</v>
      </c>
      <c r="D10" s="33" t="s">
        <v>86</v>
      </c>
      <c r="E10" s="34" t="s">
        <v>85</v>
      </c>
      <c r="F10" s="32" t="s">
        <v>84</v>
      </c>
      <c r="G10" s="32" t="s">
        <v>83</v>
      </c>
      <c r="H10" s="33" t="s">
        <v>82</v>
      </c>
      <c r="I10" s="33" t="s">
        <v>81</v>
      </c>
      <c r="J10" s="32" t="s">
        <v>80</v>
      </c>
      <c r="K10" s="31" t="s">
        <v>79</v>
      </c>
    </row>
    <row r="11" spans="1:11">
      <c r="A11" s="21">
        <v>0</v>
      </c>
      <c r="B11" s="29"/>
      <c r="C11" s="30">
        <f>Szero</f>
        <v>729.77002000000005</v>
      </c>
      <c r="D11" s="30"/>
      <c r="I11" s="21">
        <v>0</v>
      </c>
      <c r="J11" s="29"/>
      <c r="K11" s="22">
        <f>B3</f>
        <v>729.77002000000005</v>
      </c>
    </row>
    <row r="12" spans="1:11" ht="15">
      <c r="A12" s="21">
        <v>1</v>
      </c>
      <c r="B12" s="28">
        <f>Mu*dt</f>
        <v>1.0233087790872413E-2</v>
      </c>
      <c r="C12" s="27">
        <f>C11*(1+B12)</f>
        <v>737.23782068180685</v>
      </c>
      <c r="D12" s="26">
        <f>K11*B12</f>
        <v>7.4678006818067173</v>
      </c>
      <c r="E12" s="25">
        <f ca="1">NORMINV(RAND(),0,1)</f>
        <v>4.3222916597835708</v>
      </c>
      <c r="F12" s="25">
        <f ca="1">E12*SQRT(dt)</f>
        <v>0.5993940079561545</v>
      </c>
      <c r="G12" s="25">
        <f ca="1">Sigma*F12</f>
        <v>0.12357765257313498</v>
      </c>
      <c r="H12" s="23">
        <f ca="1">G12*K11</f>
        <v>90.183265989849772</v>
      </c>
      <c r="I12" s="24">
        <f ca="1">I11+H12</f>
        <v>90.183265989849772</v>
      </c>
      <c r="J12" s="23">
        <f ca="1">D12+H12</f>
        <v>97.651066671656494</v>
      </c>
      <c r="K12" s="22">
        <f ca="1">K11+J12</f>
        <v>827.42108667165655</v>
      </c>
    </row>
    <row r="13" spans="1:11" ht="15">
      <c r="A13" s="21">
        <v>2</v>
      </c>
      <c r="B13" s="28">
        <f>Mu*dt</f>
        <v>1.0233087790872413E-2</v>
      </c>
      <c r="C13" s="27">
        <f>C12*(1+B13)</f>
        <v>744.7820400235953</v>
      </c>
      <c r="D13" s="26">
        <f ca="1">K12*B13</f>
        <v>8.4670726199301125</v>
      </c>
      <c r="E13" s="25">
        <f ca="1">NORMINV(RAND(),0,1)</f>
        <v>-0.53032008591339541</v>
      </c>
      <c r="F13" s="25">
        <f ca="1">E13*SQRT(dt)</f>
        <v>-7.3542163929585208E-2</v>
      </c>
      <c r="G13" s="25">
        <f ca="1">Sigma*F13</f>
        <v>-1.5162260321146917E-2</v>
      </c>
      <c r="H13" s="23">
        <f ca="1">G13*K12</f>
        <v>-12.545573911321922</v>
      </c>
      <c r="I13" s="24">
        <f ca="1">I12+H13</f>
        <v>77.637692078527849</v>
      </c>
      <c r="J13" s="23">
        <f ca="1">D13+H13</f>
        <v>-4.0785012913918095</v>
      </c>
      <c r="K13" s="22">
        <f ca="1">K12+J13</f>
        <v>823.34258538026472</v>
      </c>
    </row>
    <row r="14" spans="1:11" ht="15">
      <c r="A14" s="21">
        <v>3</v>
      </c>
      <c r="B14" s="28">
        <f>Mu*dt</f>
        <v>1.0233087790872413E-2</v>
      </c>
      <c r="C14" s="27">
        <f>C13*(1+B14)</f>
        <v>752.40346002422189</v>
      </c>
      <c r="D14" s="26">
        <f ca="1">K13*B14</f>
        <v>8.4253369581601145</v>
      </c>
      <c r="E14" s="25">
        <f ca="1">NORMINV(RAND(),0,1)</f>
        <v>-0.23640232735641967</v>
      </c>
      <c r="F14" s="25">
        <f ca="1">E14*SQRT(dt)</f>
        <v>-3.278310434317671E-2</v>
      </c>
      <c r="G14" s="25">
        <f ca="1">Sigma*F14</f>
        <v>-6.7589248891628435E-3</v>
      </c>
      <c r="H14" s="23">
        <f ca="1">G14*K13</f>
        <v>-5.5649106926343546</v>
      </c>
      <c r="I14" s="24">
        <f ca="1">I13+H14</f>
        <v>72.072781385893492</v>
      </c>
      <c r="J14" s="23">
        <f ca="1">D14+H14</f>
        <v>2.86042626552576</v>
      </c>
      <c r="K14" s="22">
        <f ca="1">K13+J14</f>
        <v>826.20301164579053</v>
      </c>
    </row>
    <row r="15" spans="1:11" ht="15">
      <c r="A15" s="21">
        <v>4</v>
      </c>
      <c r="B15" s="28">
        <f>Mu*dt</f>
        <v>1.0233087790872413E-2</v>
      </c>
      <c r="C15" s="27">
        <f>C14*(1+B15)</f>
        <v>760.10287068480602</v>
      </c>
      <c r="D15" s="26">
        <f ca="1">K14*B15</f>
        <v>8.4546079512545571</v>
      </c>
      <c r="E15" s="25">
        <f ca="1">NORMINV(RAND(),0,1)</f>
        <v>-0.20423241192310676</v>
      </c>
      <c r="F15" s="25">
        <f ca="1">E15*SQRT(dt)</f>
        <v>-2.8321939742324786E-2</v>
      </c>
      <c r="G15" s="25">
        <f ca="1">Sigma*F15</f>
        <v>-5.8391621925094348E-3</v>
      </c>
      <c r="H15" s="23">
        <f ca="1">G15*K14</f>
        <v>-4.8243333889395323</v>
      </c>
      <c r="I15" s="24">
        <f ca="1">I14+H15</f>
        <v>67.248447996953956</v>
      </c>
      <c r="J15" s="23">
        <f ca="1">D15+H15</f>
        <v>3.6302745623150248</v>
      </c>
      <c r="K15" s="22">
        <f ca="1">K14+J15</f>
        <v>829.83328620810551</v>
      </c>
    </row>
    <row r="16" spans="1:11" ht="15">
      <c r="A16" s="21">
        <v>5</v>
      </c>
      <c r="B16" s="28">
        <f>Mu*dt</f>
        <v>1.0233087790872413E-2</v>
      </c>
      <c r="C16" s="27">
        <f>C15*(1+B16)</f>
        <v>767.88107009061787</v>
      </c>
      <c r="D16" s="26">
        <f ca="1">K15*B16</f>
        <v>8.4917568695556973</v>
      </c>
      <c r="E16" s="25">
        <f ca="1">NORMINV(RAND(),0,1)</f>
        <v>1.3661201293543286</v>
      </c>
      <c r="F16" s="25">
        <f ca="1">E16*SQRT(dt)</f>
        <v>0.18944677595502038</v>
      </c>
      <c r="G16" s="25">
        <f ca="1">Sigma*F16</f>
        <v>3.9058428261402621E-2</v>
      </c>
      <c r="H16" s="23">
        <f ca="1">G16*K15</f>
        <v>32.41198387828328</v>
      </c>
      <c r="I16" s="24">
        <f ca="1">I15+H16</f>
        <v>99.660431875237236</v>
      </c>
      <c r="J16" s="23">
        <f ca="1">D16+H16</f>
        <v>40.903740747838981</v>
      </c>
      <c r="K16" s="22">
        <f ca="1">K15+J16</f>
        <v>870.73702695594443</v>
      </c>
    </row>
    <row r="17" spans="1:11" ht="15">
      <c r="A17" s="21">
        <v>6</v>
      </c>
      <c r="B17" s="28">
        <f>Mu*dt</f>
        <v>1.0233087790872413E-2</v>
      </c>
      <c r="C17" s="27">
        <f>C16*(1+B17)</f>
        <v>775.73886449380427</v>
      </c>
      <c r="D17" s="26">
        <f ca="1">K16*B17</f>
        <v>8.9103284396034184</v>
      </c>
      <c r="E17" s="25">
        <f ca="1">NORMINV(RAND(),0,1)</f>
        <v>-0.40638690278987372</v>
      </c>
      <c r="F17" s="25">
        <f ca="1">E17*SQRT(dt)</f>
        <v>-5.6355723680226517E-2</v>
      </c>
      <c r="G17" s="25">
        <f ca="1">Sigma*F17</f>
        <v>-1.1618915019203972E-2</v>
      </c>
      <c r="H17" s="23">
        <f ca="1">G17*K16</f>
        <v>-10.117019520275436</v>
      </c>
      <c r="I17" s="24">
        <f ca="1">I16+H17</f>
        <v>89.543412354961802</v>
      </c>
      <c r="J17" s="23">
        <f ca="1">D17+H17</f>
        <v>-1.2066910806720177</v>
      </c>
      <c r="K17" s="22">
        <f ca="1">K16+J17</f>
        <v>869.53033587527239</v>
      </c>
    </row>
    <row r="18" spans="1:11" ht="15">
      <c r="A18" s="21">
        <v>7</v>
      </c>
      <c r="B18" s="28">
        <f>Mu*dt</f>
        <v>1.0233087790872413E-2</v>
      </c>
      <c r="C18" s="27">
        <f>C17*(1+B18)</f>
        <v>783.67706839696109</v>
      </c>
      <c r="D18" s="26">
        <f ca="1">K17*B18</f>
        <v>8.8979802638384378</v>
      </c>
      <c r="E18" s="25">
        <f ca="1">NORMINV(RAND(),0,1)</f>
        <v>-0.43170068162085895</v>
      </c>
      <c r="F18" s="25">
        <f ca="1">E18*SQRT(dt)</f>
        <v>-5.9866113201413912E-2</v>
      </c>
      <c r="G18" s="25">
        <f ca="1">Sigma*F18</f>
        <v>-1.2342655481883744E-2</v>
      </c>
      <c r="H18" s="23">
        <f ca="1">G18*K17</f>
        <v>-10.732313366755143</v>
      </c>
      <c r="I18" s="24">
        <f ca="1">I17+H18</f>
        <v>78.811098988206652</v>
      </c>
      <c r="J18" s="23">
        <f ca="1">D18+H18</f>
        <v>-1.8343331029167054</v>
      </c>
      <c r="K18" s="22">
        <f ca="1">K17+J18</f>
        <v>867.69600277235565</v>
      </c>
    </row>
    <row r="19" spans="1:11" ht="15">
      <c r="A19" s="21">
        <v>8</v>
      </c>
      <c r="B19" s="28">
        <f>Mu*dt</f>
        <v>1.0233087790872413E-2</v>
      </c>
      <c r="C19" s="27">
        <f>C18*(1+B19)</f>
        <v>791.69650463756079</v>
      </c>
      <c r="D19" s="26">
        <f ca="1">K18*B19</f>
        <v>8.8792093721585879</v>
      </c>
      <c r="E19" s="25">
        <f ca="1">NORMINV(RAND(),0,1)</f>
        <v>4.3930165826236512E-3</v>
      </c>
      <c r="F19" s="25">
        <f ca="1">E19*SQRT(dt)</f>
        <v>6.0920179010050626E-4</v>
      </c>
      <c r="G19" s="25">
        <f ca="1">Sigma*F19</f>
        <v>1.2559973267113348E-4</v>
      </c>
      <c r="H19" s="23">
        <f ca="1">G19*K18</f>
        <v>0.10898238598801897</v>
      </c>
      <c r="I19" s="24">
        <f ca="1">I18+H19</f>
        <v>78.920081374194666</v>
      </c>
      <c r="J19" s="23">
        <f ca="1">D19+H19</f>
        <v>8.9881917581466073</v>
      </c>
      <c r="K19" s="22">
        <f ca="1">K18+J19</f>
        <v>876.68419453050228</v>
      </c>
    </row>
    <row r="20" spans="1:11" ht="15">
      <c r="A20" s="21">
        <v>9</v>
      </c>
      <c r="B20" s="28">
        <f>Mu*dt</f>
        <v>1.0233087790872413E-2</v>
      </c>
      <c r="C20" s="27">
        <f>C19*(1+B20)</f>
        <v>799.79800447324385</v>
      </c>
      <c r="D20" s="26">
        <f ca="1">K19*B20</f>
        <v>8.9711863275008987</v>
      </c>
      <c r="E20" s="25">
        <f ca="1">NORMINV(RAND(),0,1)</f>
        <v>0.62253903035178693</v>
      </c>
      <c r="F20" s="25">
        <f ca="1">E20*SQRT(dt)</f>
        <v>8.6330630573500017E-2</v>
      </c>
      <c r="G20" s="25">
        <f ca="1">Sigma*F20</f>
        <v>1.7798871076155388E-2</v>
      </c>
      <c r="H20" s="23">
        <f ca="1">G20*K19</f>
        <v>15.603988952951541</v>
      </c>
      <c r="I20" s="24">
        <f ca="1">I19+H20</f>
        <v>94.524070327146205</v>
      </c>
      <c r="J20" s="23">
        <f ca="1">D20+H20</f>
        <v>24.575175280452441</v>
      </c>
      <c r="K20" s="22">
        <f ca="1">K19+J20</f>
        <v>901.25936981095469</v>
      </c>
    </row>
    <row r="21" spans="1:11" ht="15">
      <c r="A21" s="21">
        <v>10</v>
      </c>
      <c r="B21" s="28">
        <f>Mu*dt</f>
        <v>1.0233087790872413E-2</v>
      </c>
      <c r="C21" s="27">
        <f>C20*(1+B21)</f>
        <v>807.98240766798324</v>
      </c>
      <c r="D21" s="26">
        <f ca="1">K20*B21</f>
        <v>9.2226662536218456</v>
      </c>
      <c r="E21" s="25">
        <f ca="1">NORMINV(RAND(),0,1)</f>
        <v>-0.53951408046005189</v>
      </c>
      <c r="F21" s="25">
        <f ca="1">E21*SQRT(dt)</f>
        <v>-7.4817141574366211E-2</v>
      </c>
      <c r="G21" s="25">
        <f ca="1">Sigma*F21</f>
        <v>-1.5425123717066594E-2</v>
      </c>
      <c r="H21" s="23">
        <f ca="1">G21*K20</f>
        <v>-13.902037280499449</v>
      </c>
      <c r="I21" s="24">
        <f ca="1">I20+H21</f>
        <v>80.622033046646749</v>
      </c>
      <c r="J21" s="23">
        <f ca="1">D21+H21</f>
        <v>-4.6793710268776039</v>
      </c>
      <c r="K21" s="22">
        <f ca="1">K20+J21</f>
        <v>896.57999878407713</v>
      </c>
    </row>
    <row r="22" spans="1:11" ht="15">
      <c r="A22" s="21">
        <v>11</v>
      </c>
      <c r="B22" s="28">
        <f>Mu*dt</f>
        <v>1.0233087790872413E-2</v>
      </c>
      <c r="C22" s="27">
        <f>C21*(1+B22)</f>
        <v>816.25056257913025</v>
      </c>
      <c r="D22" s="26">
        <f ca="1">K21*B22</f>
        <v>9.1747818390977418</v>
      </c>
      <c r="E22" s="25">
        <f ca="1">NORMINV(RAND(),0,1)</f>
        <v>-0.1373619397971709</v>
      </c>
      <c r="F22" s="25">
        <f ca="1">E22*SQRT(dt)</f>
        <v>-1.9048673739842203E-2</v>
      </c>
      <c r="G22" s="25">
        <f ca="1">Sigma*F22</f>
        <v>-3.9272838135769508E-3</v>
      </c>
      <c r="H22" s="23">
        <f ca="1">G22*K21</f>
        <v>-3.5211241168015484</v>
      </c>
      <c r="I22" s="24">
        <f ca="1">I21+H22</f>
        <v>77.100908929845204</v>
      </c>
      <c r="J22" s="23">
        <f ca="1">D22+H22</f>
        <v>5.6536577222961935</v>
      </c>
      <c r="K22" s="22">
        <f ca="1">K21+J22</f>
        <v>902.23365650637334</v>
      </c>
    </row>
    <row r="23" spans="1:11" ht="15">
      <c r="A23" s="21">
        <v>12</v>
      </c>
      <c r="B23" s="28">
        <f>Mu*dt</f>
        <v>1.0233087790872413E-2</v>
      </c>
      <c r="C23" s="27">
        <f>C22*(1+B23)</f>
        <v>824.60332624535158</v>
      </c>
      <c r="D23" s="26">
        <f ca="1">K22*B23</f>
        <v>9.2326362149095438</v>
      </c>
      <c r="E23" s="25">
        <f ca="1">NORMINV(RAND(),0,1)</f>
        <v>-0.43723102621010657</v>
      </c>
      <c r="F23" s="25">
        <f ca="1">E23*SQRT(dt)</f>
        <v>-6.0633034008626102E-2</v>
      </c>
      <c r="G23" s="25">
        <f ca="1">Sigma*F23</f>
        <v>-1.2500772299547542E-2</v>
      </c>
      <c r="H23" s="23">
        <f ca="1">G23*K22</f>
        <v>-11.278617500974363</v>
      </c>
      <c r="I23" s="24">
        <f ca="1">I22+H23</f>
        <v>65.822291428870841</v>
      </c>
      <c r="J23" s="23">
        <f ca="1">D23+H23</f>
        <v>-2.0459812860648192</v>
      </c>
      <c r="K23" s="22">
        <f ca="1">K22+J23</f>
        <v>900.18767522030851</v>
      </c>
    </row>
    <row r="24" spans="1:11" ht="15">
      <c r="A24" s="21">
        <v>13</v>
      </c>
      <c r="B24" s="28">
        <f>Mu*dt</f>
        <v>1.0233087790872413E-2</v>
      </c>
      <c r="C24" s="27">
        <f>C23*(1+B24)</f>
        <v>833.04156447546575</v>
      </c>
      <c r="D24" s="26">
        <f ca="1">K23*B24</f>
        <v>9.21169950879076</v>
      </c>
      <c r="E24" s="25">
        <f ca="1">NORMINV(RAND(),0,1)</f>
        <v>-1.4569477850660373</v>
      </c>
      <c r="F24" s="25">
        <f ca="1">E24*SQRT(dt)</f>
        <v>-0.20204230556651095</v>
      </c>
      <c r="G24" s="25">
        <f ca="1">Sigma*F24</f>
        <v>-4.1655260998538148E-2</v>
      </c>
      <c r="H24" s="23">
        <f ca="1">G24*K23</f>
        <v>-37.49755255896924</v>
      </c>
      <c r="I24" s="24">
        <f ca="1">I23+H24</f>
        <v>28.324738869901601</v>
      </c>
      <c r="J24" s="23">
        <f ca="1">D24+H24</f>
        <v>-28.285853050178481</v>
      </c>
      <c r="K24" s="22">
        <f ca="1">K23+J24</f>
        <v>871.90182217013</v>
      </c>
    </row>
    <row r="25" spans="1:11" ht="15">
      <c r="A25" s="21">
        <v>14</v>
      </c>
      <c r="B25" s="28">
        <f>Mu*dt</f>
        <v>1.0233087790872413E-2</v>
      </c>
      <c r="C25" s="27">
        <f>C24*(1+B25)</f>
        <v>841.56615193818902</v>
      </c>
      <c r="D25" s="26">
        <f ca="1">K24*B25</f>
        <v>8.922247891288567</v>
      </c>
      <c r="E25" s="25">
        <f ca="1">NORMINV(RAND(),0,1)</f>
        <v>-0.49936681071296557</v>
      </c>
      <c r="F25" s="25">
        <f ca="1">E25*SQRT(dt)</f>
        <v>-6.9249716972712219E-2</v>
      </c>
      <c r="G25" s="25">
        <f ca="1">Sigma*F25</f>
        <v>-1.4277282307212778E-2</v>
      </c>
      <c r="H25" s="23">
        <f ca="1">G25*K24</f>
        <v>-12.448388459296179</v>
      </c>
      <c r="I25" s="24">
        <f ca="1">I24+H25</f>
        <v>15.876350410605422</v>
      </c>
      <c r="J25" s="23">
        <f ca="1">D25+H25</f>
        <v>-3.5261405680076123</v>
      </c>
      <c r="K25" s="22">
        <f ca="1">K24+J25</f>
        <v>868.37568160212243</v>
      </c>
    </row>
    <row r="26" spans="1:11" ht="15">
      <c r="A26" s="21">
        <v>15</v>
      </c>
      <c r="B26" s="28">
        <f>Mu*dt</f>
        <v>1.0233087790872413E-2</v>
      </c>
      <c r="C26" s="27">
        <f>C25*(1+B26)</f>
        <v>850.17797225279924</v>
      </c>
      <c r="D26" s="26">
        <f ca="1">K25*B26</f>
        <v>8.886164585293189</v>
      </c>
      <c r="E26" s="25">
        <f ca="1">NORMINV(RAND(),0,1)</f>
        <v>1.2652689153338841</v>
      </c>
      <c r="F26" s="25">
        <f ca="1">E26*SQRT(dt)</f>
        <v>0.17546122890334709</v>
      </c>
      <c r="G26" s="25">
        <f ca="1">Sigma*F26</f>
        <v>3.6175014260501667E-2</v>
      </c>
      <c r="H26" s="23">
        <f ca="1">G26*K25</f>
        <v>31.413502665429633</v>
      </c>
      <c r="I26" s="24">
        <f ca="1">I25+H26</f>
        <v>47.289853076035058</v>
      </c>
      <c r="J26" s="23">
        <f ca="1">D26+H26</f>
        <v>40.29966725072282</v>
      </c>
      <c r="K26" s="22">
        <f ca="1">K25+J26</f>
        <v>908.67534885284522</v>
      </c>
    </row>
    <row r="27" spans="1:11" ht="15">
      <c r="A27" s="21">
        <v>16</v>
      </c>
      <c r="B27" s="28">
        <f>Mu*dt</f>
        <v>1.0233087790872413E-2</v>
      </c>
      <c r="C27" s="27">
        <f>C26*(1+B27)</f>
        <v>858.87791808072814</v>
      </c>
      <c r="D27" s="26">
        <f ca="1">K26*B27</f>
        <v>9.2985546182127816</v>
      </c>
      <c r="E27" s="25">
        <f ca="1">NORMINV(RAND(),0,1)</f>
        <v>-0.79904839405791517</v>
      </c>
      <c r="F27" s="25">
        <f ca="1">E27*SQRT(dt)</f>
        <v>-0.11080807524434494</v>
      </c>
      <c r="G27" s="25">
        <f ca="1">Sigma*F27</f>
        <v>-2.2845409935838275E-2</v>
      </c>
      <c r="H27" s="23">
        <f ca="1">G27*K26</f>
        <v>-20.759060843134101</v>
      </c>
      <c r="I27" s="24">
        <f ca="1">I26+H27</f>
        <v>26.530792232900957</v>
      </c>
      <c r="J27" s="23">
        <f ca="1">D27+H27</f>
        <v>-11.460506224921319</v>
      </c>
      <c r="K27" s="22">
        <f ca="1">K26+J27</f>
        <v>897.21484262792387</v>
      </c>
    </row>
    <row r="28" spans="1:11" ht="15">
      <c r="A28" s="21">
        <v>17</v>
      </c>
      <c r="B28" s="28">
        <f>Mu*dt</f>
        <v>1.0233087790872413E-2</v>
      </c>
      <c r="C28" s="27">
        <f>C27*(1+B28)</f>
        <v>867.66689121809009</v>
      </c>
      <c r="D28" s="26">
        <f ca="1">K27*B28</f>
        <v>9.1812782518853204</v>
      </c>
      <c r="E28" s="25">
        <f ca="1">NORMINV(RAND(),0,1)</f>
        <v>0.54831821451427698</v>
      </c>
      <c r="F28" s="25">
        <f ca="1">E28*SQRT(dt)</f>
        <v>7.6038055296234183E-2</v>
      </c>
      <c r="G28" s="25">
        <f ca="1">Sigma*F28</f>
        <v>1.567684070078694E-2</v>
      </c>
      <c r="H28" s="23">
        <f ca="1">G28*K27</f>
        <v>14.065494162259586</v>
      </c>
      <c r="I28" s="24">
        <f ca="1">I27+H28</f>
        <v>40.596286395160547</v>
      </c>
      <c r="J28" s="23">
        <f ca="1">D28+H28</f>
        <v>23.246772414144907</v>
      </c>
      <c r="K28" s="22">
        <f ca="1">K27+J28</f>
        <v>920.46161504206873</v>
      </c>
    </row>
    <row r="29" spans="1:11" ht="15">
      <c r="A29" s="21">
        <v>18</v>
      </c>
      <c r="B29" s="28">
        <f>Mu*dt</f>
        <v>1.0233087790872413E-2</v>
      </c>
      <c r="C29" s="27">
        <f>C28*(1+B29)</f>
        <v>876.54580268915822</v>
      </c>
      <c r="D29" s="26">
        <f ca="1">K28*B29</f>
        <v>9.419164514853696</v>
      </c>
      <c r="E29" s="25">
        <f ca="1">NORMINV(RAND(),0,1)</f>
        <v>5.5856645159814186E-2</v>
      </c>
      <c r="F29" s="25">
        <f ca="1">E29*SQRT(dt)</f>
        <v>7.7459230076579811E-3</v>
      </c>
      <c r="G29" s="25">
        <f ca="1">Sigma*F29</f>
        <v>1.5969845704040327E-3</v>
      </c>
      <c r="H29" s="23">
        <f ca="1">G29*K28</f>
        <v>1.4699629968713603</v>
      </c>
      <c r="I29" s="24">
        <f ca="1">I28+H29</f>
        <v>42.066249392031906</v>
      </c>
      <c r="J29" s="23">
        <f ca="1">D29+H29</f>
        <v>10.889127511725057</v>
      </c>
      <c r="K29" s="22">
        <f ca="1">K28+J29</f>
        <v>931.35074255379379</v>
      </c>
    </row>
    <row r="30" spans="1:11" ht="15">
      <c r="A30" s="21">
        <v>19</v>
      </c>
      <c r="B30" s="28">
        <f>Mu*dt</f>
        <v>1.0233087790872413E-2</v>
      </c>
      <c r="C30" s="27">
        <f>C29*(1+B30)</f>
        <v>885.51557284079718</v>
      </c>
      <c r="D30" s="26">
        <f ca="1">K29*B30</f>
        <v>9.5305939126471824</v>
      </c>
      <c r="E30" s="25">
        <f ca="1">NORMINV(RAND(),0,1)</f>
        <v>-0.85600704894032997</v>
      </c>
      <c r="F30" s="25">
        <f ca="1">E30*SQRT(dt)</f>
        <v>-0.11870681950434508</v>
      </c>
      <c r="G30" s="25">
        <f ca="1">Sigma*F30</f>
        <v>-2.4473901814251822E-2</v>
      </c>
      <c r="H30" s="23">
        <f ca="1">G30*K29</f>
        <v>-22.793786627892075</v>
      </c>
      <c r="I30" s="24">
        <f ca="1">I29+H30</f>
        <v>19.272462764139831</v>
      </c>
      <c r="J30" s="23">
        <f ca="1">D30+H30</f>
        <v>-13.263192715244893</v>
      </c>
      <c r="K30" s="22">
        <f ca="1">K29+J30</f>
        <v>918.08754983854885</v>
      </c>
    </row>
    <row r="31" spans="1:11" ht="15">
      <c r="A31" s="21">
        <v>20</v>
      </c>
      <c r="B31" s="28">
        <f>Mu*dt</f>
        <v>1.0233087790872413E-2</v>
      </c>
      <c r="C31" s="27">
        <f>C30*(1+B31)</f>
        <v>894.57713143786179</v>
      </c>
      <c r="D31" s="26">
        <f ca="1">K30*B31</f>
        <v>9.3948704972048223</v>
      </c>
      <c r="E31" s="25">
        <f ca="1">NORMINV(RAND(),0,1)</f>
        <v>-0.66803905148137932</v>
      </c>
      <c r="F31" s="25">
        <f ca="1">E31*SQRT(dt)</f>
        <v>-9.2640348235709269E-2</v>
      </c>
      <c r="G31" s="25">
        <f ca="1">Sigma*F31</f>
        <v>-1.9099751776904914E-2</v>
      </c>
      <c r="H31" s="23">
        <f ca="1">G31*K30</f>
        <v>-17.535244311383103</v>
      </c>
      <c r="I31" s="24">
        <f ca="1">I30+H31</f>
        <v>1.7372184527567285</v>
      </c>
      <c r="J31" s="23">
        <f ca="1">D31+H31</f>
        <v>-8.1403738141782807</v>
      </c>
      <c r="K31" s="22">
        <f ca="1">K30+J31</f>
        <v>909.94717602437061</v>
      </c>
    </row>
    <row r="32" spans="1:11" ht="15">
      <c r="A32" s="21">
        <v>21</v>
      </c>
      <c r="B32" s="28">
        <f>Mu*dt</f>
        <v>1.0233087790872413E-2</v>
      </c>
      <c r="C32" s="27">
        <f>C31*(1+B32)</f>
        <v>903.73141775957231</v>
      </c>
      <c r="D32" s="26">
        <f ca="1">K31*B32</f>
        <v>9.3115693373138164</v>
      </c>
      <c r="E32" s="25">
        <f ca="1">NORMINV(RAND(),0,1)</f>
        <v>1.1958732194530255</v>
      </c>
      <c r="F32" s="25">
        <f ca="1">E32*SQRT(dt)</f>
        <v>0.16583777737277244</v>
      </c>
      <c r="G32" s="25">
        <f ca="1">Sigma*F32</f>
        <v>3.4190937786572763E-2</v>
      </c>
      <c r="H32" s="23">
        <f ca="1">G32*K31</f>
        <v>31.11194728451683</v>
      </c>
      <c r="I32" s="24">
        <f ca="1">I31+H32</f>
        <v>32.849165737273559</v>
      </c>
      <c r="J32" s="23">
        <f ca="1">D32+H32</f>
        <v>40.423516621830643</v>
      </c>
      <c r="K32" s="22">
        <f ca="1">K31+J32</f>
        <v>950.37069264620129</v>
      </c>
    </row>
    <row r="33" spans="1:11" ht="15">
      <c r="A33" s="21">
        <v>22</v>
      </c>
      <c r="B33" s="28">
        <f>Mu*dt</f>
        <v>1.0233087790872413E-2</v>
      </c>
      <c r="C33" s="27">
        <f>C32*(1+B33)</f>
        <v>912.97938069687564</v>
      </c>
      <c r="D33" s="26">
        <f ca="1">K32*B33</f>
        <v>9.7252267317208005</v>
      </c>
      <c r="E33" s="25">
        <f ca="1">NORMINV(RAND(),0,1)</f>
        <v>0.29875313723852603</v>
      </c>
      <c r="F33" s="25">
        <f ca="1">E33*SQRT(dt)</f>
        <v>4.14296059622783E-2</v>
      </c>
      <c r="G33" s="25">
        <f ca="1">Sigma*F33</f>
        <v>8.5415826382815949E-3</v>
      </c>
      <c r="H33" s="23">
        <f ca="1">G33*K32</f>
        <v>8.1176698082384462</v>
      </c>
      <c r="I33" s="24">
        <f ca="1">I32+H33</f>
        <v>40.966835545512005</v>
      </c>
      <c r="J33" s="23">
        <f ca="1">D33+H33</f>
        <v>17.842896539959249</v>
      </c>
      <c r="K33" s="22">
        <f ca="1">K32+J33</f>
        <v>968.21358918616056</v>
      </c>
    </row>
    <row r="34" spans="1:11" ht="15">
      <c r="A34" s="21">
        <v>23</v>
      </c>
      <c r="B34" s="28">
        <f>Mu*dt</f>
        <v>1.0233087790872413E-2</v>
      </c>
      <c r="C34" s="27">
        <f>C33*(1+B34)</f>
        <v>922.32197885080313</v>
      </c>
      <c r="D34" s="26">
        <f ca="1">K33*B34</f>
        <v>9.9078146584576583</v>
      </c>
      <c r="E34" s="25">
        <f ca="1">NORMINV(RAND(),0,1)</f>
        <v>1.1920285441222138</v>
      </c>
      <c r="F34" s="25">
        <f ca="1">E34*SQRT(dt)</f>
        <v>0.16530461683266656</v>
      </c>
      <c r="G34" s="25">
        <f ca="1">Sigma*F34</f>
        <v>3.408101555325653E-2</v>
      </c>
      <c r="H34" s="23">
        <f ca="1">G34*K33</f>
        <v>32.997702391927866</v>
      </c>
      <c r="I34" s="24">
        <f ca="1">I33+H34</f>
        <v>73.964537937439871</v>
      </c>
      <c r="J34" s="23">
        <f ca="1">D34+H34</f>
        <v>42.905517050385527</v>
      </c>
      <c r="K34" s="22">
        <f ca="1">K33+J34</f>
        <v>1011.119106236546</v>
      </c>
    </row>
    <row r="35" spans="1:11" ht="15">
      <c r="A35" s="21">
        <v>24</v>
      </c>
      <c r="B35" s="28">
        <f>Mu*dt</f>
        <v>1.0233087790872413E-2</v>
      </c>
      <c r="C35" s="27">
        <f>C34*(1+B35)</f>
        <v>931.76018063183471</v>
      </c>
      <c r="D35" s="26">
        <f ca="1">K34*B35</f>
        <v>10.346870581147025</v>
      </c>
      <c r="E35" s="25">
        <f ca="1">NORMINV(RAND(),0,1)</f>
        <v>-1.8773362110009351</v>
      </c>
      <c r="F35" s="25">
        <f ca="1">E35*SQRT(dt)</f>
        <v>-0.26033969115573674</v>
      </c>
      <c r="G35" s="25">
        <f ca="1">Sigma*F35</f>
        <v>-5.3674490364598842E-2</v>
      </c>
      <c r="H35" s="23">
        <f ca="1">G35*K34</f>
        <v>-54.27130272515528</v>
      </c>
      <c r="I35" s="24">
        <f ca="1">I34+H35</f>
        <v>19.693235212284591</v>
      </c>
      <c r="J35" s="23">
        <f ca="1">D35+H35</f>
        <v>-43.924432144008257</v>
      </c>
      <c r="K35" s="22">
        <f ca="1">K34+J35</f>
        <v>967.19467409253775</v>
      </c>
    </row>
    <row r="36" spans="1:11" ht="15">
      <c r="A36" s="21">
        <v>25</v>
      </c>
      <c r="B36" s="28">
        <f>Mu*dt</f>
        <v>1.0233087790872413E-2</v>
      </c>
      <c r="C36" s="27">
        <f>C35*(1+B36)</f>
        <v>941.29496436027955</v>
      </c>
      <c r="D36" s="26">
        <f ca="1">K35*B36</f>
        <v>9.8973880108531702</v>
      </c>
      <c r="E36" s="25">
        <f ca="1">NORMINV(RAND(),0,1)</f>
        <v>-0.19281931375213762</v>
      </c>
      <c r="F36" s="25">
        <f ca="1">E36*SQRT(dt)</f>
        <v>-2.6739227793581191E-2</v>
      </c>
      <c r="G36" s="25">
        <f ca="1">Sigma*F36</f>
        <v>-5.5128529122546802E-3</v>
      </c>
      <c r="H36" s="23">
        <f ca="1">G36*K35</f>
        <v>-5.3320019757882626</v>
      </c>
      <c r="I36" s="24">
        <f ca="1">I35+H36</f>
        <v>14.361233236496329</v>
      </c>
      <c r="J36" s="23">
        <f ca="1">D36+H36</f>
        <v>4.5653860350649076</v>
      </c>
      <c r="K36" s="22">
        <f ca="1">K35+J36</f>
        <v>971.76006012760263</v>
      </c>
    </row>
    <row r="37" spans="1:11" ht="15">
      <c r="A37" s="21">
        <v>26</v>
      </c>
      <c r="B37" s="28">
        <f>Mu*dt</f>
        <v>1.0233087790872413E-2</v>
      </c>
      <c r="C37" s="27">
        <f>C36*(1+B37)</f>
        <v>950.92731836768451</v>
      </c>
      <c r="D37" s="26">
        <f ca="1">K36*B37</f>
        <v>9.9441060069492124</v>
      </c>
      <c r="E37" s="25">
        <f ca="1">NORMINV(RAND(),0,1)</f>
        <v>0.37804408098881426</v>
      </c>
      <c r="F37" s="25">
        <f ca="1">E37*SQRT(dt)</f>
        <v>5.2425281476570419E-2</v>
      </c>
      <c r="G37" s="25">
        <f ca="1">Sigma*F37</f>
        <v>1.0808571881543293E-2</v>
      </c>
      <c r="H37" s="23">
        <f ca="1">G37*K36</f>
        <v>10.503338461502025</v>
      </c>
      <c r="I37" s="24">
        <f ca="1">I36+H37</f>
        <v>24.864571697998354</v>
      </c>
      <c r="J37" s="23">
        <f ca="1">D37+H37</f>
        <v>20.447444468451238</v>
      </c>
      <c r="K37" s="22">
        <f ca="1">K36+J37</f>
        <v>992.20750459605392</v>
      </c>
    </row>
    <row r="38" spans="1:11" ht="15">
      <c r="A38" s="21">
        <v>27</v>
      </c>
      <c r="B38" s="28">
        <f>Mu*dt</f>
        <v>1.0233087790872413E-2</v>
      </c>
      <c r="C38" s="27">
        <f>C37*(1+B38)</f>
        <v>960.65824109927996</v>
      </c>
      <c r="D38" s="26">
        <f ca="1">K37*B38</f>
        <v>10.153346501293862</v>
      </c>
      <c r="E38" s="25">
        <f ca="1">NORMINV(RAND(),0,1)</f>
        <v>-1.5016314107871185</v>
      </c>
      <c r="F38" s="25">
        <f ca="1">E38*SQRT(dt)</f>
        <v>-0.20823880955539559</v>
      </c>
      <c r="G38" s="25">
        <f ca="1">Sigma*F38</f>
        <v>-4.2932800324827922E-2</v>
      </c>
      <c r="H38" s="23">
        <f ca="1">G38*K37</f>
        <v>-42.598246675618164</v>
      </c>
      <c r="I38" s="24">
        <f ca="1">I37+H38</f>
        <v>-17.73367497761981</v>
      </c>
      <c r="J38" s="23">
        <f ca="1">D38+H38</f>
        <v>-32.444900174324303</v>
      </c>
      <c r="K38" s="22">
        <f ca="1">K37+J38</f>
        <v>959.76260442172963</v>
      </c>
    </row>
    <row r="39" spans="1:11" ht="15">
      <c r="A39" s="21">
        <v>28</v>
      </c>
      <c r="B39" s="28">
        <f>Mu*dt</f>
        <v>1.0233087790872413E-2</v>
      </c>
      <c r="C39" s="27">
        <f>C38*(1+B39)</f>
        <v>970.48874121747406</v>
      </c>
      <c r="D39" s="26">
        <f ca="1">K38*B39</f>
        <v>9.8213349894439101</v>
      </c>
      <c r="E39" s="25">
        <f ca="1">NORMINV(RAND(),0,1)</f>
        <v>1.2270245366941894</v>
      </c>
      <c r="F39" s="25">
        <f ca="1">E39*SQRT(dt)</f>
        <v>0.17015768781935944</v>
      </c>
      <c r="G39" s="25">
        <f ca="1">Sigma*F39</f>
        <v>3.508157797521215E-2</v>
      </c>
      <c r="H39" s="23">
        <f ca="1">G39*K38</f>
        <v>33.669986644713603</v>
      </c>
      <c r="I39" s="24">
        <f ca="1">I38+H39</f>
        <v>15.936311667093793</v>
      </c>
      <c r="J39" s="23">
        <f ca="1">D39+H39</f>
        <v>43.491321634157515</v>
      </c>
      <c r="K39" s="22">
        <f ca="1">K38+J39</f>
        <v>1003.2539260558872</v>
      </c>
    </row>
    <row r="40" spans="1:11" ht="15">
      <c r="A40" s="21">
        <v>29</v>
      </c>
      <c r="B40" s="28">
        <f>Mu*dt</f>
        <v>1.0233087790872413E-2</v>
      </c>
      <c r="C40" s="27">
        <f>C39*(1+B40)</f>
        <v>980.41983770640581</v>
      </c>
      <c r="D40" s="26">
        <f ca="1">K39*B40</f>
        <v>10.266385501867314</v>
      </c>
      <c r="E40" s="25">
        <f ca="1">NORMINV(RAND(),0,1)</f>
        <v>0.96181549702621805</v>
      </c>
      <c r="F40" s="25">
        <f ca="1">E40*SQRT(dt)</f>
        <v>0.13337981123322737</v>
      </c>
      <c r="G40" s="25">
        <f ca="1">Sigma*F40</f>
        <v>2.7499046960869532E-2</v>
      </c>
      <c r="H40" s="23">
        <f ca="1">G40*K39</f>
        <v>27.58852682628757</v>
      </c>
      <c r="I40" s="24">
        <f ca="1">I39+H40</f>
        <v>43.524838493381367</v>
      </c>
      <c r="J40" s="23">
        <f ca="1">D40+H40</f>
        <v>37.854912328154882</v>
      </c>
      <c r="K40" s="22">
        <f ca="1">K39+J40</f>
        <v>1041.108838384042</v>
      </c>
    </row>
    <row r="41" spans="1:11" ht="15">
      <c r="A41" s="21">
        <v>30</v>
      </c>
      <c r="B41" s="28">
        <f>Mu*dt</f>
        <v>1.0233087790872413E-2</v>
      </c>
      <c r="C41" s="27">
        <f>C40*(1+B41)</f>
        <v>990.4525599775684</v>
      </c>
      <c r="D41" s="26">
        <f ca="1">K40*B41</f>
        <v>10.6537581430371</v>
      </c>
      <c r="E41" s="25">
        <f ca="1">NORMINV(RAND(),0,1)</f>
        <v>-0.34832453272807334</v>
      </c>
      <c r="F41" s="25">
        <f ca="1">E41*SQRT(dt)</f>
        <v>-4.8303921663580884E-2</v>
      </c>
      <c r="G41" s="25">
        <f ca="1">Sigma*F41</f>
        <v>-9.9588670724559177E-3</v>
      </c>
      <c r="H41" s="23">
        <f ca="1">G41*K40</f>
        <v>-10.368264529425666</v>
      </c>
      <c r="I41" s="24">
        <f ca="1">I40+H41</f>
        <v>33.156573963955701</v>
      </c>
      <c r="J41" s="23">
        <f ca="1">D41+H41</f>
        <v>0.28549361361143433</v>
      </c>
      <c r="K41" s="22">
        <f ca="1">K40+J41</f>
        <v>1041.3943319976534</v>
      </c>
    </row>
    <row r="42" spans="1:11" ht="15">
      <c r="A42" s="21">
        <v>31</v>
      </c>
      <c r="B42" s="28">
        <f>Mu*dt</f>
        <v>1.0233087790872413E-2</v>
      </c>
      <c r="C42" s="27">
        <f>C41*(1+B42)</f>
        <v>1000.5879479765133</v>
      </c>
      <c r="D42" s="26">
        <f ca="1">K41*B42</f>
        <v>10.656679624248918</v>
      </c>
      <c r="E42" s="25">
        <f ca="1">NORMINV(RAND(),0,1)</f>
        <v>-6.8650203079495833E-2</v>
      </c>
      <c r="F42" s="25">
        <f ca="1">E42*SQRT(dt)</f>
        <v>-9.5200702797745423E-3</v>
      </c>
      <c r="G42" s="25">
        <f ca="1">Sigma*F42</f>
        <v>-1.9627622596985733E-3</v>
      </c>
      <c r="H42" s="23">
        <f ca="1">G42*K41</f>
        <v>-2.0440094923090002</v>
      </c>
      <c r="I42" s="24">
        <f ca="1">I41+H42</f>
        <v>31.112564471646699</v>
      </c>
      <c r="J42" s="23">
        <f ca="1">D42+H42</f>
        <v>8.6126701319399182</v>
      </c>
      <c r="K42" s="22">
        <f ca="1">K41+J42</f>
        <v>1050.0070021295933</v>
      </c>
    </row>
    <row r="43" spans="1:11" ht="15">
      <c r="A43" s="21">
        <v>32</v>
      </c>
      <c r="B43" s="28">
        <f>Mu*dt</f>
        <v>1.0233087790872413E-2</v>
      </c>
      <c r="C43" s="27">
        <f>C42*(1+B43)</f>
        <v>1010.827052290646</v>
      </c>
      <c r="D43" s="26">
        <f ca="1">K42*B43</f>
        <v>10.744813833822885</v>
      </c>
      <c r="E43" s="25">
        <f ca="1">NORMINV(RAND(),0,1)</f>
        <v>1.0659781974453175</v>
      </c>
      <c r="F43" s="25">
        <f ca="1">E43*SQRT(dt)</f>
        <v>0.14782457882368341</v>
      </c>
      <c r="G43" s="25">
        <f ca="1">Sigma*F43</f>
        <v>3.0477138912238577E-2</v>
      </c>
      <c r="H43" s="23">
        <f ca="1">G43*K42</f>
        <v>32.001209262726803</v>
      </c>
      <c r="I43" s="24">
        <f ca="1">I42+H43</f>
        <v>63.113773734373503</v>
      </c>
      <c r="J43" s="23">
        <f ca="1">D43+H43</f>
        <v>42.746023096549692</v>
      </c>
      <c r="K43" s="22">
        <f ca="1">K42+J43</f>
        <v>1092.7530252261429</v>
      </c>
    </row>
    <row r="44" spans="1:11" ht="15">
      <c r="A44" s="21">
        <v>33</v>
      </c>
      <c r="B44" s="28">
        <f>Mu*dt</f>
        <v>1.0233087790872413E-2</v>
      </c>
      <c r="C44" s="27">
        <f>C43*(1+B44)</f>
        <v>1021.170934258125</v>
      </c>
      <c r="D44" s="26">
        <f ca="1">K43*B44</f>
        <v>11.182237640880537</v>
      </c>
      <c r="E44" s="25">
        <f ca="1">NORMINV(RAND(),0,1)</f>
        <v>0.18157446948717398</v>
      </c>
      <c r="F44" s="25">
        <f ca="1">E44*SQRT(dt)</f>
        <v>2.5179848463506824E-2</v>
      </c>
      <c r="G44" s="25">
        <f ca="1">Sigma*F44</f>
        <v>5.1913541409560615E-3</v>
      </c>
      <c r="H44" s="23">
        <f ca="1">G44*K43</f>
        <v>5.6728679425500008</v>
      </c>
      <c r="I44" s="24">
        <f ca="1">I43+H44</f>
        <v>68.786641676923509</v>
      </c>
      <c r="J44" s="23">
        <f ca="1">D44+H44</f>
        <v>16.855105583430536</v>
      </c>
      <c r="K44" s="22">
        <f ca="1">K43+J44</f>
        <v>1109.6081308095734</v>
      </c>
    </row>
    <row r="45" spans="1:11" ht="15">
      <c r="A45" s="21">
        <v>34</v>
      </c>
      <c r="B45" s="28">
        <f>Mu*dt</f>
        <v>1.0233087790872413E-2</v>
      </c>
      <c r="C45" s="27">
        <f>C44*(1+B45)</f>
        <v>1031.6206660778757</v>
      </c>
      <c r="D45" s="26">
        <f ca="1">K44*B45</f>
        <v>11.354717416040204</v>
      </c>
      <c r="E45" s="25">
        <f ca="1">NORMINV(RAND(),0,1)</f>
        <v>1.3455040725226723</v>
      </c>
      <c r="F45" s="25">
        <f ca="1">E45*SQRT(dt)</f>
        <v>0.18658784326254282</v>
      </c>
      <c r="G45" s="25">
        <f ca="1">Sigma*F45</f>
        <v>3.8468999294293538E-2</v>
      </c>
      <c r="H45" s="23">
        <f ca="1">G45*K44</f>
        <v>42.685514401055848</v>
      </c>
      <c r="I45" s="24">
        <f ca="1">I44+H45</f>
        <v>111.47215607797935</v>
      </c>
      <c r="J45" s="23">
        <f ca="1">D45+H45</f>
        <v>54.04023181709605</v>
      </c>
      <c r="K45" s="22">
        <f ca="1">K44+J45</f>
        <v>1163.6483626266695</v>
      </c>
    </row>
    <row r="46" spans="1:11" ht="15">
      <c r="A46" s="21">
        <v>35</v>
      </c>
      <c r="B46" s="28">
        <f>Mu*dt</f>
        <v>1.0233087790872413E-2</v>
      </c>
      <c r="C46" s="27">
        <f>C45*(1+B46)</f>
        <v>1042.177330920729</v>
      </c>
      <c r="D46" s="26">
        <f ca="1">K45*B46</f>
        <v>11.907715852463646</v>
      </c>
      <c r="E46" s="25">
        <f ca="1">NORMINV(RAND(),0,1)</f>
        <v>-0.41974617347229959</v>
      </c>
      <c r="F46" s="25">
        <f ca="1">E46*SQRT(dt)</f>
        <v>-5.8208321197468417E-2</v>
      </c>
      <c r="G46" s="25">
        <f ca="1">Sigma*F46</f>
        <v>-1.2000866872750562E-2</v>
      </c>
      <c r="H46" s="23">
        <f ca="1">G46*K45</f>
        <v>-13.964789086576831</v>
      </c>
      <c r="I46" s="24">
        <f ca="1">I45+H46</f>
        <v>97.50736699140252</v>
      </c>
      <c r="J46" s="23">
        <f ca="1">D46+H46</f>
        <v>-2.0570732341131848</v>
      </c>
      <c r="K46" s="22">
        <f ca="1">K45+J46</f>
        <v>1161.5912893925563</v>
      </c>
    </row>
    <row r="47" spans="1:11" ht="15">
      <c r="A47" s="21">
        <v>36</v>
      </c>
      <c r="B47" s="28">
        <f>Mu*dt</f>
        <v>1.0233087790872413E-2</v>
      </c>
      <c r="C47" s="27">
        <f>C46*(1+B47)</f>
        <v>1052.842023041698</v>
      </c>
      <c r="D47" s="26">
        <f ca="1">K46*B47</f>
        <v>11.886665641466712</v>
      </c>
      <c r="E47" s="25">
        <f ca="1">NORMINV(RAND(),0,1)</f>
        <v>0.2313556200934716</v>
      </c>
      <c r="F47" s="25">
        <f ca="1">E47*SQRT(dt)</f>
        <v>3.2083251965914564E-2</v>
      </c>
      <c r="G47" s="25">
        <f ca="1">Sigma*F47</f>
        <v>6.6146356357138659E-3</v>
      </c>
      <c r="H47" s="23">
        <f ca="1">G47*K46</f>
        <v>7.6835031369508204</v>
      </c>
      <c r="I47" s="24">
        <f ca="1">I46+H47</f>
        <v>105.19087012835334</v>
      </c>
      <c r="J47" s="23">
        <f ca="1">D47+H47</f>
        <v>19.570168778417532</v>
      </c>
      <c r="K47" s="22">
        <f ca="1">K46+J47</f>
        <v>1181.1614581709739</v>
      </c>
    </row>
    <row r="48" spans="1:11" ht="15">
      <c r="A48" s="21">
        <v>37</v>
      </c>
      <c r="B48" s="28">
        <f>Mu*dt</f>
        <v>1.0233087790872413E-2</v>
      </c>
      <c r="C48" s="27">
        <f>C47*(1+B48)</f>
        <v>1063.6158478934035</v>
      </c>
      <c r="D48" s="26">
        <f ca="1">K47*B48</f>
        <v>12.086928896658449</v>
      </c>
      <c r="E48" s="25">
        <f ca="1">NORMINV(RAND(),0,1)</f>
        <v>0.55311076045607566</v>
      </c>
      <c r="F48" s="25">
        <f ca="1">E48*SQRT(dt)</f>
        <v>7.6702661839817721E-2</v>
      </c>
      <c r="G48" s="25">
        <f ca="1">Sigma*F48</f>
        <v>1.5813863286015733E-2</v>
      </c>
      <c r="H48" s="23">
        <f ca="1">G48*K47</f>
        <v>18.678725818226773</v>
      </c>
      <c r="I48" s="24">
        <f ca="1">I47+H48</f>
        <v>123.86959594658012</v>
      </c>
      <c r="J48" s="23">
        <f ca="1">D48+H48</f>
        <v>30.765654714885223</v>
      </c>
      <c r="K48" s="22">
        <f ca="1">K47+J48</f>
        <v>1211.9271128858591</v>
      </c>
    </row>
    <row r="49" spans="1:11" ht="15">
      <c r="A49" s="21">
        <v>38</v>
      </c>
      <c r="B49" s="28">
        <f>Mu*dt</f>
        <v>1.0233087790872413E-2</v>
      </c>
      <c r="C49" s="27">
        <f>C48*(1+B49)</f>
        <v>1074.49992224066</v>
      </c>
      <c r="D49" s="26">
        <f ca="1">K48*B49</f>
        <v>12.401756542299538</v>
      </c>
      <c r="E49" s="25">
        <f ca="1">NORMINV(RAND(),0,1)</f>
        <v>0.28224598613318286</v>
      </c>
      <c r="F49" s="25">
        <f ca="1">E49*SQRT(dt)</f>
        <v>3.914047597296496E-2</v>
      </c>
      <c r="G49" s="25">
        <f ca="1">Sigma*F49</f>
        <v>8.0696304553114894E-3</v>
      </c>
      <c r="H49" s="23">
        <f ca="1">G49*K48</f>
        <v>9.7798039397614538</v>
      </c>
      <c r="I49" s="24">
        <f ca="1">I48+H49</f>
        <v>133.64939988634157</v>
      </c>
      <c r="J49" s="23">
        <f ca="1">D49+H49</f>
        <v>22.181560482060991</v>
      </c>
      <c r="K49" s="22">
        <f ca="1">K48+J49</f>
        <v>1234.1086733679201</v>
      </c>
    </row>
    <row r="50" spans="1:11" ht="15">
      <c r="A50" s="21">
        <v>39</v>
      </c>
      <c r="B50" s="28">
        <f>Mu*dt</f>
        <v>1.0233087790872413E-2</v>
      </c>
      <c r="C50" s="27">
        <f>C49*(1+B50)</f>
        <v>1085.4953742762343</v>
      </c>
      <c r="D50" s="26">
        <f ca="1">K49*B50</f>
        <v>12.628742398051013</v>
      </c>
      <c r="E50" s="25">
        <f ca="1">NORMINV(RAND(),0,1)</f>
        <v>0.60650167183905901</v>
      </c>
      <c r="F50" s="25">
        <f ca="1">E50*SQRT(dt)</f>
        <v>8.4106649095013891E-2</v>
      </c>
      <c r="G50" s="25">
        <f ca="1">Sigma*F50</f>
        <v>1.7340350625784869E-2</v>
      </c>
      <c r="H50" s="23">
        <f ca="1">G50*K49</f>
        <v>21.399877106521949</v>
      </c>
      <c r="I50" s="24">
        <f ca="1">I49+H50</f>
        <v>155.04927699286353</v>
      </c>
      <c r="J50" s="23">
        <f ca="1">D50+H50</f>
        <v>34.028619504572958</v>
      </c>
      <c r="K50" s="22">
        <f ca="1">K49+J50</f>
        <v>1268.1372928724932</v>
      </c>
    </row>
    <row r="51" spans="1:11" ht="15">
      <c r="A51" s="21">
        <v>40</v>
      </c>
      <c r="B51" s="28">
        <f>Mu*dt</f>
        <v>1.0233087790872413E-2</v>
      </c>
      <c r="C51" s="27">
        <f>C50*(1+B51)</f>
        <v>1096.6033437377891</v>
      </c>
      <c r="D51" s="26">
        <f ca="1">K50*B51</f>
        <v>12.976960248843502</v>
      </c>
      <c r="E51" s="25">
        <f ca="1">NORMINV(RAND(),0,1)</f>
        <v>-2.3341927221944516</v>
      </c>
      <c r="F51" s="25">
        <f ca="1">E51*SQRT(dt)</f>
        <v>-0.32369429025719104</v>
      </c>
      <c r="G51" s="25">
        <f ca="1">Sigma*F51</f>
        <v>-6.6736370418031862E-2</v>
      </c>
      <c r="H51" s="23">
        <f ca="1">G51*K50</f>
        <v>-84.630880118058855</v>
      </c>
      <c r="I51" s="24">
        <f ca="1">I50+H51</f>
        <v>70.418396874804671</v>
      </c>
      <c r="J51" s="23">
        <f ca="1">D51+H51</f>
        <v>-71.653919869215358</v>
      </c>
      <c r="K51" s="22">
        <f ca="1">K50+J51</f>
        <v>1196.4833730032778</v>
      </c>
    </row>
  </sheetData>
  <sheetProtection sheet="1" objects="1" scenarios="1"/>
  <pageMargins left="0.75" right="0.75" top="1" bottom="1" header="0.5" footer="0.5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D527-DB9C-4C9C-AB27-15D3ECDF0758}">
  <sheetPr codeName="Sheet3"/>
  <dimension ref="A1:BB501"/>
  <sheetViews>
    <sheetView showGridLines="0" tabSelected="1" workbookViewId="0">
      <selection activeCell="T12" sqref="T12"/>
    </sheetView>
  </sheetViews>
  <sheetFormatPr defaultColWidth="11.42578125" defaultRowHeight="12"/>
  <cols>
    <col min="1" max="1" width="11.42578125" style="47" customWidth="1"/>
    <col min="2" max="2" width="15.5703125" style="46" customWidth="1"/>
    <col min="3" max="5" width="11.42578125" style="46" customWidth="1"/>
    <col min="6" max="6" width="15.28515625" style="46" customWidth="1"/>
    <col min="7" max="15" width="11.42578125" style="46"/>
    <col min="16" max="16" width="16.7109375" style="46" customWidth="1"/>
    <col min="17" max="30" width="11.42578125" style="46"/>
    <col min="31" max="31" width="11.42578125" style="45"/>
    <col min="32" max="53" width="11.42578125" style="43"/>
    <col min="54" max="54" width="11.42578125" style="44"/>
    <col min="55" max="16384" width="11.42578125" style="43"/>
  </cols>
  <sheetData>
    <row r="1" spans="1:54">
      <c r="A1" s="64"/>
      <c r="B1" s="63"/>
      <c r="C1" s="63"/>
      <c r="D1" s="63"/>
      <c r="E1" s="63" t="s">
        <v>105</v>
      </c>
      <c r="F1" s="63"/>
      <c r="G1" s="63"/>
      <c r="H1" s="63"/>
      <c r="I1" s="63"/>
      <c r="J1" s="53" t="s">
        <v>104</v>
      </c>
      <c r="K1" s="53" t="e">
        <f ca="1">AVERAGE(E$3:E$501)</f>
        <v>#NAME?</v>
      </c>
      <c r="L1" s="53" t="e">
        <f ca="1">AVERAGE(F$3:F$501)</f>
        <v>#NAME?</v>
      </c>
      <c r="M1" s="53" t="e">
        <f ca="1">AVERAGE(G$3:G$501)</f>
        <v>#NAME?</v>
      </c>
      <c r="N1" s="63"/>
      <c r="O1" s="63"/>
      <c r="P1" s="63" t="s">
        <v>106</v>
      </c>
      <c r="Q1" s="63"/>
      <c r="R1" s="63" t="s">
        <v>53</v>
      </c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2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0"/>
    </row>
    <row r="2" spans="1:54">
      <c r="A2" s="59" t="s">
        <v>67</v>
      </c>
      <c r="B2" s="58"/>
      <c r="C2" s="58"/>
      <c r="E2" s="57" t="s">
        <v>103</v>
      </c>
      <c r="I2" s="57"/>
      <c r="J2" s="53" t="s">
        <v>102</v>
      </c>
      <c r="K2" s="53" t="e">
        <f ca="1">STDEVP(E$3:E$501)</f>
        <v>#NAME?</v>
      </c>
      <c r="L2" s="53" t="e">
        <f ca="1">STDEVP(F$3:F$501)</f>
        <v>#NAME?</v>
      </c>
      <c r="M2" s="53" t="e">
        <f ca="1">STDEVP(G$3:G$501)</f>
        <v>#NAME?</v>
      </c>
    </row>
    <row r="3" spans="1:54">
      <c r="A3" s="47">
        <v>1</v>
      </c>
      <c r="E3" s="46" t="e">
        <f t="array" aca="1" ref="E3:G91" ca="1">MultivarXs(3, 500, A$3:C$5, A$7:A$9, B$7:B$9)</f>
        <v>#NAME?</v>
      </c>
      <c r="F3" s="46" t="e">
        <f ca="1"/>
        <v>#NAME?</v>
      </c>
      <c r="G3" s="46" t="e">
        <f ca="1"/>
        <v>#NAME?</v>
      </c>
      <c r="J3" s="43"/>
      <c r="K3" s="43"/>
      <c r="L3" s="43"/>
      <c r="M3" s="43"/>
      <c r="P3" s="46" t="e">
        <f ca="1">1430*E3+435*F3+2412*G3</f>
        <v>#NAME?</v>
      </c>
      <c r="R3" s="46" t="e" cm="1">
        <f t="array" aca="1" ref="R3:R501" ca="1">_xlfn._xlws.SORT(P3:P501)</f>
        <v>#NAME?</v>
      </c>
    </row>
    <row r="4" spans="1:54">
      <c r="A4" s="47">
        <v>0.40502568999999999</v>
      </c>
      <c r="B4" s="46">
        <v>1</v>
      </c>
      <c r="E4" s="46" t="e">
        <f ca="1"/>
        <v>#NAME?</v>
      </c>
      <c r="F4" s="46" t="e">
        <f ca="1"/>
        <v>#NAME?</v>
      </c>
      <c r="G4" s="46" t="e">
        <f ca="1"/>
        <v>#NAME?</v>
      </c>
      <c r="J4" s="43"/>
      <c r="K4" s="56" t="s">
        <v>67</v>
      </c>
      <c r="L4" s="56"/>
      <c r="M4" s="55"/>
      <c r="P4" s="46" t="e">
        <f ca="1">1430*E4+435*F4+2412*G4</f>
        <v>#NAME?</v>
      </c>
      <c r="R4" s="46" t="e">
        <f ca="1"/>
        <v>#NAME?</v>
      </c>
    </row>
    <row r="5" spans="1:54">
      <c r="A5" s="47">
        <v>0.44176032999999998</v>
      </c>
      <c r="B5" s="46">
        <v>-1.5442000000000001E-2</v>
      </c>
      <c r="C5" s="46">
        <v>1</v>
      </c>
      <c r="E5" s="46" t="e">
        <f ca="1"/>
        <v>#NAME?</v>
      </c>
      <c r="F5" s="46" t="e">
        <f ca="1"/>
        <v>#NAME?</v>
      </c>
      <c r="G5" s="46" t="e">
        <f ca="1"/>
        <v>#NAME?</v>
      </c>
      <c r="J5" s="43"/>
      <c r="K5" s="53" t="e">
        <f ca="1">CORREL(E$3:E$501,E$3:E$501)</f>
        <v>#NAME?</v>
      </c>
      <c r="L5" s="53"/>
      <c r="M5" s="53"/>
      <c r="P5" s="46" t="e">
        <f ca="1">1430*E5+435*F5+2412*G5</f>
        <v>#NAME?</v>
      </c>
      <c r="R5" s="46" t="e">
        <f ca="1"/>
        <v>#NAME?</v>
      </c>
    </row>
    <row r="6" spans="1:54">
      <c r="A6" s="47" t="s">
        <v>63</v>
      </c>
      <c r="B6" s="54" t="s">
        <v>101</v>
      </c>
      <c r="E6" s="46" t="e">
        <f ca="1"/>
        <v>#NAME?</v>
      </c>
      <c r="F6" s="46" t="e">
        <f ca="1"/>
        <v>#NAME?</v>
      </c>
      <c r="G6" s="46" t="e">
        <f ca="1"/>
        <v>#NAME?</v>
      </c>
      <c r="J6" s="43"/>
      <c r="K6" s="53" t="e">
        <f ca="1">CORREL(F$3:F$501,E$3:E$501)</f>
        <v>#NAME?</v>
      </c>
      <c r="L6" s="53" t="e">
        <f ca="1">CORREL(F$3:F$501,F$3:F$501)</f>
        <v>#NAME?</v>
      </c>
      <c r="M6" s="53"/>
      <c r="P6" s="46" t="e">
        <f ca="1">1430*E6+435*F6+2412*G6</f>
        <v>#NAME?</v>
      </c>
      <c r="R6" s="46" t="e">
        <f ca="1"/>
        <v>#NAME?</v>
      </c>
    </row>
    <row r="7" spans="1:54">
      <c r="A7" s="47">
        <v>2.9670067493626877E-3</v>
      </c>
      <c r="B7" s="46">
        <v>1.9270962357624134E-2</v>
      </c>
      <c r="E7" s="46" t="e">
        <f ca="1"/>
        <v>#NAME?</v>
      </c>
      <c r="F7" s="46" t="e">
        <f ca="1"/>
        <v>#NAME?</v>
      </c>
      <c r="G7" s="46" t="e">
        <f ca="1"/>
        <v>#NAME?</v>
      </c>
      <c r="J7" s="43"/>
      <c r="K7" s="53" t="e">
        <f ca="1">CORREL(G$3:G$501,E$3:E$501)</f>
        <v>#NAME?</v>
      </c>
      <c r="L7" s="53" t="e">
        <f ca="1">CORREL(G$3:G$501,F$3:F$501)</f>
        <v>#NAME?</v>
      </c>
      <c r="M7" s="53" t="e">
        <f ca="1">CORREL(G$3:G$501,G$3:G$501)</f>
        <v>#NAME?</v>
      </c>
      <c r="P7" s="46" t="e">
        <f ca="1">1430*E7+435*F7+2412*G7</f>
        <v>#NAME?</v>
      </c>
      <c r="R7" s="65" t="e">
        <f ca="1"/>
        <v>#NAME?</v>
      </c>
    </row>
    <row r="8" spans="1:54">
      <c r="A8" s="47">
        <v>3.4187513852573671E-3</v>
      </c>
      <c r="B8" s="46">
        <v>2.9240915066010214E-2</v>
      </c>
      <c r="E8" s="46" t="e">
        <f ca="1"/>
        <v>#NAME?</v>
      </c>
      <c r="F8" s="46" t="e">
        <f ca="1"/>
        <v>#NAME?</v>
      </c>
      <c r="G8" s="46" t="e">
        <f ca="1"/>
        <v>#NAME?</v>
      </c>
      <c r="P8" s="46" t="e">
        <f ca="1">1430*E8+435*F8+2412*G8</f>
        <v>#NAME?</v>
      </c>
      <c r="R8" s="46" t="e">
        <f ca="1"/>
        <v>#NAME?</v>
      </c>
    </row>
    <row r="9" spans="1:54">
      <c r="A9" s="47">
        <v>1.5970212029427387E-3</v>
      </c>
      <c r="B9" s="46">
        <v>3.977980937269452E-2</v>
      </c>
      <c r="E9" s="46" t="e">
        <f ca="1"/>
        <v>#NAME?</v>
      </c>
      <c r="F9" s="46" t="e">
        <f ca="1"/>
        <v>#NAME?</v>
      </c>
      <c r="G9" s="46" t="e">
        <f ca="1"/>
        <v>#NAME?</v>
      </c>
      <c r="P9" s="46" t="e">
        <f ca="1">1430*E9+435*F9+2412*G9</f>
        <v>#NAME?</v>
      </c>
      <c r="R9" s="46" t="e">
        <f ca="1"/>
        <v>#NAME?</v>
      </c>
    </row>
    <row r="10" spans="1:54">
      <c r="E10" s="46" t="e">
        <f ca="1"/>
        <v>#NAME?</v>
      </c>
      <c r="F10" s="46" t="e">
        <f ca="1"/>
        <v>#NAME?</v>
      </c>
      <c r="G10" s="46" t="e">
        <f ca="1"/>
        <v>#NAME?</v>
      </c>
      <c r="P10" s="46" t="e">
        <f ca="1">1430*E10+435*F10+2412*G10</f>
        <v>#NAME?</v>
      </c>
      <c r="R10" s="46" t="e">
        <f ca="1"/>
        <v>#NAME?</v>
      </c>
    </row>
    <row r="11" spans="1:54">
      <c r="E11" s="46" t="e">
        <f ca="1"/>
        <v>#NAME?</v>
      </c>
      <c r="F11" s="46" t="e">
        <f ca="1"/>
        <v>#NAME?</v>
      </c>
      <c r="G11" s="46" t="e">
        <f ca="1"/>
        <v>#NAME?</v>
      </c>
      <c r="P11" s="46" t="e">
        <f ca="1">1430*E11+435*F11+2412*G11</f>
        <v>#NAME?</v>
      </c>
      <c r="R11" s="46" t="e">
        <f ca="1"/>
        <v>#NAME?</v>
      </c>
    </row>
    <row r="12" spans="1:54">
      <c r="E12" s="46" t="e">
        <f ca="1"/>
        <v>#NAME?</v>
      </c>
      <c r="F12" s="46" t="e">
        <f ca="1"/>
        <v>#NAME?</v>
      </c>
      <c r="G12" s="46" t="e">
        <f ca="1"/>
        <v>#NAME?</v>
      </c>
      <c r="P12" s="46" t="e">
        <f ca="1">1430*E12+435*F12+2412*G12</f>
        <v>#NAME?</v>
      </c>
      <c r="R12" s="46" t="e">
        <f ca="1"/>
        <v>#NAME?</v>
      </c>
    </row>
    <row r="13" spans="1:54">
      <c r="E13" s="46" t="e">
        <f ca="1"/>
        <v>#NAME?</v>
      </c>
      <c r="F13" s="46" t="e">
        <f ca="1"/>
        <v>#NAME?</v>
      </c>
      <c r="G13" s="46" t="e">
        <f ca="1"/>
        <v>#NAME?</v>
      </c>
      <c r="P13" s="46" t="e">
        <f ca="1">1430*E13+435*F13+2412*G13</f>
        <v>#NAME?</v>
      </c>
      <c r="R13" s="46" t="e">
        <f ca="1"/>
        <v>#NAME?</v>
      </c>
    </row>
    <row r="14" spans="1:54">
      <c r="E14" s="46" t="e">
        <f ca="1"/>
        <v>#NAME?</v>
      </c>
      <c r="F14" s="46" t="e">
        <f ca="1"/>
        <v>#NAME?</v>
      </c>
      <c r="G14" s="46" t="e">
        <f ca="1"/>
        <v>#NAME?</v>
      </c>
      <c r="P14" s="46" t="e">
        <f ca="1">1430*E14+435*F14+2412*G14</f>
        <v>#NAME?</v>
      </c>
      <c r="R14" s="46" t="e">
        <f ca="1"/>
        <v>#NAME?</v>
      </c>
    </row>
    <row r="15" spans="1:54">
      <c r="E15" s="46" t="e">
        <f ca="1"/>
        <v>#NAME?</v>
      </c>
      <c r="F15" s="46" t="e">
        <f ca="1"/>
        <v>#NAME?</v>
      </c>
      <c r="G15" s="46" t="e">
        <f ca="1"/>
        <v>#NAME?</v>
      </c>
      <c r="P15" s="46" t="e">
        <f ca="1">1430*E15+435*F15+2412*G15</f>
        <v>#NAME?</v>
      </c>
      <c r="R15" s="46" t="e">
        <f ca="1"/>
        <v>#NAME?</v>
      </c>
    </row>
    <row r="16" spans="1:54">
      <c r="E16" s="46" t="e">
        <f ca="1"/>
        <v>#NAME?</v>
      </c>
      <c r="F16" s="46" t="e">
        <f ca="1"/>
        <v>#NAME?</v>
      </c>
      <c r="G16" s="46" t="e">
        <f ca="1"/>
        <v>#NAME?</v>
      </c>
      <c r="I16" s="52"/>
      <c r="J16" s="51"/>
      <c r="K16" s="50"/>
      <c r="P16" s="46" t="e">
        <f ca="1">1430*E16+435*F16+2412*G16</f>
        <v>#NAME?</v>
      </c>
      <c r="R16" s="46" t="e">
        <f ca="1"/>
        <v>#NAME?</v>
      </c>
    </row>
    <row r="17" spans="1:18">
      <c r="E17" s="46" t="e">
        <f ca="1"/>
        <v>#NAME?</v>
      </c>
      <c r="F17" s="46" t="e">
        <f ca="1"/>
        <v>#NAME?</v>
      </c>
      <c r="G17" s="46" t="e">
        <f ca="1"/>
        <v>#NAME?</v>
      </c>
      <c r="P17" s="46" t="e">
        <f ca="1">1430*E17+435*F17+2412*G17</f>
        <v>#NAME?</v>
      </c>
      <c r="R17" s="46" t="e">
        <f ca="1"/>
        <v>#NAME?</v>
      </c>
    </row>
    <row r="18" spans="1:18">
      <c r="E18" s="46" t="e">
        <f ca="1"/>
        <v>#NAME?</v>
      </c>
      <c r="F18" s="46" t="e">
        <f ca="1"/>
        <v>#NAME?</v>
      </c>
      <c r="G18" s="46" t="e">
        <f ca="1"/>
        <v>#NAME?</v>
      </c>
      <c r="P18" s="46" t="e">
        <f ca="1">1430*E18+435*F18+2412*G18</f>
        <v>#NAME?</v>
      </c>
      <c r="R18" s="46" t="e">
        <f ca="1"/>
        <v>#NAME?</v>
      </c>
    </row>
    <row r="19" spans="1:18">
      <c r="E19" s="46" t="e">
        <f ca="1"/>
        <v>#NAME?</v>
      </c>
      <c r="F19" s="46" t="e">
        <f ca="1"/>
        <v>#NAME?</v>
      </c>
      <c r="G19" s="46" t="e">
        <f ca="1"/>
        <v>#NAME?</v>
      </c>
      <c r="P19" s="46" t="e">
        <f ca="1">1430*E19+435*F19+2412*G19</f>
        <v>#NAME?</v>
      </c>
      <c r="R19" s="46" t="e">
        <f ca="1"/>
        <v>#NAME?</v>
      </c>
    </row>
    <row r="20" spans="1:18">
      <c r="E20" s="46" t="e">
        <f ca="1"/>
        <v>#NAME?</v>
      </c>
      <c r="F20" s="46" t="e">
        <f ca="1"/>
        <v>#NAME?</v>
      </c>
      <c r="G20" s="46" t="e">
        <f ca="1"/>
        <v>#NAME?</v>
      </c>
      <c r="P20" s="46" t="e">
        <f ca="1">1430*E20+435*F20+2412*G20</f>
        <v>#NAME?</v>
      </c>
      <c r="R20" s="46" t="e">
        <f ca="1"/>
        <v>#NAME?</v>
      </c>
    </row>
    <row r="21" spans="1:18">
      <c r="E21" s="46" t="e">
        <f ca="1"/>
        <v>#NAME?</v>
      </c>
      <c r="F21" s="46" t="e">
        <f ca="1"/>
        <v>#NAME?</v>
      </c>
      <c r="G21" s="46" t="e">
        <f ca="1"/>
        <v>#NAME?</v>
      </c>
      <c r="P21" s="46" t="e">
        <f ca="1">1430*E21+435*F21+2412*G21</f>
        <v>#NAME?</v>
      </c>
      <c r="R21" s="46" t="e">
        <f ca="1"/>
        <v>#NAME?</v>
      </c>
    </row>
    <row r="22" spans="1:18">
      <c r="E22" s="46" t="e">
        <f ca="1"/>
        <v>#NAME?</v>
      </c>
      <c r="F22" s="46" t="e">
        <f ca="1"/>
        <v>#NAME?</v>
      </c>
      <c r="G22" s="46" t="e">
        <f ca="1"/>
        <v>#NAME?</v>
      </c>
      <c r="P22" s="46" t="e">
        <f ca="1">1430*E22+435*F22+2412*G22</f>
        <v>#NAME?</v>
      </c>
      <c r="R22" s="46" t="e">
        <f ca="1"/>
        <v>#NAME?</v>
      </c>
    </row>
    <row r="23" spans="1:18">
      <c r="E23" s="46" t="e">
        <f ca="1"/>
        <v>#NAME?</v>
      </c>
      <c r="F23" s="46" t="e">
        <f ca="1"/>
        <v>#NAME?</v>
      </c>
      <c r="G23" s="46" t="e">
        <f ca="1"/>
        <v>#NAME?</v>
      </c>
      <c r="P23" s="46" t="e">
        <f ca="1">1430*E23+435*F23+2412*G23</f>
        <v>#NAME?</v>
      </c>
      <c r="R23" s="46" t="e">
        <f ca="1"/>
        <v>#NAME?</v>
      </c>
    </row>
    <row r="24" spans="1:18">
      <c r="A24" s="49"/>
      <c r="E24" s="46" t="e">
        <f ca="1"/>
        <v>#NAME?</v>
      </c>
      <c r="F24" s="46" t="e">
        <f ca="1"/>
        <v>#NAME?</v>
      </c>
      <c r="G24" s="46" t="e">
        <f ca="1"/>
        <v>#NAME?</v>
      </c>
      <c r="P24" s="46" t="e">
        <f ca="1">1430*E24+435*F24+2412*G24</f>
        <v>#NAME?</v>
      </c>
      <c r="R24" s="46" t="e">
        <f ca="1"/>
        <v>#NAME?</v>
      </c>
    </row>
    <row r="25" spans="1:18">
      <c r="E25" s="46" t="e">
        <f ca="1"/>
        <v>#NAME?</v>
      </c>
      <c r="F25" s="46" t="e">
        <f ca="1"/>
        <v>#NAME?</v>
      </c>
      <c r="G25" s="46" t="e">
        <f ca="1"/>
        <v>#NAME?</v>
      </c>
      <c r="P25" s="46" t="e">
        <f ca="1">1430*E25+435*F25+2412*G25</f>
        <v>#NAME?</v>
      </c>
      <c r="R25" s="46" t="e">
        <f ca="1"/>
        <v>#NAME?</v>
      </c>
    </row>
    <row r="26" spans="1:18">
      <c r="E26" s="46" t="e">
        <f ca="1"/>
        <v>#NAME?</v>
      </c>
      <c r="F26" s="46" t="e">
        <f ca="1"/>
        <v>#NAME?</v>
      </c>
      <c r="G26" s="46" t="e">
        <f ca="1"/>
        <v>#NAME?</v>
      </c>
      <c r="P26" s="46" t="e">
        <f ca="1">1430*E26+435*F26+2412*G26</f>
        <v>#NAME?</v>
      </c>
      <c r="R26" s="46" t="e">
        <f ca="1"/>
        <v>#NAME?</v>
      </c>
    </row>
    <row r="27" spans="1:18">
      <c r="E27" s="46" t="e">
        <f ca="1"/>
        <v>#NAME?</v>
      </c>
      <c r="F27" s="46" t="e">
        <f ca="1"/>
        <v>#NAME?</v>
      </c>
      <c r="G27" s="46" t="e">
        <f ca="1"/>
        <v>#NAME?</v>
      </c>
      <c r="P27" s="46" t="e">
        <f ca="1">1430*E27+435*F27+2412*G27</f>
        <v>#NAME?</v>
      </c>
      <c r="R27" s="46" t="e">
        <f ca="1"/>
        <v>#NAME?</v>
      </c>
    </row>
    <row r="28" spans="1:18">
      <c r="E28" s="46" t="e">
        <f ca="1"/>
        <v>#NAME?</v>
      </c>
      <c r="F28" s="46" t="e">
        <f ca="1"/>
        <v>#NAME?</v>
      </c>
      <c r="G28" s="46" t="e">
        <f ca="1"/>
        <v>#NAME?</v>
      </c>
      <c r="P28" s="46" t="e">
        <f ca="1">1430*E28+435*F28+2412*G28</f>
        <v>#NAME?</v>
      </c>
      <c r="R28" s="46" t="e">
        <f ca="1"/>
        <v>#NAME?</v>
      </c>
    </row>
    <row r="29" spans="1:18">
      <c r="E29" s="46" t="e">
        <f ca="1"/>
        <v>#NAME?</v>
      </c>
      <c r="F29" s="46" t="e">
        <f ca="1"/>
        <v>#NAME?</v>
      </c>
      <c r="G29" s="46" t="e">
        <f ca="1"/>
        <v>#NAME?</v>
      </c>
      <c r="P29" s="46" t="e">
        <f ca="1">1430*E29+435*F29+2412*G29</f>
        <v>#NAME?</v>
      </c>
      <c r="R29" s="46" t="e">
        <f ca="1"/>
        <v>#NAME?</v>
      </c>
    </row>
    <row r="30" spans="1:18">
      <c r="E30" s="46" t="e">
        <f ca="1"/>
        <v>#NAME?</v>
      </c>
      <c r="F30" s="46" t="e">
        <f ca="1"/>
        <v>#NAME?</v>
      </c>
      <c r="G30" s="46" t="e">
        <f ca="1"/>
        <v>#NAME?</v>
      </c>
      <c r="P30" s="46" t="e">
        <f ca="1">1430*E30+435*F30+2412*G30</f>
        <v>#NAME?</v>
      </c>
      <c r="R30" s="46" t="e">
        <f ca="1"/>
        <v>#NAME?</v>
      </c>
    </row>
    <row r="31" spans="1:18">
      <c r="E31" s="46" t="e">
        <f ca="1"/>
        <v>#NAME?</v>
      </c>
      <c r="F31" s="46" t="e">
        <f ca="1"/>
        <v>#NAME?</v>
      </c>
      <c r="G31" s="46" t="e">
        <f ca="1"/>
        <v>#NAME?</v>
      </c>
      <c r="P31" s="46" t="e">
        <f ca="1">1430*E31+435*F31+2412*G31</f>
        <v>#NAME?</v>
      </c>
      <c r="R31" s="46" t="e">
        <f ca="1"/>
        <v>#NAME?</v>
      </c>
    </row>
    <row r="32" spans="1:18">
      <c r="E32" s="46" t="e">
        <f ca="1"/>
        <v>#NAME?</v>
      </c>
      <c r="F32" s="46" t="e">
        <f ca="1"/>
        <v>#NAME?</v>
      </c>
      <c r="G32" s="46" t="e">
        <f ca="1"/>
        <v>#NAME?</v>
      </c>
      <c r="P32" s="46" t="e">
        <f ca="1">1430*E32+435*F32+2412*G32</f>
        <v>#NAME?</v>
      </c>
      <c r="R32" s="46" t="e">
        <f ca="1"/>
        <v>#NAME?</v>
      </c>
    </row>
    <row r="33" spans="1:18">
      <c r="E33" s="46" t="e">
        <f ca="1"/>
        <v>#NAME?</v>
      </c>
      <c r="F33" s="46" t="e">
        <f ca="1"/>
        <v>#NAME?</v>
      </c>
      <c r="G33" s="46" t="e">
        <f ca="1"/>
        <v>#NAME?</v>
      </c>
      <c r="P33" s="46" t="e">
        <f ca="1">1430*E33+435*F33+2412*G33</f>
        <v>#NAME?</v>
      </c>
      <c r="R33" s="46" t="e">
        <f ca="1"/>
        <v>#NAME?</v>
      </c>
    </row>
    <row r="34" spans="1:18">
      <c r="E34" s="46" t="e">
        <f ca="1"/>
        <v>#NAME?</v>
      </c>
      <c r="F34" s="46" t="e">
        <f ca="1"/>
        <v>#NAME?</v>
      </c>
      <c r="G34" s="46" t="e">
        <f ca="1"/>
        <v>#NAME?</v>
      </c>
      <c r="P34" s="46" t="e">
        <f ca="1">1430*E34+435*F34+2412*G34</f>
        <v>#NAME?</v>
      </c>
      <c r="R34" s="46" t="e">
        <f ca="1"/>
        <v>#NAME?</v>
      </c>
    </row>
    <row r="35" spans="1:18">
      <c r="E35" s="46" t="e">
        <f ca="1"/>
        <v>#NAME?</v>
      </c>
      <c r="F35" s="46" t="e">
        <f ca="1"/>
        <v>#NAME?</v>
      </c>
      <c r="G35" s="46" t="e">
        <f ca="1"/>
        <v>#NAME?</v>
      </c>
      <c r="P35" s="46" t="e">
        <f ca="1">1430*E35+435*F35+2412*G35</f>
        <v>#NAME?</v>
      </c>
      <c r="R35" s="46" t="e">
        <f ca="1"/>
        <v>#NAME?</v>
      </c>
    </row>
    <row r="36" spans="1:18">
      <c r="E36" s="46" t="e">
        <f ca="1"/>
        <v>#NAME?</v>
      </c>
      <c r="F36" s="46" t="e">
        <f ca="1"/>
        <v>#NAME?</v>
      </c>
      <c r="G36" s="46" t="e">
        <f ca="1"/>
        <v>#NAME?</v>
      </c>
      <c r="P36" s="46" t="e">
        <f ca="1">1430*E36+435*F36+2412*G36</f>
        <v>#NAME?</v>
      </c>
      <c r="R36" s="46" t="e">
        <f ca="1"/>
        <v>#NAME?</v>
      </c>
    </row>
    <row r="37" spans="1:18">
      <c r="E37" s="46" t="e">
        <f ca="1"/>
        <v>#NAME?</v>
      </c>
      <c r="F37" s="46" t="e">
        <f ca="1"/>
        <v>#NAME?</v>
      </c>
      <c r="G37" s="46" t="e">
        <f ca="1"/>
        <v>#NAME?</v>
      </c>
      <c r="P37" s="46" t="e">
        <f ca="1">1430*E37+435*F37+2412*G37</f>
        <v>#NAME?</v>
      </c>
      <c r="R37" s="46" t="e">
        <f ca="1"/>
        <v>#NAME?</v>
      </c>
    </row>
    <row r="38" spans="1:18">
      <c r="E38" s="46" t="e">
        <f ca="1"/>
        <v>#NAME?</v>
      </c>
      <c r="F38" s="46" t="e">
        <f ca="1"/>
        <v>#NAME?</v>
      </c>
      <c r="G38" s="46" t="e">
        <f ca="1"/>
        <v>#NAME?</v>
      </c>
      <c r="P38" s="46" t="e">
        <f ca="1">1430*E38+435*F38+2412*G38</f>
        <v>#NAME?</v>
      </c>
      <c r="R38" s="46" t="e">
        <f ca="1"/>
        <v>#NAME?</v>
      </c>
    </row>
    <row r="39" spans="1:18">
      <c r="E39" s="46" t="e">
        <f ca="1"/>
        <v>#NAME?</v>
      </c>
      <c r="F39" s="46" t="e">
        <f ca="1"/>
        <v>#NAME?</v>
      </c>
      <c r="G39" s="46" t="e">
        <f ca="1"/>
        <v>#NAME?</v>
      </c>
      <c r="P39" s="46" t="e">
        <f ca="1">1430*E39+435*F39+2412*G39</f>
        <v>#NAME?</v>
      </c>
      <c r="R39" s="46" t="e">
        <f ca="1"/>
        <v>#NAME?</v>
      </c>
    </row>
    <row r="40" spans="1:18">
      <c r="A40" s="49"/>
      <c r="E40" s="46" t="e">
        <f ca="1"/>
        <v>#NAME?</v>
      </c>
      <c r="F40" s="46" t="e">
        <f ca="1"/>
        <v>#NAME?</v>
      </c>
      <c r="G40" s="46" t="e">
        <f ca="1"/>
        <v>#NAME?</v>
      </c>
      <c r="P40" s="46" t="e">
        <f ca="1">1430*E40+435*F40+2412*G40</f>
        <v>#NAME?</v>
      </c>
      <c r="R40" s="46" t="e">
        <f ca="1"/>
        <v>#NAME?</v>
      </c>
    </row>
    <row r="41" spans="1:18">
      <c r="E41" s="46" t="e">
        <f ca="1"/>
        <v>#NAME?</v>
      </c>
      <c r="F41" s="46" t="e">
        <f ca="1"/>
        <v>#NAME?</v>
      </c>
      <c r="G41" s="46" t="e">
        <f ca="1"/>
        <v>#NAME?</v>
      </c>
      <c r="P41" s="46" t="e">
        <f ca="1">1430*E41+435*F41+2412*G41</f>
        <v>#NAME?</v>
      </c>
      <c r="R41" s="46" t="e">
        <f ca="1"/>
        <v>#NAME?</v>
      </c>
    </row>
    <row r="42" spans="1:18">
      <c r="E42" s="46" t="e">
        <f ca="1"/>
        <v>#NAME?</v>
      </c>
      <c r="F42" s="46" t="e">
        <f ca="1"/>
        <v>#NAME?</v>
      </c>
      <c r="G42" s="46" t="e">
        <f ca="1"/>
        <v>#NAME?</v>
      </c>
      <c r="P42" s="46" t="e">
        <f ca="1">1430*E42+435*F42+2412*G42</f>
        <v>#NAME?</v>
      </c>
      <c r="R42" s="46" t="e">
        <f ca="1"/>
        <v>#NAME?</v>
      </c>
    </row>
    <row r="43" spans="1:18">
      <c r="E43" s="46" t="e">
        <f ca="1"/>
        <v>#NAME?</v>
      </c>
      <c r="F43" s="46" t="e">
        <f ca="1"/>
        <v>#NAME?</v>
      </c>
      <c r="G43" s="46" t="e">
        <f ca="1"/>
        <v>#NAME?</v>
      </c>
      <c r="P43" s="46" t="e">
        <f ca="1">1430*E43+435*F43+2412*G43</f>
        <v>#NAME?</v>
      </c>
      <c r="R43" s="46" t="e">
        <f ca="1"/>
        <v>#NAME?</v>
      </c>
    </row>
    <row r="44" spans="1:18">
      <c r="E44" s="46" t="e">
        <f ca="1"/>
        <v>#NAME?</v>
      </c>
      <c r="F44" s="46" t="e">
        <f ca="1"/>
        <v>#NAME?</v>
      </c>
      <c r="G44" s="46" t="e">
        <f ca="1"/>
        <v>#NAME?</v>
      </c>
      <c r="P44" s="46" t="e">
        <f ca="1">1430*E44+435*F44+2412*G44</f>
        <v>#NAME?</v>
      </c>
      <c r="R44" s="46" t="e">
        <f ca="1"/>
        <v>#NAME?</v>
      </c>
    </row>
    <row r="45" spans="1:18">
      <c r="E45" s="46" t="e">
        <f ca="1"/>
        <v>#NAME?</v>
      </c>
      <c r="F45" s="46" t="e">
        <f ca="1"/>
        <v>#NAME?</v>
      </c>
      <c r="G45" s="46" t="e">
        <f ca="1"/>
        <v>#NAME?</v>
      </c>
      <c r="P45" s="46" t="e">
        <f ca="1">1430*E45+435*F45+2412*G45</f>
        <v>#NAME?</v>
      </c>
      <c r="R45" s="46" t="e">
        <f ca="1"/>
        <v>#NAME?</v>
      </c>
    </row>
    <row r="46" spans="1:18">
      <c r="E46" s="46" t="e">
        <f ca="1"/>
        <v>#NAME?</v>
      </c>
      <c r="F46" s="46" t="e">
        <f ca="1"/>
        <v>#NAME?</v>
      </c>
      <c r="G46" s="46" t="e">
        <f ca="1"/>
        <v>#NAME?</v>
      </c>
      <c r="P46" s="46" t="e">
        <f ca="1">1430*E46+435*F46+2412*G46</f>
        <v>#NAME?</v>
      </c>
      <c r="R46" s="46" t="e">
        <f ca="1"/>
        <v>#NAME?</v>
      </c>
    </row>
    <row r="47" spans="1:18">
      <c r="E47" s="46" t="e">
        <f ca="1"/>
        <v>#NAME?</v>
      </c>
      <c r="F47" s="46" t="e">
        <f ca="1"/>
        <v>#NAME?</v>
      </c>
      <c r="G47" s="46" t="e">
        <f ca="1"/>
        <v>#NAME?</v>
      </c>
      <c r="P47" s="46" t="e">
        <f ca="1">1430*E47+435*F47+2412*G47</f>
        <v>#NAME?</v>
      </c>
      <c r="R47" s="46" t="e">
        <f ca="1"/>
        <v>#NAME?</v>
      </c>
    </row>
    <row r="48" spans="1:18">
      <c r="E48" s="46" t="e">
        <f ca="1"/>
        <v>#NAME?</v>
      </c>
      <c r="F48" s="46" t="e">
        <f ca="1"/>
        <v>#NAME?</v>
      </c>
      <c r="G48" s="46" t="e">
        <f ca="1"/>
        <v>#NAME?</v>
      </c>
      <c r="P48" s="46" t="e">
        <f ca="1">1430*E48+435*F48+2412*G48</f>
        <v>#NAME?</v>
      </c>
      <c r="R48" s="46" t="e">
        <f ca="1"/>
        <v>#NAME?</v>
      </c>
    </row>
    <row r="49" spans="1:18">
      <c r="E49" s="46" t="e">
        <f ca="1"/>
        <v>#NAME?</v>
      </c>
      <c r="F49" s="46" t="e">
        <f ca="1"/>
        <v>#NAME?</v>
      </c>
      <c r="G49" s="46" t="e">
        <f ca="1"/>
        <v>#NAME?</v>
      </c>
      <c r="P49" s="46" t="e">
        <f ca="1">1430*E49+435*F49+2412*G49</f>
        <v>#NAME?</v>
      </c>
      <c r="R49" s="46" t="e">
        <f ca="1"/>
        <v>#NAME?</v>
      </c>
    </row>
    <row r="50" spans="1:18">
      <c r="E50" s="46" t="e">
        <f ca="1"/>
        <v>#NAME?</v>
      </c>
      <c r="F50" s="46" t="e">
        <f ca="1"/>
        <v>#NAME?</v>
      </c>
      <c r="G50" s="46" t="e">
        <f ca="1"/>
        <v>#NAME?</v>
      </c>
      <c r="P50" s="46" t="e">
        <f ca="1">1430*E50+435*F50+2412*G50</f>
        <v>#NAME?</v>
      </c>
      <c r="R50" s="46" t="e">
        <f ca="1"/>
        <v>#NAME?</v>
      </c>
    </row>
    <row r="51" spans="1:18">
      <c r="A51" s="48"/>
      <c r="E51" s="46" t="e">
        <f ca="1"/>
        <v>#NAME?</v>
      </c>
      <c r="F51" s="46" t="e">
        <f ca="1"/>
        <v>#NAME?</v>
      </c>
      <c r="G51" s="46" t="e">
        <f ca="1"/>
        <v>#NAME?</v>
      </c>
      <c r="P51" s="46" t="e">
        <f ca="1">1430*E51+435*F51+2412*G51</f>
        <v>#NAME?</v>
      </c>
      <c r="R51" s="46" t="e">
        <f ca="1"/>
        <v>#NAME?</v>
      </c>
    </row>
    <row r="52" spans="1:18">
      <c r="E52" s="46" t="e">
        <f ca="1"/>
        <v>#NAME?</v>
      </c>
      <c r="F52" s="46" t="e">
        <f ca="1"/>
        <v>#NAME?</v>
      </c>
      <c r="G52" s="46" t="e">
        <f ca="1"/>
        <v>#NAME?</v>
      </c>
      <c r="P52" s="46" t="e">
        <f ca="1">1430*E52+435*F52+2412*G52</f>
        <v>#NAME?</v>
      </c>
      <c r="R52" s="46" t="e">
        <f ca="1"/>
        <v>#NAME?</v>
      </c>
    </row>
    <row r="53" spans="1:18">
      <c r="E53" s="46" t="e">
        <f ca="1"/>
        <v>#NAME?</v>
      </c>
      <c r="F53" s="46" t="e">
        <f ca="1"/>
        <v>#NAME?</v>
      </c>
      <c r="G53" s="46" t="e">
        <f ca="1"/>
        <v>#NAME?</v>
      </c>
      <c r="P53" s="46" t="e">
        <f ca="1">1430*E53+435*F53+2412*G53</f>
        <v>#NAME?</v>
      </c>
      <c r="R53" s="46" t="e">
        <f ca="1"/>
        <v>#NAME?</v>
      </c>
    </row>
    <row r="54" spans="1:18">
      <c r="E54" s="46" t="e">
        <f ca="1"/>
        <v>#NAME?</v>
      </c>
      <c r="F54" s="46" t="e">
        <f ca="1"/>
        <v>#NAME?</v>
      </c>
      <c r="G54" s="46" t="e">
        <f ca="1"/>
        <v>#NAME?</v>
      </c>
      <c r="P54" s="46" t="e">
        <f ca="1">1430*E54+435*F54+2412*G54</f>
        <v>#NAME?</v>
      </c>
      <c r="R54" s="46" t="e">
        <f ca="1"/>
        <v>#NAME?</v>
      </c>
    </row>
    <row r="55" spans="1:18">
      <c r="E55" s="46" t="e">
        <f ca="1"/>
        <v>#NAME?</v>
      </c>
      <c r="F55" s="46" t="e">
        <f ca="1"/>
        <v>#NAME?</v>
      </c>
      <c r="G55" s="46" t="e">
        <f ca="1"/>
        <v>#NAME?</v>
      </c>
      <c r="P55" s="46" t="e">
        <f ca="1">1430*E55+435*F55+2412*G55</f>
        <v>#NAME?</v>
      </c>
      <c r="R55" s="46" t="e">
        <f ca="1"/>
        <v>#NAME?</v>
      </c>
    </row>
    <row r="56" spans="1:18">
      <c r="E56" s="46" t="e">
        <f ca="1"/>
        <v>#NAME?</v>
      </c>
      <c r="F56" s="46" t="e">
        <f ca="1"/>
        <v>#NAME?</v>
      </c>
      <c r="G56" s="46" t="e">
        <f ca="1"/>
        <v>#NAME?</v>
      </c>
      <c r="P56" s="46" t="e">
        <f ca="1">1430*E56+435*F56+2412*G56</f>
        <v>#NAME?</v>
      </c>
      <c r="R56" s="46" t="e">
        <f ca="1"/>
        <v>#NAME?</v>
      </c>
    </row>
    <row r="57" spans="1:18">
      <c r="E57" s="46" t="e">
        <f ca="1"/>
        <v>#NAME?</v>
      </c>
      <c r="F57" s="46" t="e">
        <f ca="1"/>
        <v>#NAME?</v>
      </c>
      <c r="G57" s="46" t="e">
        <f ca="1"/>
        <v>#NAME?</v>
      </c>
      <c r="P57" s="46" t="e">
        <f ca="1">1430*E57+435*F57+2412*G57</f>
        <v>#NAME?</v>
      </c>
      <c r="R57" s="46" t="e">
        <f ca="1"/>
        <v>#NAME?</v>
      </c>
    </row>
    <row r="58" spans="1:18">
      <c r="E58" s="46" t="e">
        <f ca="1"/>
        <v>#NAME?</v>
      </c>
      <c r="F58" s="46" t="e">
        <f ca="1"/>
        <v>#NAME?</v>
      </c>
      <c r="G58" s="46" t="e">
        <f ca="1"/>
        <v>#NAME?</v>
      </c>
      <c r="P58" s="46" t="e">
        <f ca="1">1430*E58+435*F58+2412*G58</f>
        <v>#NAME?</v>
      </c>
      <c r="R58" s="46" t="e">
        <f ca="1"/>
        <v>#NAME?</v>
      </c>
    </row>
    <row r="59" spans="1:18">
      <c r="E59" s="46" t="e">
        <f ca="1"/>
        <v>#NAME?</v>
      </c>
      <c r="F59" s="46" t="e">
        <f ca="1"/>
        <v>#NAME?</v>
      </c>
      <c r="G59" s="46" t="e">
        <f ca="1"/>
        <v>#NAME?</v>
      </c>
      <c r="P59" s="46" t="e">
        <f ca="1">1430*E59+435*F59+2412*G59</f>
        <v>#NAME?</v>
      </c>
      <c r="R59" s="46" t="e">
        <f ca="1"/>
        <v>#NAME?</v>
      </c>
    </row>
    <row r="60" spans="1:18">
      <c r="E60" s="46" t="e">
        <f ca="1"/>
        <v>#NAME?</v>
      </c>
      <c r="F60" s="46" t="e">
        <f ca="1"/>
        <v>#NAME?</v>
      </c>
      <c r="G60" s="46" t="e">
        <f ca="1"/>
        <v>#NAME?</v>
      </c>
      <c r="P60" s="46" t="e">
        <f ca="1">1430*E60+435*F60+2412*G60</f>
        <v>#NAME?</v>
      </c>
      <c r="R60" s="46" t="e">
        <f ca="1"/>
        <v>#NAME?</v>
      </c>
    </row>
    <row r="61" spans="1:18">
      <c r="E61" s="46" t="e">
        <f ca="1"/>
        <v>#NAME?</v>
      </c>
      <c r="F61" s="46" t="e">
        <f ca="1"/>
        <v>#NAME?</v>
      </c>
      <c r="G61" s="46" t="e">
        <f ca="1"/>
        <v>#NAME?</v>
      </c>
      <c r="P61" s="46" t="e">
        <f ca="1">1430*E61+435*F61+2412*G61</f>
        <v>#NAME?</v>
      </c>
      <c r="R61" s="46" t="e">
        <f ca="1"/>
        <v>#NAME?</v>
      </c>
    </row>
    <row r="62" spans="1:18">
      <c r="E62" s="46" t="e">
        <f ca="1"/>
        <v>#NAME?</v>
      </c>
      <c r="F62" s="46" t="e">
        <f ca="1"/>
        <v>#NAME?</v>
      </c>
      <c r="G62" s="46" t="e">
        <f ca="1"/>
        <v>#NAME?</v>
      </c>
      <c r="P62" s="46" t="e">
        <f ca="1">1430*E62+435*F62+2412*G62</f>
        <v>#NAME?</v>
      </c>
      <c r="R62" s="46" t="e">
        <f ca="1"/>
        <v>#NAME?</v>
      </c>
    </row>
    <row r="63" spans="1:18">
      <c r="E63" s="46" t="e">
        <f ca="1"/>
        <v>#NAME?</v>
      </c>
      <c r="F63" s="46" t="e">
        <f ca="1"/>
        <v>#NAME?</v>
      </c>
      <c r="G63" s="46" t="e">
        <f ca="1"/>
        <v>#NAME?</v>
      </c>
      <c r="P63" s="46" t="e">
        <f ca="1">1430*E63+435*F63+2412*G63</f>
        <v>#NAME?</v>
      </c>
      <c r="R63" s="46" t="e">
        <f ca="1"/>
        <v>#NAME?</v>
      </c>
    </row>
    <row r="64" spans="1:18">
      <c r="E64" s="46" t="e">
        <f ca="1"/>
        <v>#NAME?</v>
      </c>
      <c r="F64" s="46" t="e">
        <f ca="1"/>
        <v>#NAME?</v>
      </c>
      <c r="G64" s="46" t="e">
        <f ca="1"/>
        <v>#NAME?</v>
      </c>
      <c r="P64" s="46" t="e">
        <f ca="1">1430*E64+435*F64+2412*G64</f>
        <v>#NAME?</v>
      </c>
      <c r="R64" s="46" t="e">
        <f ca="1"/>
        <v>#NAME?</v>
      </c>
    </row>
    <row r="65" spans="5:18">
      <c r="E65" s="46" t="e">
        <f ca="1"/>
        <v>#NAME?</v>
      </c>
      <c r="F65" s="46" t="e">
        <f ca="1"/>
        <v>#NAME?</v>
      </c>
      <c r="G65" s="46" t="e">
        <f ca="1"/>
        <v>#NAME?</v>
      </c>
      <c r="P65" s="46" t="e">
        <f ca="1">1430*E65+435*F65+2412*G65</f>
        <v>#NAME?</v>
      </c>
      <c r="R65" s="46" t="e">
        <f ca="1"/>
        <v>#NAME?</v>
      </c>
    </row>
    <row r="66" spans="5:18">
      <c r="E66" s="46" t="e">
        <f ca="1"/>
        <v>#NAME?</v>
      </c>
      <c r="F66" s="46" t="e">
        <f ca="1"/>
        <v>#NAME?</v>
      </c>
      <c r="G66" s="46" t="e">
        <f ca="1"/>
        <v>#NAME?</v>
      </c>
      <c r="P66" s="46" t="e">
        <f ca="1">1430*E66+435*F66+2412*G66</f>
        <v>#NAME?</v>
      </c>
      <c r="R66" s="46" t="e">
        <f ca="1"/>
        <v>#NAME?</v>
      </c>
    </row>
    <row r="67" spans="5:18">
      <c r="E67" s="46" t="e">
        <f ca="1"/>
        <v>#NAME?</v>
      </c>
      <c r="F67" s="46" t="e">
        <f ca="1"/>
        <v>#NAME?</v>
      </c>
      <c r="G67" s="46" t="e">
        <f ca="1"/>
        <v>#NAME?</v>
      </c>
      <c r="P67" s="46" t="e">
        <f ca="1">1430*E67+435*F67+2412*G67</f>
        <v>#NAME?</v>
      </c>
      <c r="R67" s="46" t="e">
        <f ca="1"/>
        <v>#NAME?</v>
      </c>
    </row>
    <row r="68" spans="5:18">
      <c r="E68" s="46" t="e">
        <f ca="1"/>
        <v>#NAME?</v>
      </c>
      <c r="F68" s="46" t="e">
        <f ca="1"/>
        <v>#NAME?</v>
      </c>
      <c r="G68" s="46" t="e">
        <f ca="1"/>
        <v>#NAME?</v>
      </c>
      <c r="P68" s="46" t="e">
        <f ca="1">1430*E68+435*F68+2412*G68</f>
        <v>#NAME?</v>
      </c>
      <c r="R68" s="46" t="e">
        <f ca="1"/>
        <v>#NAME?</v>
      </c>
    </row>
    <row r="69" spans="5:18">
      <c r="E69" s="46" t="e">
        <f ca="1"/>
        <v>#NAME?</v>
      </c>
      <c r="F69" s="46" t="e">
        <f ca="1"/>
        <v>#NAME?</v>
      </c>
      <c r="G69" s="46" t="e">
        <f ca="1"/>
        <v>#NAME?</v>
      </c>
      <c r="P69" s="46" t="e">
        <f ca="1">1430*E69+435*F69+2412*G69</f>
        <v>#NAME?</v>
      </c>
      <c r="R69" s="46" t="e">
        <f ca="1"/>
        <v>#NAME?</v>
      </c>
    </row>
    <row r="70" spans="5:18">
      <c r="E70" s="46" t="e">
        <f ca="1"/>
        <v>#NAME?</v>
      </c>
      <c r="F70" s="46" t="e">
        <f ca="1"/>
        <v>#NAME?</v>
      </c>
      <c r="G70" s="46" t="e">
        <f ca="1"/>
        <v>#NAME?</v>
      </c>
      <c r="P70" s="46" t="e">
        <f ca="1">1430*E70+435*F70+2412*G70</f>
        <v>#NAME?</v>
      </c>
      <c r="R70" s="46" t="e">
        <f ca="1"/>
        <v>#NAME?</v>
      </c>
    </row>
    <row r="71" spans="5:18">
      <c r="E71" s="46" t="e">
        <f ca="1"/>
        <v>#NAME?</v>
      </c>
      <c r="F71" s="46" t="e">
        <f ca="1"/>
        <v>#NAME?</v>
      </c>
      <c r="G71" s="46" t="e">
        <f ca="1"/>
        <v>#NAME?</v>
      </c>
      <c r="P71" s="46" t="e">
        <f ca="1">1430*E71+435*F71+2412*G71</f>
        <v>#NAME?</v>
      </c>
      <c r="R71" s="46" t="e">
        <f ca="1"/>
        <v>#NAME?</v>
      </c>
    </row>
    <row r="72" spans="5:18">
      <c r="E72" s="46" t="e">
        <f ca="1"/>
        <v>#NAME?</v>
      </c>
      <c r="F72" s="46" t="e">
        <f ca="1"/>
        <v>#NAME?</v>
      </c>
      <c r="G72" s="46" t="e">
        <f ca="1"/>
        <v>#NAME?</v>
      </c>
      <c r="P72" s="46" t="e">
        <f ca="1">1430*E72+435*F72+2412*G72</f>
        <v>#NAME?</v>
      </c>
      <c r="R72" s="46" t="e">
        <f ca="1"/>
        <v>#NAME?</v>
      </c>
    </row>
    <row r="73" spans="5:18">
      <c r="E73" s="46" t="e">
        <f ca="1"/>
        <v>#NAME?</v>
      </c>
      <c r="F73" s="46" t="e">
        <f ca="1"/>
        <v>#NAME?</v>
      </c>
      <c r="G73" s="46" t="e">
        <f ca="1"/>
        <v>#NAME?</v>
      </c>
      <c r="P73" s="46" t="e">
        <f ca="1">1430*E73+435*F73+2412*G73</f>
        <v>#NAME?</v>
      </c>
      <c r="R73" s="46" t="e">
        <f ca="1"/>
        <v>#NAME?</v>
      </c>
    </row>
    <row r="74" spans="5:18">
      <c r="E74" s="46" t="e">
        <f ca="1"/>
        <v>#NAME?</v>
      </c>
      <c r="F74" s="46" t="e">
        <f ca="1"/>
        <v>#NAME?</v>
      </c>
      <c r="G74" s="46" t="e">
        <f ca="1"/>
        <v>#NAME?</v>
      </c>
      <c r="P74" s="46" t="e">
        <f ca="1">1430*E74+435*F74+2412*G74</f>
        <v>#NAME?</v>
      </c>
      <c r="R74" s="46" t="e">
        <f ca="1"/>
        <v>#NAME?</v>
      </c>
    </row>
    <row r="75" spans="5:18">
      <c r="E75" s="46" t="e">
        <f ca="1"/>
        <v>#NAME?</v>
      </c>
      <c r="F75" s="46" t="e">
        <f ca="1"/>
        <v>#NAME?</v>
      </c>
      <c r="G75" s="46" t="e">
        <f ca="1"/>
        <v>#NAME?</v>
      </c>
      <c r="P75" s="46" t="e">
        <f ca="1">1430*E75+435*F75+2412*G75</f>
        <v>#NAME?</v>
      </c>
      <c r="R75" s="46" t="e">
        <f ca="1"/>
        <v>#NAME?</v>
      </c>
    </row>
    <row r="76" spans="5:18">
      <c r="E76" s="46" t="e">
        <f ca="1"/>
        <v>#NAME?</v>
      </c>
      <c r="F76" s="46" t="e">
        <f ca="1"/>
        <v>#NAME?</v>
      </c>
      <c r="G76" s="46" t="e">
        <f ca="1"/>
        <v>#NAME?</v>
      </c>
      <c r="P76" s="46" t="e">
        <f ca="1">1430*E76+435*F76+2412*G76</f>
        <v>#NAME?</v>
      </c>
      <c r="R76" s="46" t="e">
        <f ca="1"/>
        <v>#NAME?</v>
      </c>
    </row>
    <row r="77" spans="5:18">
      <c r="E77" s="46" t="e">
        <f ca="1"/>
        <v>#NAME?</v>
      </c>
      <c r="F77" s="46" t="e">
        <f ca="1"/>
        <v>#NAME?</v>
      </c>
      <c r="G77" s="46" t="e">
        <f ca="1"/>
        <v>#NAME?</v>
      </c>
      <c r="P77" s="46" t="e">
        <f ca="1">1430*E77+435*F77+2412*G77</f>
        <v>#NAME?</v>
      </c>
      <c r="R77" s="46" t="e">
        <f ca="1"/>
        <v>#NAME?</v>
      </c>
    </row>
    <row r="78" spans="5:18">
      <c r="E78" s="46" t="e">
        <f ca="1"/>
        <v>#NAME?</v>
      </c>
      <c r="F78" s="46" t="e">
        <f ca="1"/>
        <v>#NAME?</v>
      </c>
      <c r="G78" s="46" t="e">
        <f ca="1"/>
        <v>#NAME?</v>
      </c>
      <c r="P78" s="46" t="e">
        <f ca="1">1430*E78+435*F78+2412*G78</f>
        <v>#NAME?</v>
      </c>
      <c r="R78" s="46" t="e">
        <f ca="1"/>
        <v>#NAME?</v>
      </c>
    </row>
    <row r="79" spans="5:18">
      <c r="E79" s="46" t="e">
        <f ca="1"/>
        <v>#NAME?</v>
      </c>
      <c r="F79" s="46" t="e">
        <f ca="1"/>
        <v>#NAME?</v>
      </c>
      <c r="G79" s="46" t="e">
        <f ca="1"/>
        <v>#NAME?</v>
      </c>
      <c r="P79" s="46" t="e">
        <f ca="1">1430*E79+435*F79+2412*G79</f>
        <v>#NAME?</v>
      </c>
      <c r="R79" s="46" t="e">
        <f ca="1"/>
        <v>#NAME?</v>
      </c>
    </row>
    <row r="80" spans="5:18">
      <c r="E80" s="46" t="e">
        <f ca="1"/>
        <v>#NAME?</v>
      </c>
      <c r="F80" s="46" t="e">
        <f ca="1"/>
        <v>#NAME?</v>
      </c>
      <c r="G80" s="46" t="e">
        <f ca="1"/>
        <v>#NAME?</v>
      </c>
      <c r="P80" s="46" t="e">
        <f ca="1">1430*E80+435*F80+2412*G80</f>
        <v>#NAME?</v>
      </c>
      <c r="R80" s="46" t="e">
        <f ca="1"/>
        <v>#NAME?</v>
      </c>
    </row>
    <row r="81" spans="5:18">
      <c r="E81" s="46" t="e">
        <f ca="1"/>
        <v>#NAME?</v>
      </c>
      <c r="F81" s="46" t="e">
        <f ca="1"/>
        <v>#NAME?</v>
      </c>
      <c r="G81" s="46" t="e">
        <f ca="1"/>
        <v>#NAME?</v>
      </c>
      <c r="P81" s="46" t="e">
        <f ca="1">1430*E81+435*F81+2412*G81</f>
        <v>#NAME?</v>
      </c>
      <c r="R81" s="46" t="e">
        <f ca="1"/>
        <v>#NAME?</v>
      </c>
    </row>
    <row r="82" spans="5:18">
      <c r="E82" s="46" t="e">
        <f ca="1"/>
        <v>#NAME?</v>
      </c>
      <c r="F82" s="46" t="e">
        <f ca="1"/>
        <v>#NAME?</v>
      </c>
      <c r="G82" s="46" t="e">
        <f ca="1"/>
        <v>#NAME?</v>
      </c>
      <c r="P82" s="46" t="e">
        <f ca="1">1430*E82+435*F82+2412*G82</f>
        <v>#NAME?</v>
      </c>
      <c r="R82" s="46" t="e">
        <f ca="1"/>
        <v>#NAME?</v>
      </c>
    </row>
    <row r="83" spans="5:18">
      <c r="E83" s="46" t="e">
        <f ca="1"/>
        <v>#NAME?</v>
      </c>
      <c r="F83" s="46" t="e">
        <f ca="1"/>
        <v>#NAME?</v>
      </c>
      <c r="G83" s="46" t="e">
        <f ca="1"/>
        <v>#NAME?</v>
      </c>
      <c r="P83" s="46" t="e">
        <f ca="1">1430*E83+435*F83+2412*G83</f>
        <v>#NAME?</v>
      </c>
      <c r="R83" s="46" t="e">
        <f ca="1"/>
        <v>#NAME?</v>
      </c>
    </row>
    <row r="84" spans="5:18">
      <c r="E84" s="46" t="e">
        <f ca="1"/>
        <v>#NAME?</v>
      </c>
      <c r="F84" s="46" t="e">
        <f ca="1"/>
        <v>#NAME?</v>
      </c>
      <c r="G84" s="46" t="e">
        <f ca="1"/>
        <v>#NAME?</v>
      </c>
      <c r="P84" s="46" t="e">
        <f ca="1">1430*E84+435*F84+2412*G84</f>
        <v>#NAME?</v>
      </c>
      <c r="R84" s="46" t="e">
        <f ca="1"/>
        <v>#NAME?</v>
      </c>
    </row>
    <row r="85" spans="5:18">
      <c r="E85" s="46" t="e">
        <f ca="1"/>
        <v>#NAME?</v>
      </c>
      <c r="F85" s="46" t="e">
        <f ca="1"/>
        <v>#NAME?</v>
      </c>
      <c r="G85" s="46" t="e">
        <f ca="1"/>
        <v>#NAME?</v>
      </c>
      <c r="P85" s="46" t="e">
        <f ca="1">1430*E85+435*F85+2412*G85</f>
        <v>#NAME?</v>
      </c>
      <c r="R85" s="46" t="e">
        <f ca="1"/>
        <v>#NAME?</v>
      </c>
    </row>
    <row r="86" spans="5:18">
      <c r="E86" s="46" t="e">
        <f ca="1"/>
        <v>#NAME?</v>
      </c>
      <c r="F86" s="46" t="e">
        <f ca="1"/>
        <v>#NAME?</v>
      </c>
      <c r="G86" s="46" t="e">
        <f ca="1"/>
        <v>#NAME?</v>
      </c>
      <c r="P86" s="46" t="e">
        <f ca="1">1430*E86+435*F86+2412*G86</f>
        <v>#NAME?</v>
      </c>
      <c r="R86" s="46" t="e">
        <f ca="1"/>
        <v>#NAME?</v>
      </c>
    </row>
    <row r="87" spans="5:18">
      <c r="E87" s="46" t="e">
        <f ca="1"/>
        <v>#NAME?</v>
      </c>
      <c r="F87" s="46" t="e">
        <f ca="1"/>
        <v>#NAME?</v>
      </c>
      <c r="G87" s="46" t="e">
        <f ca="1"/>
        <v>#NAME?</v>
      </c>
      <c r="P87" s="46" t="e">
        <f ca="1">1430*E87+435*F87+2412*G87</f>
        <v>#NAME?</v>
      </c>
      <c r="R87" s="46" t="e">
        <f ca="1"/>
        <v>#NAME?</v>
      </c>
    </row>
    <row r="88" spans="5:18">
      <c r="E88" s="46" t="e">
        <f ca="1"/>
        <v>#NAME?</v>
      </c>
      <c r="F88" s="46" t="e">
        <f ca="1"/>
        <v>#NAME?</v>
      </c>
      <c r="G88" s="46" t="e">
        <f ca="1"/>
        <v>#NAME?</v>
      </c>
      <c r="P88" s="46" t="e">
        <f ca="1">1430*E88+435*F88+2412*G88</f>
        <v>#NAME?</v>
      </c>
      <c r="R88" s="46" t="e">
        <f ca="1"/>
        <v>#NAME?</v>
      </c>
    </row>
    <row r="89" spans="5:18">
      <c r="E89" s="46" t="e">
        <f ca="1"/>
        <v>#NAME?</v>
      </c>
      <c r="F89" s="46" t="e">
        <f ca="1"/>
        <v>#NAME?</v>
      </c>
      <c r="G89" s="46" t="e">
        <f ca="1"/>
        <v>#NAME?</v>
      </c>
      <c r="P89" s="46" t="e">
        <f ca="1">1430*E89+435*F89+2412*G89</f>
        <v>#NAME?</v>
      </c>
      <c r="R89" s="46" t="e">
        <f ca="1"/>
        <v>#NAME?</v>
      </c>
    </row>
    <row r="90" spans="5:18">
      <c r="E90" s="46" t="e">
        <f ca="1"/>
        <v>#NAME?</v>
      </c>
      <c r="F90" s="46" t="e">
        <f ca="1"/>
        <v>#NAME?</v>
      </c>
      <c r="G90" s="46" t="e">
        <f ca="1"/>
        <v>#NAME?</v>
      </c>
      <c r="P90" s="46" t="e">
        <f ca="1">1430*E90+435*F90+2412*G90</f>
        <v>#NAME?</v>
      </c>
      <c r="R90" s="46" t="e">
        <f ca="1"/>
        <v>#NAME?</v>
      </c>
    </row>
    <row r="91" spans="5:18">
      <c r="E91" s="46" t="e">
        <f ca="1"/>
        <v>#NAME?</v>
      </c>
      <c r="F91" s="46" t="e">
        <f ca="1"/>
        <v>#NAME?</v>
      </c>
      <c r="G91" s="46" t="e">
        <f ca="1"/>
        <v>#NAME?</v>
      </c>
      <c r="P91" s="46" t="e">
        <f ca="1">1430*E91+435*F91+2412*G91</f>
        <v>#NAME?</v>
      </c>
      <c r="R91" s="46" t="e">
        <f ca="1"/>
        <v>#NAME?</v>
      </c>
    </row>
    <row r="92" spans="5:18">
      <c r="E92" s="46" t="e">
        <f t="array" aca="1" ref="E92:G92" ca="1">MultivarXs(3, 500, A$3:C$5, A$7:A$9, B$7:B$9)</f>
        <v>#NAME?</v>
      </c>
      <c r="F92" s="46" t="e">
        <f ca="1"/>
        <v>#NAME?</v>
      </c>
      <c r="G92" s="46" t="e">
        <f ca="1"/>
        <v>#NAME?</v>
      </c>
      <c r="P92" s="46" t="e">
        <f ca="1">1430*E92+435*F92+2412*G92</f>
        <v>#NAME?</v>
      </c>
      <c r="R92" s="46" t="e">
        <f ca="1"/>
        <v>#NAME?</v>
      </c>
    </row>
    <row r="93" spans="5:18">
      <c r="E93" s="46" t="e">
        <f t="array" aca="1" ref="E93:G93" ca="1">MultivarXs(3, 500, A$3:C$5, A$7:A$9, B$7:B$9)</f>
        <v>#NAME?</v>
      </c>
      <c r="F93" s="46" t="e">
        <f ca="1"/>
        <v>#NAME?</v>
      </c>
      <c r="G93" s="46" t="e">
        <f ca="1"/>
        <v>#NAME?</v>
      </c>
      <c r="P93" s="46" t="e">
        <f ca="1">1430*E93+435*F93+2412*G93</f>
        <v>#NAME?</v>
      </c>
      <c r="R93" s="46" t="e">
        <f ca="1"/>
        <v>#NAME?</v>
      </c>
    </row>
    <row r="94" spans="5:18">
      <c r="E94" s="46" t="e">
        <f t="array" aca="1" ref="E94:G94" ca="1">MultivarXs(3, 500, A$3:C$5, A$7:A$9, B$7:B$9)</f>
        <v>#NAME?</v>
      </c>
      <c r="F94" s="46" t="e">
        <f ca="1"/>
        <v>#NAME?</v>
      </c>
      <c r="G94" s="46" t="e">
        <f ca="1"/>
        <v>#NAME?</v>
      </c>
      <c r="P94" s="46" t="e">
        <f ca="1">1430*E94+435*F94+2412*G94</f>
        <v>#NAME?</v>
      </c>
      <c r="R94" s="46" t="e">
        <f ca="1"/>
        <v>#NAME?</v>
      </c>
    </row>
    <row r="95" spans="5:18">
      <c r="E95" s="46" t="e">
        <f t="array" aca="1" ref="E95:G95" ca="1">MultivarXs(3, 500, A$3:C$5, A$7:A$9, B$7:B$9)</f>
        <v>#NAME?</v>
      </c>
      <c r="F95" s="46" t="e">
        <f ca="1"/>
        <v>#NAME?</v>
      </c>
      <c r="G95" s="46" t="e">
        <f ca="1"/>
        <v>#NAME?</v>
      </c>
      <c r="P95" s="46" t="e">
        <f ca="1">1430*E95+435*F95+2412*G95</f>
        <v>#NAME?</v>
      </c>
      <c r="R95" s="46" t="e">
        <f ca="1"/>
        <v>#NAME?</v>
      </c>
    </row>
    <row r="96" spans="5:18">
      <c r="E96" s="46" t="e">
        <f t="array" aca="1" ref="E96:G96" ca="1">MultivarXs(3, 500, A$3:C$5, A$7:A$9, B$7:B$9)</f>
        <v>#NAME?</v>
      </c>
      <c r="F96" s="46" t="e">
        <f ca="1"/>
        <v>#NAME?</v>
      </c>
      <c r="G96" s="46" t="e">
        <f ca="1"/>
        <v>#NAME?</v>
      </c>
      <c r="P96" s="46" t="e">
        <f ca="1">1430*E96+435*F96+2412*G96</f>
        <v>#NAME?</v>
      </c>
      <c r="R96" s="46" t="e">
        <f ca="1"/>
        <v>#NAME?</v>
      </c>
    </row>
    <row r="97" spans="4:18">
      <c r="E97" s="46" t="e">
        <f t="array" aca="1" ref="E97:G97" ca="1">MultivarXs(3, 500, A$3:C$5, A$7:A$9, B$7:B$9)</f>
        <v>#NAME?</v>
      </c>
      <c r="F97" s="46" t="e">
        <f ca="1"/>
        <v>#NAME?</v>
      </c>
      <c r="G97" s="46" t="e">
        <f ca="1"/>
        <v>#NAME?</v>
      </c>
      <c r="P97" s="46" t="e">
        <f ca="1">1430*E97+435*F97+2412*G97</f>
        <v>#NAME?</v>
      </c>
      <c r="R97" s="46" t="e">
        <f ca="1"/>
        <v>#NAME?</v>
      </c>
    </row>
    <row r="98" spans="4:18">
      <c r="E98" s="46" t="e">
        <f t="array" aca="1" ref="E98:G98" ca="1">MultivarXs(3, 500, A$3:C$5, A$7:A$9, B$7:B$9)</f>
        <v>#NAME?</v>
      </c>
      <c r="F98" s="46" t="e">
        <f ca="1"/>
        <v>#NAME?</v>
      </c>
      <c r="G98" s="46" t="e">
        <f ca="1"/>
        <v>#NAME?</v>
      </c>
      <c r="P98" s="46" t="e">
        <f ca="1">1430*E98+435*F98+2412*G98</f>
        <v>#NAME?</v>
      </c>
      <c r="R98" s="46" t="e">
        <f ca="1"/>
        <v>#NAME?</v>
      </c>
    </row>
    <row r="99" spans="4:18">
      <c r="E99" s="46" t="e">
        <f t="array" aca="1" ref="E99:G99" ca="1">MultivarXs(3, 500, A$3:C$5, A$7:A$9, B$7:B$9)</f>
        <v>#NAME?</v>
      </c>
      <c r="F99" s="46" t="e">
        <f ca="1"/>
        <v>#NAME?</v>
      </c>
      <c r="G99" s="46" t="e">
        <f ca="1"/>
        <v>#NAME?</v>
      </c>
      <c r="P99" s="46" t="e">
        <f ca="1">1430*E99+435*F99+2412*G99</f>
        <v>#NAME?</v>
      </c>
      <c r="R99" s="46" t="e">
        <f ca="1"/>
        <v>#NAME?</v>
      </c>
    </row>
    <row r="100" spans="4:18">
      <c r="E100" s="46" t="e">
        <f t="array" aca="1" ref="E100:G100" ca="1">MultivarXs(3, 500, A$3:C$5, A$7:A$9, B$7:B$9)</f>
        <v>#NAME?</v>
      </c>
      <c r="F100" s="46" t="e">
        <f ca="1"/>
        <v>#NAME?</v>
      </c>
      <c r="G100" s="46" t="e">
        <f ca="1"/>
        <v>#NAME?</v>
      </c>
      <c r="P100" s="46" t="e">
        <f ca="1">1430*E100+435*F100+2412*G100</f>
        <v>#NAME?</v>
      </c>
      <c r="R100" s="46" t="e">
        <f ca="1"/>
        <v>#NAME?</v>
      </c>
    </row>
    <row r="101" spans="4:18">
      <c r="E101" s="46" t="e">
        <f t="array" aca="1" ref="E101:G101" ca="1">MultivarXs(3, 500, A$3:C$5, A$7:A$9, B$7:B$9)</f>
        <v>#NAME?</v>
      </c>
      <c r="F101" s="46" t="e">
        <f ca="1"/>
        <v>#NAME?</v>
      </c>
      <c r="G101" s="46" t="e">
        <f ca="1"/>
        <v>#NAME?</v>
      </c>
      <c r="P101" s="46" t="e">
        <f ca="1">1430*E101+435*F101+2412*G101</f>
        <v>#NAME?</v>
      </c>
      <c r="R101" s="46" t="e">
        <f ca="1"/>
        <v>#NAME?</v>
      </c>
    </row>
    <row r="102" spans="4:18">
      <c r="E102" s="46" t="e">
        <f t="array" aca="1" ref="E102:G102" ca="1">MultivarXs(3, 500, A$3:C$5, A$7:A$9, B$7:B$9)</f>
        <v>#NAME?</v>
      </c>
      <c r="F102" s="46" t="e">
        <f ca="1"/>
        <v>#NAME?</v>
      </c>
      <c r="G102" s="46" t="e">
        <f ca="1"/>
        <v>#NAME?</v>
      </c>
      <c r="P102" s="46" t="e">
        <f ca="1">1430*E102+435*F102+2412*G102</f>
        <v>#NAME?</v>
      </c>
      <c r="R102" s="46" t="e">
        <f ca="1"/>
        <v>#NAME?</v>
      </c>
    </row>
    <row r="103" spans="4:18">
      <c r="E103" s="46" t="e">
        <f t="array" aca="1" ref="E103:G103" ca="1">MultivarXs(3, 500, A$3:C$5, A$7:A$9, B$7:B$9)</f>
        <v>#NAME?</v>
      </c>
      <c r="F103" s="46" t="e">
        <f ca="1"/>
        <v>#NAME?</v>
      </c>
      <c r="G103" s="46" t="e">
        <f ca="1"/>
        <v>#NAME?</v>
      </c>
      <c r="P103" s="46" t="e">
        <f ca="1">1430*E103+435*F103+2412*G103</f>
        <v>#NAME?</v>
      </c>
      <c r="R103" s="46" t="e">
        <f ca="1"/>
        <v>#NAME?</v>
      </c>
    </row>
    <row r="104" spans="4:18">
      <c r="D104" s="43"/>
      <c r="E104" s="46" t="e">
        <f t="array" aca="1" ref="E104:G104" ca="1">MultivarXs(3, 500, A$3:C$5, A$7:A$9, B$7:B$9)</f>
        <v>#NAME?</v>
      </c>
      <c r="F104" s="46" t="e">
        <f ca="1"/>
        <v>#NAME?</v>
      </c>
      <c r="G104" s="46" t="e">
        <f ca="1"/>
        <v>#NAME?</v>
      </c>
      <c r="P104" s="46" t="e">
        <f ca="1">1430*E104+435*F104+2412*G104</f>
        <v>#NAME?</v>
      </c>
      <c r="R104" s="46" t="e">
        <f ca="1"/>
        <v>#NAME?</v>
      </c>
    </row>
    <row r="105" spans="4:18">
      <c r="E105" s="46" t="e">
        <f t="array" aca="1" ref="E105:G105" ca="1">MultivarXs(3, 500, A$3:C$5, A$7:A$9, B$7:B$9)</f>
        <v>#NAME?</v>
      </c>
      <c r="F105" s="46" t="e">
        <f ca="1"/>
        <v>#NAME?</v>
      </c>
      <c r="G105" s="46" t="e">
        <f ca="1"/>
        <v>#NAME?</v>
      </c>
      <c r="P105" s="46" t="e">
        <f ca="1">1430*E105+435*F105+2412*G105</f>
        <v>#NAME?</v>
      </c>
      <c r="R105" s="46" t="e">
        <f ca="1"/>
        <v>#NAME?</v>
      </c>
    </row>
    <row r="106" spans="4:18">
      <c r="E106" s="46" t="e">
        <f t="array" aca="1" ref="E106:G106" ca="1">MultivarXs(3, 500, A$3:C$5, A$7:A$9, B$7:B$9)</f>
        <v>#NAME?</v>
      </c>
      <c r="F106" s="46" t="e">
        <f ca="1"/>
        <v>#NAME?</v>
      </c>
      <c r="G106" s="46" t="e">
        <f ca="1"/>
        <v>#NAME?</v>
      </c>
      <c r="P106" s="46" t="e">
        <f ca="1">1430*E106+435*F106+2412*G106</f>
        <v>#NAME?</v>
      </c>
      <c r="R106" s="46" t="e">
        <f ca="1"/>
        <v>#NAME?</v>
      </c>
    </row>
    <row r="107" spans="4:18">
      <c r="E107" s="46" t="e">
        <f t="array" aca="1" ref="E107:G107" ca="1">MultivarXs(3, 500, A$3:C$5, A$7:A$9, B$7:B$9)</f>
        <v>#NAME?</v>
      </c>
      <c r="F107" s="46" t="e">
        <f ca="1"/>
        <v>#NAME?</v>
      </c>
      <c r="G107" s="46" t="e">
        <f ca="1"/>
        <v>#NAME?</v>
      </c>
      <c r="P107" s="46" t="e">
        <f ca="1">1430*E107+435*F107+2412*G107</f>
        <v>#NAME?</v>
      </c>
      <c r="R107" s="46" t="e">
        <f ca="1"/>
        <v>#NAME?</v>
      </c>
    </row>
    <row r="108" spans="4:18">
      <c r="E108" s="46" t="e">
        <f t="array" aca="1" ref="E108:G108" ca="1">MultivarXs(3, 500, A$3:C$5, A$7:A$9, B$7:B$9)</f>
        <v>#NAME?</v>
      </c>
      <c r="F108" s="46" t="e">
        <f ca="1"/>
        <v>#NAME?</v>
      </c>
      <c r="G108" s="46" t="e">
        <f ca="1"/>
        <v>#NAME?</v>
      </c>
      <c r="P108" s="46" t="e">
        <f ca="1">1430*E108+435*F108+2412*G108</f>
        <v>#NAME?</v>
      </c>
      <c r="R108" s="46" t="e">
        <f ca="1"/>
        <v>#NAME?</v>
      </c>
    </row>
    <row r="109" spans="4:18">
      <c r="E109" s="46" t="e">
        <f t="array" aca="1" ref="E109:G109" ca="1">MultivarXs(3, 500, A$3:C$5, A$7:A$9, B$7:B$9)</f>
        <v>#NAME?</v>
      </c>
      <c r="F109" s="46" t="e">
        <f ca="1"/>
        <v>#NAME?</v>
      </c>
      <c r="G109" s="46" t="e">
        <f ca="1"/>
        <v>#NAME?</v>
      </c>
      <c r="P109" s="46" t="e">
        <f ca="1">1430*E109+435*F109+2412*G109</f>
        <v>#NAME?</v>
      </c>
      <c r="R109" s="46" t="e">
        <f ca="1"/>
        <v>#NAME?</v>
      </c>
    </row>
    <row r="110" spans="4:18">
      <c r="E110" s="46" t="e">
        <f t="array" aca="1" ref="E110:G110" ca="1">MultivarXs(3, 500, A$3:C$5, A$7:A$9, B$7:B$9)</f>
        <v>#NAME?</v>
      </c>
      <c r="F110" s="46" t="e">
        <f ca="1"/>
        <v>#NAME?</v>
      </c>
      <c r="G110" s="46" t="e">
        <f ca="1"/>
        <v>#NAME?</v>
      </c>
      <c r="P110" s="46" t="e">
        <f ca="1">1430*E110+435*F110+2412*G110</f>
        <v>#NAME?</v>
      </c>
      <c r="R110" s="46" t="e">
        <f ca="1"/>
        <v>#NAME?</v>
      </c>
    </row>
    <row r="111" spans="4:18">
      <c r="E111" s="46" t="e">
        <f t="array" aca="1" ref="E111:G111" ca="1">MultivarXs(3, 500, A$3:C$5, A$7:A$9, B$7:B$9)</f>
        <v>#NAME?</v>
      </c>
      <c r="F111" s="46" t="e">
        <f ca="1"/>
        <v>#NAME?</v>
      </c>
      <c r="G111" s="46" t="e">
        <f ca="1"/>
        <v>#NAME?</v>
      </c>
      <c r="P111" s="46" t="e">
        <f ca="1">1430*E111+435*F111+2412*G111</f>
        <v>#NAME?</v>
      </c>
      <c r="R111" s="46" t="e">
        <f ca="1"/>
        <v>#NAME?</v>
      </c>
    </row>
    <row r="112" spans="4:18">
      <c r="E112" s="46" t="e">
        <f t="array" aca="1" ref="E112:G112" ca="1">MultivarXs(3, 500, A$3:C$5, A$7:A$9, B$7:B$9)</f>
        <v>#NAME?</v>
      </c>
      <c r="F112" s="46" t="e">
        <f ca="1"/>
        <v>#NAME?</v>
      </c>
      <c r="G112" s="46" t="e">
        <f ca="1"/>
        <v>#NAME?</v>
      </c>
      <c r="P112" s="46" t="e">
        <f ca="1">1430*E112+435*F112+2412*G112</f>
        <v>#NAME?</v>
      </c>
      <c r="R112" s="46" t="e">
        <f ca="1"/>
        <v>#NAME?</v>
      </c>
    </row>
    <row r="113" spans="5:18">
      <c r="E113" s="46" t="e">
        <f t="array" aca="1" ref="E113:G113" ca="1">MultivarXs(3, 500, A$3:C$5, A$7:A$9, B$7:B$9)</f>
        <v>#NAME?</v>
      </c>
      <c r="F113" s="46" t="e">
        <f ca="1"/>
        <v>#NAME?</v>
      </c>
      <c r="G113" s="46" t="e">
        <f ca="1"/>
        <v>#NAME?</v>
      </c>
      <c r="P113" s="46" t="e">
        <f ca="1">1430*E113+435*F113+2412*G113</f>
        <v>#NAME?</v>
      </c>
      <c r="R113" s="46" t="e">
        <f ca="1"/>
        <v>#NAME?</v>
      </c>
    </row>
    <row r="114" spans="5:18">
      <c r="E114" s="46" t="e">
        <f t="array" aca="1" ref="E114:G114" ca="1">MultivarXs(3, 500, A$3:C$5, A$7:A$9, B$7:B$9)</f>
        <v>#NAME?</v>
      </c>
      <c r="F114" s="46" t="e">
        <f ca="1"/>
        <v>#NAME?</v>
      </c>
      <c r="G114" s="46" t="e">
        <f ca="1"/>
        <v>#NAME?</v>
      </c>
      <c r="P114" s="46" t="e">
        <f ca="1">1430*E114+435*F114+2412*G114</f>
        <v>#NAME?</v>
      </c>
      <c r="R114" s="46" t="e">
        <f ca="1"/>
        <v>#NAME?</v>
      </c>
    </row>
    <row r="115" spans="5:18">
      <c r="E115" s="46" t="e">
        <f t="array" aca="1" ref="E115:G115" ca="1">MultivarXs(3, 500, A$3:C$5, A$7:A$9, B$7:B$9)</f>
        <v>#NAME?</v>
      </c>
      <c r="F115" s="46" t="e">
        <f ca="1"/>
        <v>#NAME?</v>
      </c>
      <c r="G115" s="46" t="e">
        <f ca="1"/>
        <v>#NAME?</v>
      </c>
      <c r="P115" s="46" t="e">
        <f ca="1">1430*E115+435*F115+2412*G115</f>
        <v>#NAME?</v>
      </c>
      <c r="R115" s="46" t="e">
        <f ca="1"/>
        <v>#NAME?</v>
      </c>
    </row>
    <row r="116" spans="5:18">
      <c r="E116" s="46" t="e">
        <f t="array" aca="1" ref="E116:G116" ca="1">MultivarXs(3, 500, A$3:C$5, A$7:A$9, B$7:B$9)</f>
        <v>#NAME?</v>
      </c>
      <c r="F116" s="46" t="e">
        <f ca="1"/>
        <v>#NAME?</v>
      </c>
      <c r="G116" s="46" t="e">
        <f ca="1"/>
        <v>#NAME?</v>
      </c>
      <c r="P116" s="46" t="e">
        <f ca="1">1430*E116+435*F116+2412*G116</f>
        <v>#NAME?</v>
      </c>
      <c r="R116" s="46" t="e">
        <f ca="1"/>
        <v>#NAME?</v>
      </c>
    </row>
    <row r="117" spans="5:18">
      <c r="E117" s="46" t="e">
        <f t="array" aca="1" ref="E117:G117" ca="1">MultivarXs(3, 500, A$3:C$5, A$7:A$9, B$7:B$9)</f>
        <v>#NAME?</v>
      </c>
      <c r="F117" s="46" t="e">
        <f ca="1"/>
        <v>#NAME?</v>
      </c>
      <c r="G117" s="46" t="e">
        <f ca="1"/>
        <v>#NAME?</v>
      </c>
      <c r="P117" s="46" t="e">
        <f ca="1">1430*E117+435*F117+2412*G117</f>
        <v>#NAME?</v>
      </c>
      <c r="R117" s="46" t="e">
        <f ca="1"/>
        <v>#NAME?</v>
      </c>
    </row>
    <row r="118" spans="5:18">
      <c r="E118" s="46" t="e">
        <f t="array" aca="1" ref="E118:G118" ca="1">MultivarXs(3, 500, A$3:C$5, A$7:A$9, B$7:B$9)</f>
        <v>#NAME?</v>
      </c>
      <c r="F118" s="46" t="e">
        <f ca="1"/>
        <v>#NAME?</v>
      </c>
      <c r="G118" s="46" t="e">
        <f ca="1"/>
        <v>#NAME?</v>
      </c>
      <c r="P118" s="46" t="e">
        <f ca="1">1430*E118+435*F118+2412*G118</f>
        <v>#NAME?</v>
      </c>
      <c r="R118" s="46" t="e">
        <f ca="1"/>
        <v>#NAME?</v>
      </c>
    </row>
    <row r="119" spans="5:18">
      <c r="E119" s="46" t="e">
        <f t="array" aca="1" ref="E119:G119" ca="1">MultivarXs(3, 500, A$3:C$5, A$7:A$9, B$7:B$9)</f>
        <v>#NAME?</v>
      </c>
      <c r="F119" s="46" t="e">
        <f ca="1"/>
        <v>#NAME?</v>
      </c>
      <c r="G119" s="46" t="e">
        <f ca="1"/>
        <v>#NAME?</v>
      </c>
      <c r="P119" s="46" t="e">
        <f ca="1">1430*E119+435*F119+2412*G119</f>
        <v>#NAME?</v>
      </c>
      <c r="R119" s="46" t="e">
        <f ca="1"/>
        <v>#NAME?</v>
      </c>
    </row>
    <row r="120" spans="5:18">
      <c r="E120" s="46" t="e">
        <f t="array" aca="1" ref="E120:G120" ca="1">MultivarXs(3, 500, A$3:C$5, A$7:A$9, B$7:B$9)</f>
        <v>#NAME?</v>
      </c>
      <c r="F120" s="46" t="e">
        <f ca="1"/>
        <v>#NAME?</v>
      </c>
      <c r="G120" s="46" t="e">
        <f ca="1"/>
        <v>#NAME?</v>
      </c>
      <c r="P120" s="46" t="e">
        <f ca="1">1430*E120+435*F120+2412*G120</f>
        <v>#NAME?</v>
      </c>
      <c r="R120" s="46" t="e">
        <f ca="1"/>
        <v>#NAME?</v>
      </c>
    </row>
    <row r="121" spans="5:18">
      <c r="E121" s="46" t="e">
        <f t="array" aca="1" ref="E121:G121" ca="1">MultivarXs(3, 500, A$3:C$5, A$7:A$9, B$7:B$9)</f>
        <v>#NAME?</v>
      </c>
      <c r="F121" s="46" t="e">
        <f ca="1"/>
        <v>#NAME?</v>
      </c>
      <c r="G121" s="46" t="e">
        <f ca="1"/>
        <v>#NAME?</v>
      </c>
      <c r="P121" s="46" t="e">
        <f ca="1">1430*E121+435*F121+2412*G121</f>
        <v>#NAME?</v>
      </c>
      <c r="R121" s="46" t="e">
        <f ca="1"/>
        <v>#NAME?</v>
      </c>
    </row>
    <row r="122" spans="5:18">
      <c r="E122" s="46" t="e">
        <f t="array" aca="1" ref="E122:G122" ca="1">MultivarXs(3, 500, A$3:C$5, A$7:A$9, B$7:B$9)</f>
        <v>#NAME?</v>
      </c>
      <c r="F122" s="46" t="e">
        <f ca="1"/>
        <v>#NAME?</v>
      </c>
      <c r="G122" s="46" t="e">
        <f ca="1"/>
        <v>#NAME?</v>
      </c>
      <c r="P122" s="46" t="e">
        <f ca="1">1430*E122+435*F122+2412*G122</f>
        <v>#NAME?</v>
      </c>
      <c r="R122" s="46" t="e">
        <f ca="1"/>
        <v>#NAME?</v>
      </c>
    </row>
    <row r="123" spans="5:18">
      <c r="E123" s="46" t="e">
        <f t="array" aca="1" ref="E123:G123" ca="1">MultivarXs(3, 500, A$3:C$5, A$7:A$9, B$7:B$9)</f>
        <v>#NAME?</v>
      </c>
      <c r="F123" s="46" t="e">
        <f ca="1"/>
        <v>#NAME?</v>
      </c>
      <c r="G123" s="46" t="e">
        <f ca="1"/>
        <v>#NAME?</v>
      </c>
      <c r="P123" s="46" t="e">
        <f ca="1">1430*E123+435*F123+2412*G123</f>
        <v>#NAME?</v>
      </c>
      <c r="R123" s="46" t="e">
        <f ca="1"/>
        <v>#NAME?</v>
      </c>
    </row>
    <row r="124" spans="5:18">
      <c r="E124" s="46" t="e">
        <f t="array" aca="1" ref="E124:G124" ca="1">MultivarXs(3, 500, A$3:C$5, A$7:A$9, B$7:B$9)</f>
        <v>#NAME?</v>
      </c>
      <c r="F124" s="46" t="e">
        <f ca="1"/>
        <v>#NAME?</v>
      </c>
      <c r="G124" s="46" t="e">
        <f ca="1"/>
        <v>#NAME?</v>
      </c>
      <c r="P124" s="46" t="e">
        <f ca="1">1430*E124+435*F124+2412*G124</f>
        <v>#NAME?</v>
      </c>
      <c r="R124" s="46" t="e">
        <f ca="1"/>
        <v>#NAME?</v>
      </c>
    </row>
    <row r="125" spans="5:18">
      <c r="E125" s="46" t="e">
        <f t="array" aca="1" ref="E125:G125" ca="1">MultivarXs(3, 500, A$3:C$5, A$7:A$9, B$7:B$9)</f>
        <v>#NAME?</v>
      </c>
      <c r="F125" s="46" t="e">
        <f ca="1"/>
        <v>#NAME?</v>
      </c>
      <c r="G125" s="46" t="e">
        <f ca="1"/>
        <v>#NAME?</v>
      </c>
      <c r="P125" s="46" t="e">
        <f ca="1">1430*E125+435*F125+2412*G125</f>
        <v>#NAME?</v>
      </c>
      <c r="R125" s="46" t="e">
        <f ca="1"/>
        <v>#NAME?</v>
      </c>
    </row>
    <row r="126" spans="5:18">
      <c r="E126" s="46" t="e">
        <f t="array" aca="1" ref="E126:G126" ca="1">MultivarXs(3, 500, A$3:C$5, A$7:A$9, B$7:B$9)</f>
        <v>#NAME?</v>
      </c>
      <c r="F126" s="46" t="e">
        <f ca="1"/>
        <v>#NAME?</v>
      </c>
      <c r="G126" s="46" t="e">
        <f ca="1"/>
        <v>#NAME?</v>
      </c>
      <c r="P126" s="46" t="e">
        <f ca="1">1430*E126+435*F126+2412*G126</f>
        <v>#NAME?</v>
      </c>
      <c r="R126" s="46" t="e">
        <f ca="1"/>
        <v>#NAME?</v>
      </c>
    </row>
    <row r="127" spans="5:18">
      <c r="E127" s="46" t="e">
        <f t="array" aca="1" ref="E127:G127" ca="1">MultivarXs(3, 500, A$3:C$5, A$7:A$9, B$7:B$9)</f>
        <v>#NAME?</v>
      </c>
      <c r="F127" s="46" t="e">
        <f ca="1"/>
        <v>#NAME?</v>
      </c>
      <c r="G127" s="46" t="e">
        <f ca="1"/>
        <v>#NAME?</v>
      </c>
      <c r="P127" s="46" t="e">
        <f ca="1">1430*E127+435*F127+2412*G127</f>
        <v>#NAME?</v>
      </c>
      <c r="R127" s="46" t="e">
        <f ca="1"/>
        <v>#NAME?</v>
      </c>
    </row>
    <row r="128" spans="5:18">
      <c r="E128" s="46" t="e">
        <f t="array" aca="1" ref="E128:G128" ca="1">MultivarXs(3, 500, A$3:C$5, A$7:A$9, B$7:B$9)</f>
        <v>#NAME?</v>
      </c>
      <c r="F128" s="46" t="e">
        <f ca="1"/>
        <v>#NAME?</v>
      </c>
      <c r="G128" s="46" t="e">
        <f ca="1"/>
        <v>#NAME?</v>
      </c>
      <c r="P128" s="46" t="e">
        <f ca="1">1430*E128+435*F128+2412*G128</f>
        <v>#NAME?</v>
      </c>
      <c r="R128" s="46" t="e">
        <f ca="1"/>
        <v>#NAME?</v>
      </c>
    </row>
    <row r="129" spans="5:18">
      <c r="E129" s="46" t="e">
        <f t="array" aca="1" ref="E129:G129" ca="1">MultivarXs(3, 500, A$3:C$5, A$7:A$9, B$7:B$9)</f>
        <v>#NAME?</v>
      </c>
      <c r="F129" s="46" t="e">
        <f ca="1"/>
        <v>#NAME?</v>
      </c>
      <c r="G129" s="46" t="e">
        <f ca="1"/>
        <v>#NAME?</v>
      </c>
      <c r="P129" s="46" t="e">
        <f ca="1">1430*E129+435*F129+2412*G129</f>
        <v>#NAME?</v>
      </c>
      <c r="R129" s="46" t="e">
        <f ca="1"/>
        <v>#NAME?</v>
      </c>
    </row>
    <row r="130" spans="5:18">
      <c r="E130" s="46" t="e">
        <f t="array" aca="1" ref="E130:G130" ca="1">MultivarXs(3, 500, A$3:C$5, A$7:A$9, B$7:B$9)</f>
        <v>#NAME?</v>
      </c>
      <c r="F130" s="46" t="e">
        <f ca="1"/>
        <v>#NAME?</v>
      </c>
      <c r="G130" s="46" t="e">
        <f ca="1"/>
        <v>#NAME?</v>
      </c>
      <c r="P130" s="46" t="e">
        <f ca="1">1430*E130+435*F130+2412*G130</f>
        <v>#NAME?</v>
      </c>
      <c r="R130" s="46" t="e">
        <f ca="1"/>
        <v>#NAME?</v>
      </c>
    </row>
    <row r="131" spans="5:18">
      <c r="E131" s="46" t="e">
        <f t="array" aca="1" ref="E131:G131" ca="1">MultivarXs(3, 500, A$3:C$5, A$7:A$9, B$7:B$9)</f>
        <v>#NAME?</v>
      </c>
      <c r="F131" s="46" t="e">
        <f ca="1"/>
        <v>#NAME?</v>
      </c>
      <c r="G131" s="46" t="e">
        <f ca="1"/>
        <v>#NAME?</v>
      </c>
      <c r="P131" s="46" t="e">
        <f ca="1">1430*E131+435*F131+2412*G131</f>
        <v>#NAME?</v>
      </c>
      <c r="R131" s="46" t="e">
        <f ca="1"/>
        <v>#NAME?</v>
      </c>
    </row>
    <row r="132" spans="5:18">
      <c r="E132" s="46" t="e">
        <f t="array" aca="1" ref="E132:G132" ca="1">MultivarXs(3, 500, A$3:C$5, A$7:A$9, B$7:B$9)</f>
        <v>#NAME?</v>
      </c>
      <c r="F132" s="46" t="e">
        <f ca="1"/>
        <v>#NAME?</v>
      </c>
      <c r="G132" s="46" t="e">
        <f ca="1"/>
        <v>#NAME?</v>
      </c>
      <c r="P132" s="46" t="e">
        <f ca="1">1430*E132+435*F132+2412*G132</f>
        <v>#NAME?</v>
      </c>
      <c r="R132" s="46" t="e">
        <f ca="1"/>
        <v>#NAME?</v>
      </c>
    </row>
    <row r="133" spans="5:18">
      <c r="E133" s="46" t="e">
        <f t="array" aca="1" ref="E133:G133" ca="1">MultivarXs(3, 500, A$3:C$5, A$7:A$9, B$7:B$9)</f>
        <v>#NAME?</v>
      </c>
      <c r="F133" s="46" t="e">
        <f ca="1"/>
        <v>#NAME?</v>
      </c>
      <c r="G133" s="46" t="e">
        <f ca="1"/>
        <v>#NAME?</v>
      </c>
      <c r="P133" s="46" t="e">
        <f ca="1">1430*E133+435*F133+2412*G133</f>
        <v>#NAME?</v>
      </c>
      <c r="R133" s="46" t="e">
        <f ca="1"/>
        <v>#NAME?</v>
      </c>
    </row>
    <row r="134" spans="5:18">
      <c r="E134" s="46" t="e">
        <f t="array" aca="1" ref="E134:G134" ca="1">MultivarXs(3, 500, A$3:C$5, A$7:A$9, B$7:B$9)</f>
        <v>#NAME?</v>
      </c>
      <c r="F134" s="46" t="e">
        <f ca="1"/>
        <v>#NAME?</v>
      </c>
      <c r="G134" s="46" t="e">
        <f ca="1"/>
        <v>#NAME?</v>
      </c>
      <c r="P134" s="46" t="e">
        <f ca="1">1430*E134+435*F134+2412*G134</f>
        <v>#NAME?</v>
      </c>
      <c r="R134" s="46" t="e">
        <f ca="1"/>
        <v>#NAME?</v>
      </c>
    </row>
    <row r="135" spans="5:18">
      <c r="E135" s="46" t="e">
        <f t="array" aca="1" ref="E135:G135" ca="1">MultivarXs(3, 500, A$3:C$5, A$7:A$9, B$7:B$9)</f>
        <v>#NAME?</v>
      </c>
      <c r="F135" s="46" t="e">
        <f ca="1"/>
        <v>#NAME?</v>
      </c>
      <c r="G135" s="46" t="e">
        <f ca="1"/>
        <v>#NAME?</v>
      </c>
      <c r="P135" s="46" t="e">
        <f ca="1">1430*E135+435*F135+2412*G135</f>
        <v>#NAME?</v>
      </c>
      <c r="R135" s="46" t="e">
        <f ca="1"/>
        <v>#NAME?</v>
      </c>
    </row>
    <row r="136" spans="5:18">
      <c r="E136" s="46" t="e">
        <f t="array" aca="1" ref="E136:G136" ca="1">MultivarXs(3, 500, A$3:C$5, A$7:A$9, B$7:B$9)</f>
        <v>#NAME?</v>
      </c>
      <c r="F136" s="46" t="e">
        <f ca="1"/>
        <v>#NAME?</v>
      </c>
      <c r="G136" s="46" t="e">
        <f ca="1"/>
        <v>#NAME?</v>
      </c>
      <c r="P136" s="46" t="e">
        <f ca="1">1430*E136+435*F136+2412*G136</f>
        <v>#NAME?</v>
      </c>
      <c r="R136" s="46" t="e">
        <f ca="1"/>
        <v>#NAME?</v>
      </c>
    </row>
    <row r="137" spans="5:18">
      <c r="E137" s="46" t="e">
        <f t="array" aca="1" ref="E137:G137" ca="1">MultivarXs(3, 500, A$3:C$5, A$7:A$9, B$7:B$9)</f>
        <v>#NAME?</v>
      </c>
      <c r="F137" s="46" t="e">
        <f ca="1"/>
        <v>#NAME?</v>
      </c>
      <c r="G137" s="46" t="e">
        <f ca="1"/>
        <v>#NAME?</v>
      </c>
      <c r="P137" s="46" t="e">
        <f ca="1">1430*E137+435*F137+2412*G137</f>
        <v>#NAME?</v>
      </c>
      <c r="R137" s="46" t="e">
        <f ca="1"/>
        <v>#NAME?</v>
      </c>
    </row>
    <row r="138" spans="5:18">
      <c r="E138" s="46" t="e">
        <f t="array" aca="1" ref="E138:G138" ca="1">MultivarXs(3, 500, A$3:C$5, A$7:A$9, B$7:B$9)</f>
        <v>#NAME?</v>
      </c>
      <c r="F138" s="46" t="e">
        <f ca="1"/>
        <v>#NAME?</v>
      </c>
      <c r="G138" s="46" t="e">
        <f ca="1"/>
        <v>#NAME?</v>
      </c>
      <c r="P138" s="46" t="e">
        <f ca="1">1430*E138+435*F138+2412*G138</f>
        <v>#NAME?</v>
      </c>
      <c r="R138" s="46" t="e">
        <f ca="1"/>
        <v>#NAME?</v>
      </c>
    </row>
    <row r="139" spans="5:18">
      <c r="E139" s="46" t="e">
        <f t="array" aca="1" ref="E139:G139" ca="1">MultivarXs(3, 500, A$3:C$5, A$7:A$9, B$7:B$9)</f>
        <v>#NAME?</v>
      </c>
      <c r="F139" s="46" t="e">
        <f ca="1"/>
        <v>#NAME?</v>
      </c>
      <c r="G139" s="46" t="e">
        <f ca="1"/>
        <v>#NAME?</v>
      </c>
      <c r="P139" s="46" t="e">
        <f ca="1">1430*E139+435*F139+2412*G139</f>
        <v>#NAME?</v>
      </c>
      <c r="R139" s="46" t="e">
        <f ca="1"/>
        <v>#NAME?</v>
      </c>
    </row>
    <row r="140" spans="5:18">
      <c r="E140" s="46" t="e">
        <f t="array" aca="1" ref="E140:G140" ca="1">MultivarXs(3, 500, A$3:C$5, A$7:A$9, B$7:B$9)</f>
        <v>#NAME?</v>
      </c>
      <c r="F140" s="46" t="e">
        <f ca="1"/>
        <v>#NAME?</v>
      </c>
      <c r="G140" s="46" t="e">
        <f ca="1"/>
        <v>#NAME?</v>
      </c>
      <c r="P140" s="46" t="e">
        <f ca="1">1430*E140+435*F140+2412*G140</f>
        <v>#NAME?</v>
      </c>
      <c r="R140" s="46" t="e">
        <f ca="1"/>
        <v>#NAME?</v>
      </c>
    </row>
    <row r="141" spans="5:18">
      <c r="E141" s="46" t="e">
        <f t="array" aca="1" ref="E141:G141" ca="1">MultivarXs(3, 500, A$3:C$5, A$7:A$9, B$7:B$9)</f>
        <v>#NAME?</v>
      </c>
      <c r="F141" s="46" t="e">
        <f ca="1"/>
        <v>#NAME?</v>
      </c>
      <c r="G141" s="46" t="e">
        <f ca="1"/>
        <v>#NAME?</v>
      </c>
      <c r="P141" s="46" t="e">
        <f ca="1">1430*E141+435*F141+2412*G141</f>
        <v>#NAME?</v>
      </c>
      <c r="R141" s="46" t="e">
        <f ca="1"/>
        <v>#NAME?</v>
      </c>
    </row>
    <row r="142" spans="5:18">
      <c r="E142" s="46" t="e">
        <f t="array" aca="1" ref="E142:G142" ca="1">MultivarXs(3, 500, A$3:C$5, A$7:A$9, B$7:B$9)</f>
        <v>#NAME?</v>
      </c>
      <c r="F142" s="46" t="e">
        <f ca="1"/>
        <v>#NAME?</v>
      </c>
      <c r="G142" s="46" t="e">
        <f ca="1"/>
        <v>#NAME?</v>
      </c>
      <c r="P142" s="46" t="e">
        <f ca="1">1430*E142+435*F142+2412*G142</f>
        <v>#NAME?</v>
      </c>
      <c r="R142" s="46" t="e">
        <f ca="1"/>
        <v>#NAME?</v>
      </c>
    </row>
    <row r="143" spans="5:18">
      <c r="E143" s="46" t="e">
        <f t="array" aca="1" ref="E143:G143" ca="1">MultivarXs(3, 500, A$3:C$5, A$7:A$9, B$7:B$9)</f>
        <v>#NAME?</v>
      </c>
      <c r="F143" s="46" t="e">
        <f ca="1"/>
        <v>#NAME?</v>
      </c>
      <c r="G143" s="46" t="e">
        <f ca="1"/>
        <v>#NAME?</v>
      </c>
      <c r="P143" s="46" t="e">
        <f ca="1">1430*E143+435*F143+2412*G143</f>
        <v>#NAME?</v>
      </c>
      <c r="R143" s="46" t="e">
        <f ca="1"/>
        <v>#NAME?</v>
      </c>
    </row>
    <row r="144" spans="5:18">
      <c r="E144" s="46" t="e">
        <f t="array" aca="1" ref="E144:G144" ca="1">MultivarXs(3, 500, A$3:C$5, A$7:A$9, B$7:B$9)</f>
        <v>#NAME?</v>
      </c>
      <c r="F144" s="46" t="e">
        <f ca="1"/>
        <v>#NAME?</v>
      </c>
      <c r="G144" s="46" t="e">
        <f ca="1"/>
        <v>#NAME?</v>
      </c>
      <c r="P144" s="46" t="e">
        <f ca="1">1430*E144+435*F144+2412*G144</f>
        <v>#NAME?</v>
      </c>
      <c r="R144" s="46" t="e">
        <f ca="1"/>
        <v>#NAME?</v>
      </c>
    </row>
    <row r="145" spans="5:18">
      <c r="E145" s="46" t="e">
        <f t="array" aca="1" ref="E145:G145" ca="1">MultivarXs(3, 500, A$3:C$5, A$7:A$9, B$7:B$9)</f>
        <v>#NAME?</v>
      </c>
      <c r="F145" s="46" t="e">
        <f ca="1"/>
        <v>#NAME?</v>
      </c>
      <c r="G145" s="46" t="e">
        <f ca="1"/>
        <v>#NAME?</v>
      </c>
      <c r="P145" s="46" t="e">
        <f ca="1">1430*E145+435*F145+2412*G145</f>
        <v>#NAME?</v>
      </c>
      <c r="R145" s="46" t="e">
        <f ca="1"/>
        <v>#NAME?</v>
      </c>
    </row>
    <row r="146" spans="5:18">
      <c r="E146" s="46" t="e">
        <f t="array" aca="1" ref="E146:G146" ca="1">MultivarXs(3, 500, A$3:C$5, A$7:A$9, B$7:B$9)</f>
        <v>#NAME?</v>
      </c>
      <c r="F146" s="46" t="e">
        <f ca="1"/>
        <v>#NAME?</v>
      </c>
      <c r="G146" s="46" t="e">
        <f ca="1"/>
        <v>#NAME?</v>
      </c>
      <c r="P146" s="46" t="e">
        <f ca="1">1430*E146+435*F146+2412*G146</f>
        <v>#NAME?</v>
      </c>
      <c r="R146" s="46" t="e">
        <f ca="1"/>
        <v>#NAME?</v>
      </c>
    </row>
    <row r="147" spans="5:18">
      <c r="E147" s="46" t="e">
        <f t="array" aca="1" ref="E147:G147" ca="1">MultivarXs(3, 500, A$3:C$5, A$7:A$9, B$7:B$9)</f>
        <v>#NAME?</v>
      </c>
      <c r="F147" s="46" t="e">
        <f ca="1"/>
        <v>#NAME?</v>
      </c>
      <c r="G147" s="46" t="e">
        <f ca="1"/>
        <v>#NAME?</v>
      </c>
      <c r="P147" s="46" t="e">
        <f ca="1">1430*E147+435*F147+2412*G147</f>
        <v>#NAME?</v>
      </c>
      <c r="R147" s="46" t="e">
        <f ca="1"/>
        <v>#NAME?</v>
      </c>
    </row>
    <row r="148" spans="5:18">
      <c r="E148" s="46" t="e">
        <f t="array" aca="1" ref="E148:G148" ca="1">MultivarXs(3, 500, A$3:C$5, A$7:A$9, B$7:B$9)</f>
        <v>#NAME?</v>
      </c>
      <c r="F148" s="46" t="e">
        <f ca="1"/>
        <v>#NAME?</v>
      </c>
      <c r="G148" s="46" t="e">
        <f ca="1"/>
        <v>#NAME?</v>
      </c>
      <c r="P148" s="46" t="e">
        <f ca="1">1430*E148+435*F148+2412*G148</f>
        <v>#NAME?</v>
      </c>
      <c r="R148" s="46" t="e">
        <f ca="1"/>
        <v>#NAME?</v>
      </c>
    </row>
    <row r="149" spans="5:18">
      <c r="E149" s="46" t="e">
        <f t="array" aca="1" ref="E149:G149" ca="1">MultivarXs(3, 500, A$3:C$5, A$7:A$9, B$7:B$9)</f>
        <v>#NAME?</v>
      </c>
      <c r="F149" s="46" t="e">
        <f ca="1"/>
        <v>#NAME?</v>
      </c>
      <c r="G149" s="46" t="e">
        <f ca="1"/>
        <v>#NAME?</v>
      </c>
      <c r="P149" s="46" t="e">
        <f ca="1">1430*E149+435*F149+2412*G149</f>
        <v>#NAME?</v>
      </c>
      <c r="R149" s="46" t="e">
        <f ca="1"/>
        <v>#NAME?</v>
      </c>
    </row>
    <row r="150" spans="5:18">
      <c r="E150" s="46" t="e">
        <f t="array" aca="1" ref="E150:G150" ca="1">MultivarXs(3, 500, A$3:C$5, A$7:A$9, B$7:B$9)</f>
        <v>#NAME?</v>
      </c>
      <c r="F150" s="46" t="e">
        <f ca="1"/>
        <v>#NAME?</v>
      </c>
      <c r="G150" s="46" t="e">
        <f ca="1"/>
        <v>#NAME?</v>
      </c>
      <c r="P150" s="46" t="e">
        <f ca="1">1430*E150+435*F150+2412*G150</f>
        <v>#NAME?</v>
      </c>
      <c r="R150" s="46" t="e">
        <f ca="1"/>
        <v>#NAME?</v>
      </c>
    </row>
    <row r="151" spans="5:18">
      <c r="E151" s="46" t="e">
        <f t="array" aca="1" ref="E151:G151" ca="1">MultivarXs(3, 500, A$3:C$5, A$7:A$9, B$7:B$9)</f>
        <v>#NAME?</v>
      </c>
      <c r="F151" s="46" t="e">
        <f ca="1"/>
        <v>#NAME?</v>
      </c>
      <c r="G151" s="46" t="e">
        <f ca="1"/>
        <v>#NAME?</v>
      </c>
      <c r="P151" s="46" t="e">
        <f ca="1">1430*E151+435*F151+2412*G151</f>
        <v>#NAME?</v>
      </c>
      <c r="R151" s="46" t="e">
        <f ca="1"/>
        <v>#NAME?</v>
      </c>
    </row>
    <row r="152" spans="5:18">
      <c r="E152" s="46" t="e">
        <f t="array" aca="1" ref="E152:G152" ca="1">MultivarXs(3, 500, A$3:C$5, A$7:A$9, B$7:B$9)</f>
        <v>#NAME?</v>
      </c>
      <c r="F152" s="46" t="e">
        <f ca="1"/>
        <v>#NAME?</v>
      </c>
      <c r="G152" s="46" t="e">
        <f ca="1"/>
        <v>#NAME?</v>
      </c>
      <c r="P152" s="46" t="e">
        <f ca="1">1430*E152+435*F152+2412*G152</f>
        <v>#NAME?</v>
      </c>
      <c r="R152" s="46" t="e">
        <f ca="1"/>
        <v>#NAME?</v>
      </c>
    </row>
    <row r="153" spans="5:18">
      <c r="E153" s="46" t="e">
        <f t="array" aca="1" ref="E153:G153" ca="1">MultivarXs(3, 500, A$3:C$5, A$7:A$9, B$7:B$9)</f>
        <v>#NAME?</v>
      </c>
      <c r="F153" s="46" t="e">
        <f ca="1"/>
        <v>#NAME?</v>
      </c>
      <c r="G153" s="46" t="e">
        <f ca="1"/>
        <v>#NAME?</v>
      </c>
      <c r="P153" s="46" t="e">
        <f ca="1">1430*E153+435*F153+2412*G153</f>
        <v>#NAME?</v>
      </c>
      <c r="R153" s="46" t="e">
        <f ca="1"/>
        <v>#NAME?</v>
      </c>
    </row>
    <row r="154" spans="5:18">
      <c r="E154" s="46" t="e">
        <f t="array" aca="1" ref="E154:G154" ca="1">MultivarXs(3, 500, A$3:C$5, A$7:A$9, B$7:B$9)</f>
        <v>#NAME?</v>
      </c>
      <c r="F154" s="46" t="e">
        <f ca="1"/>
        <v>#NAME?</v>
      </c>
      <c r="G154" s="46" t="e">
        <f ca="1"/>
        <v>#NAME?</v>
      </c>
      <c r="P154" s="46" t="e">
        <f ca="1">1430*E154+435*F154+2412*G154</f>
        <v>#NAME?</v>
      </c>
      <c r="R154" s="46" t="e">
        <f ca="1"/>
        <v>#NAME?</v>
      </c>
    </row>
    <row r="155" spans="5:18">
      <c r="E155" s="46" t="e">
        <f t="array" aca="1" ref="E155:G155" ca="1">MultivarXs(3, 500, A$3:C$5, A$7:A$9, B$7:B$9)</f>
        <v>#NAME?</v>
      </c>
      <c r="F155" s="46" t="e">
        <f ca="1"/>
        <v>#NAME?</v>
      </c>
      <c r="G155" s="46" t="e">
        <f ca="1"/>
        <v>#NAME?</v>
      </c>
      <c r="P155" s="46" t="e">
        <f ca="1">1430*E155+435*F155+2412*G155</f>
        <v>#NAME?</v>
      </c>
      <c r="R155" s="46" t="e">
        <f ca="1"/>
        <v>#NAME?</v>
      </c>
    </row>
    <row r="156" spans="5:18">
      <c r="E156" s="46" t="e">
        <f t="array" aca="1" ref="E156:G156" ca="1">MultivarXs(3, 500, A$3:C$5, A$7:A$9, B$7:B$9)</f>
        <v>#NAME?</v>
      </c>
      <c r="F156" s="46" t="e">
        <f ca="1"/>
        <v>#NAME?</v>
      </c>
      <c r="G156" s="46" t="e">
        <f ca="1"/>
        <v>#NAME?</v>
      </c>
      <c r="P156" s="46" t="e">
        <f ca="1">1430*E156+435*F156+2412*G156</f>
        <v>#NAME?</v>
      </c>
      <c r="R156" s="46" t="e">
        <f ca="1"/>
        <v>#NAME?</v>
      </c>
    </row>
    <row r="157" spans="5:18">
      <c r="E157" s="46" t="e">
        <f t="array" aca="1" ref="E157:G157" ca="1">MultivarXs(3, 500, A$3:C$5, A$7:A$9, B$7:B$9)</f>
        <v>#NAME?</v>
      </c>
      <c r="F157" s="46" t="e">
        <f ca="1"/>
        <v>#NAME?</v>
      </c>
      <c r="G157" s="46" t="e">
        <f ca="1"/>
        <v>#NAME?</v>
      </c>
      <c r="P157" s="46" t="e">
        <f ca="1">1430*E157+435*F157+2412*G157</f>
        <v>#NAME?</v>
      </c>
      <c r="R157" s="46" t="e">
        <f ca="1"/>
        <v>#NAME?</v>
      </c>
    </row>
    <row r="158" spans="5:18">
      <c r="E158" s="46" t="e">
        <f t="array" aca="1" ref="E158:G158" ca="1">MultivarXs(3, 500, A$3:C$5, A$7:A$9, B$7:B$9)</f>
        <v>#NAME?</v>
      </c>
      <c r="F158" s="46" t="e">
        <f ca="1"/>
        <v>#NAME?</v>
      </c>
      <c r="G158" s="46" t="e">
        <f ca="1"/>
        <v>#NAME?</v>
      </c>
      <c r="P158" s="46" t="e">
        <f ca="1">1430*E158+435*F158+2412*G158</f>
        <v>#NAME?</v>
      </c>
      <c r="R158" s="46" t="e">
        <f ca="1"/>
        <v>#NAME?</v>
      </c>
    </row>
    <row r="159" spans="5:18">
      <c r="E159" s="46" t="e">
        <f t="array" aca="1" ref="E159:G159" ca="1">MultivarXs(3, 500, A$3:C$5, A$7:A$9, B$7:B$9)</f>
        <v>#NAME?</v>
      </c>
      <c r="F159" s="46" t="e">
        <f ca="1"/>
        <v>#NAME?</v>
      </c>
      <c r="G159" s="46" t="e">
        <f ca="1"/>
        <v>#NAME?</v>
      </c>
      <c r="P159" s="46" t="e">
        <f ca="1">1430*E159+435*F159+2412*G159</f>
        <v>#NAME?</v>
      </c>
      <c r="R159" s="46" t="e">
        <f ca="1"/>
        <v>#NAME?</v>
      </c>
    </row>
    <row r="160" spans="5:18">
      <c r="E160" s="46" t="e">
        <f t="array" aca="1" ref="E160:G160" ca="1">MultivarXs(3, 500, A$3:C$5, A$7:A$9, B$7:B$9)</f>
        <v>#NAME?</v>
      </c>
      <c r="F160" s="46" t="e">
        <f ca="1"/>
        <v>#NAME?</v>
      </c>
      <c r="G160" s="46" t="e">
        <f ca="1"/>
        <v>#NAME?</v>
      </c>
      <c r="P160" s="46" t="e">
        <f ca="1">1430*E160+435*F160+2412*G160</f>
        <v>#NAME?</v>
      </c>
      <c r="R160" s="46" t="e">
        <f ca="1"/>
        <v>#NAME?</v>
      </c>
    </row>
    <row r="161" spans="5:18">
      <c r="E161" s="46" t="e">
        <f t="array" aca="1" ref="E161:G161" ca="1">MultivarXs(3, 500, A$3:C$5, A$7:A$9, B$7:B$9)</f>
        <v>#NAME?</v>
      </c>
      <c r="F161" s="46" t="e">
        <f ca="1"/>
        <v>#NAME?</v>
      </c>
      <c r="G161" s="46" t="e">
        <f ca="1"/>
        <v>#NAME?</v>
      </c>
      <c r="P161" s="46" t="e">
        <f ca="1">1430*E161+435*F161+2412*G161</f>
        <v>#NAME?</v>
      </c>
      <c r="R161" s="46" t="e">
        <f ca="1"/>
        <v>#NAME?</v>
      </c>
    </row>
    <row r="162" spans="5:18">
      <c r="E162" s="46" t="e">
        <f t="array" aca="1" ref="E162:G162" ca="1">MultivarXs(3, 500, A$3:C$5, A$7:A$9, B$7:B$9)</f>
        <v>#NAME?</v>
      </c>
      <c r="F162" s="46" t="e">
        <f ca="1"/>
        <v>#NAME?</v>
      </c>
      <c r="G162" s="46" t="e">
        <f ca="1"/>
        <v>#NAME?</v>
      </c>
      <c r="P162" s="46" t="e">
        <f ca="1">1430*E162+435*F162+2412*G162</f>
        <v>#NAME?</v>
      </c>
      <c r="R162" s="46" t="e">
        <f ca="1"/>
        <v>#NAME?</v>
      </c>
    </row>
    <row r="163" spans="5:18">
      <c r="E163" s="46" t="e">
        <f t="array" aca="1" ref="E163:G163" ca="1">MultivarXs(3, 500, A$3:C$5, A$7:A$9, B$7:B$9)</f>
        <v>#NAME?</v>
      </c>
      <c r="F163" s="46" t="e">
        <f ca="1"/>
        <v>#NAME?</v>
      </c>
      <c r="G163" s="46" t="e">
        <f ca="1"/>
        <v>#NAME?</v>
      </c>
      <c r="P163" s="46" t="e">
        <f ca="1">1430*E163+435*F163+2412*G163</f>
        <v>#NAME?</v>
      </c>
      <c r="R163" s="46" t="e">
        <f ca="1"/>
        <v>#NAME?</v>
      </c>
    </row>
    <row r="164" spans="5:18">
      <c r="E164" s="46" t="e">
        <f t="array" aca="1" ref="E164:G164" ca="1">MultivarXs(3, 500, A$3:C$5, A$7:A$9, B$7:B$9)</f>
        <v>#NAME?</v>
      </c>
      <c r="F164" s="46" t="e">
        <f ca="1"/>
        <v>#NAME?</v>
      </c>
      <c r="G164" s="46" t="e">
        <f ca="1"/>
        <v>#NAME?</v>
      </c>
      <c r="P164" s="46" t="e">
        <f ca="1">1430*E164+435*F164+2412*G164</f>
        <v>#NAME?</v>
      </c>
      <c r="R164" s="46" t="e">
        <f ca="1"/>
        <v>#NAME?</v>
      </c>
    </row>
    <row r="165" spans="5:18">
      <c r="E165" s="46" t="e">
        <f t="array" aca="1" ref="E165:G165" ca="1">MultivarXs(3, 500, A$3:C$5, A$7:A$9, B$7:B$9)</f>
        <v>#NAME?</v>
      </c>
      <c r="F165" s="46" t="e">
        <f ca="1"/>
        <v>#NAME?</v>
      </c>
      <c r="G165" s="46" t="e">
        <f ca="1"/>
        <v>#NAME?</v>
      </c>
      <c r="P165" s="46" t="e">
        <f ca="1">1430*E165+435*F165+2412*G165</f>
        <v>#NAME?</v>
      </c>
      <c r="R165" s="46" t="e">
        <f ca="1"/>
        <v>#NAME?</v>
      </c>
    </row>
    <row r="166" spans="5:18">
      <c r="E166" s="46" t="e">
        <f t="array" aca="1" ref="E166:G166" ca="1">MultivarXs(3, 500, A$3:C$5, A$7:A$9, B$7:B$9)</f>
        <v>#NAME?</v>
      </c>
      <c r="F166" s="46" t="e">
        <f ca="1"/>
        <v>#NAME?</v>
      </c>
      <c r="G166" s="46" t="e">
        <f ca="1"/>
        <v>#NAME?</v>
      </c>
      <c r="P166" s="46" t="e">
        <f ca="1">1430*E166+435*F166+2412*G166</f>
        <v>#NAME?</v>
      </c>
      <c r="R166" s="46" t="e">
        <f ca="1"/>
        <v>#NAME?</v>
      </c>
    </row>
    <row r="167" spans="5:18">
      <c r="E167" s="46" t="e">
        <f t="array" aca="1" ref="E167:G167" ca="1">MultivarXs(3, 500, A$3:C$5, A$7:A$9, B$7:B$9)</f>
        <v>#NAME?</v>
      </c>
      <c r="F167" s="46" t="e">
        <f ca="1"/>
        <v>#NAME?</v>
      </c>
      <c r="G167" s="46" t="e">
        <f ca="1"/>
        <v>#NAME?</v>
      </c>
      <c r="P167" s="46" t="e">
        <f ca="1">1430*E167+435*F167+2412*G167</f>
        <v>#NAME?</v>
      </c>
      <c r="R167" s="46" t="e">
        <f ca="1"/>
        <v>#NAME?</v>
      </c>
    </row>
    <row r="168" spans="5:18">
      <c r="E168" s="46" t="e">
        <f t="array" aca="1" ref="E168:G168" ca="1">MultivarXs(3, 500, A$3:C$5, A$7:A$9, B$7:B$9)</f>
        <v>#NAME?</v>
      </c>
      <c r="F168" s="46" t="e">
        <f ca="1"/>
        <v>#NAME?</v>
      </c>
      <c r="G168" s="46" t="e">
        <f ca="1"/>
        <v>#NAME?</v>
      </c>
      <c r="P168" s="46" t="e">
        <f ca="1">1430*E168+435*F168+2412*G168</f>
        <v>#NAME?</v>
      </c>
      <c r="R168" s="46" t="e">
        <f ca="1"/>
        <v>#NAME?</v>
      </c>
    </row>
    <row r="169" spans="5:18">
      <c r="E169" s="46" t="e">
        <f t="array" aca="1" ref="E169:G169" ca="1">MultivarXs(3, 500, A$3:C$5, A$7:A$9, B$7:B$9)</f>
        <v>#NAME?</v>
      </c>
      <c r="F169" s="46" t="e">
        <f ca="1"/>
        <v>#NAME?</v>
      </c>
      <c r="G169" s="46" t="e">
        <f ca="1"/>
        <v>#NAME?</v>
      </c>
      <c r="P169" s="46" t="e">
        <f ca="1">1430*E169+435*F169+2412*G169</f>
        <v>#NAME?</v>
      </c>
      <c r="R169" s="46" t="e">
        <f ca="1"/>
        <v>#NAME?</v>
      </c>
    </row>
    <row r="170" spans="5:18">
      <c r="E170" s="46" t="e">
        <f t="array" aca="1" ref="E170:G170" ca="1">MultivarXs(3, 500, A$3:C$5, A$7:A$9, B$7:B$9)</f>
        <v>#NAME?</v>
      </c>
      <c r="F170" s="46" t="e">
        <f ca="1"/>
        <v>#NAME?</v>
      </c>
      <c r="G170" s="46" t="e">
        <f ca="1"/>
        <v>#NAME?</v>
      </c>
      <c r="P170" s="46" t="e">
        <f ca="1">1430*E170+435*F170+2412*G170</f>
        <v>#NAME?</v>
      </c>
      <c r="R170" s="46" t="e">
        <f ca="1"/>
        <v>#NAME?</v>
      </c>
    </row>
    <row r="171" spans="5:18">
      <c r="E171" s="46" t="e">
        <f t="array" aca="1" ref="E171:G171" ca="1">MultivarXs(3, 500, A$3:C$5, A$7:A$9, B$7:B$9)</f>
        <v>#NAME?</v>
      </c>
      <c r="F171" s="46" t="e">
        <f ca="1"/>
        <v>#NAME?</v>
      </c>
      <c r="G171" s="46" t="e">
        <f ca="1"/>
        <v>#NAME?</v>
      </c>
      <c r="P171" s="46" t="e">
        <f ca="1">1430*E171+435*F171+2412*G171</f>
        <v>#NAME?</v>
      </c>
      <c r="R171" s="46" t="e">
        <f ca="1"/>
        <v>#NAME?</v>
      </c>
    </row>
    <row r="172" spans="5:18">
      <c r="E172" s="46" t="e">
        <f t="array" aca="1" ref="E172:G172" ca="1">MultivarXs(3, 500, A$3:C$5, A$7:A$9, B$7:B$9)</f>
        <v>#NAME?</v>
      </c>
      <c r="F172" s="46" t="e">
        <f ca="1"/>
        <v>#NAME?</v>
      </c>
      <c r="G172" s="46" t="e">
        <f ca="1"/>
        <v>#NAME?</v>
      </c>
      <c r="P172" s="46" t="e">
        <f ca="1">1430*E172+435*F172+2412*G172</f>
        <v>#NAME?</v>
      </c>
      <c r="R172" s="46" t="e">
        <f ca="1"/>
        <v>#NAME?</v>
      </c>
    </row>
    <row r="173" spans="5:18">
      <c r="E173" s="46" t="e">
        <f t="array" aca="1" ref="E173:G173" ca="1">MultivarXs(3, 500, A$3:C$5, A$7:A$9, B$7:B$9)</f>
        <v>#NAME?</v>
      </c>
      <c r="F173" s="46" t="e">
        <f ca="1"/>
        <v>#NAME?</v>
      </c>
      <c r="G173" s="46" t="e">
        <f ca="1"/>
        <v>#NAME?</v>
      </c>
      <c r="P173" s="46" t="e">
        <f ca="1">1430*E173+435*F173+2412*G173</f>
        <v>#NAME?</v>
      </c>
      <c r="R173" s="46" t="e">
        <f ca="1"/>
        <v>#NAME?</v>
      </c>
    </row>
    <row r="174" spans="5:18">
      <c r="E174" s="46" t="e">
        <f t="array" aca="1" ref="E174:G174" ca="1">MultivarXs(3, 500, A$3:C$5, A$7:A$9, B$7:B$9)</f>
        <v>#NAME?</v>
      </c>
      <c r="F174" s="46" t="e">
        <f ca="1"/>
        <v>#NAME?</v>
      </c>
      <c r="G174" s="46" t="e">
        <f ca="1"/>
        <v>#NAME?</v>
      </c>
      <c r="P174" s="46" t="e">
        <f ca="1">1430*E174+435*F174+2412*G174</f>
        <v>#NAME?</v>
      </c>
      <c r="R174" s="46" t="e">
        <f ca="1"/>
        <v>#NAME?</v>
      </c>
    </row>
    <row r="175" spans="5:18">
      <c r="E175" s="46" t="e">
        <f t="array" aca="1" ref="E175:G175" ca="1">MultivarXs(3, 500, A$3:C$5, A$7:A$9, B$7:B$9)</f>
        <v>#NAME?</v>
      </c>
      <c r="F175" s="46" t="e">
        <f ca="1"/>
        <v>#NAME?</v>
      </c>
      <c r="G175" s="46" t="e">
        <f ca="1"/>
        <v>#NAME?</v>
      </c>
      <c r="P175" s="46" t="e">
        <f ca="1">1430*E175+435*F175+2412*G175</f>
        <v>#NAME?</v>
      </c>
      <c r="R175" s="46" t="e">
        <f ca="1"/>
        <v>#NAME?</v>
      </c>
    </row>
    <row r="176" spans="5:18">
      <c r="E176" s="46" t="e">
        <f t="array" aca="1" ref="E176:G176" ca="1">MultivarXs(3, 500, A$3:C$5, A$7:A$9, B$7:B$9)</f>
        <v>#NAME?</v>
      </c>
      <c r="F176" s="46" t="e">
        <f ca="1"/>
        <v>#NAME?</v>
      </c>
      <c r="G176" s="46" t="e">
        <f ca="1"/>
        <v>#NAME?</v>
      </c>
      <c r="P176" s="46" t="e">
        <f ca="1">1430*E176+435*F176+2412*G176</f>
        <v>#NAME?</v>
      </c>
      <c r="R176" s="46" t="e">
        <f ca="1"/>
        <v>#NAME?</v>
      </c>
    </row>
    <row r="177" spans="5:18">
      <c r="E177" s="46" t="e">
        <f t="array" aca="1" ref="E177:G177" ca="1">MultivarXs(3, 500, A$3:C$5, A$7:A$9, B$7:B$9)</f>
        <v>#NAME?</v>
      </c>
      <c r="F177" s="46" t="e">
        <f ca="1"/>
        <v>#NAME?</v>
      </c>
      <c r="G177" s="46" t="e">
        <f ca="1"/>
        <v>#NAME?</v>
      </c>
      <c r="P177" s="46" t="e">
        <f ca="1">1430*E177+435*F177+2412*G177</f>
        <v>#NAME?</v>
      </c>
      <c r="R177" s="46" t="e">
        <f ca="1"/>
        <v>#NAME?</v>
      </c>
    </row>
    <row r="178" spans="5:18">
      <c r="E178" s="46" t="e">
        <f t="array" aca="1" ref="E178:G178" ca="1">MultivarXs(3, 500, A$3:C$5, A$7:A$9, B$7:B$9)</f>
        <v>#NAME?</v>
      </c>
      <c r="F178" s="46" t="e">
        <f ca="1"/>
        <v>#NAME?</v>
      </c>
      <c r="G178" s="46" t="e">
        <f ca="1"/>
        <v>#NAME?</v>
      </c>
      <c r="P178" s="46" t="e">
        <f ca="1">1430*E178+435*F178+2412*G178</f>
        <v>#NAME?</v>
      </c>
      <c r="R178" s="46" t="e">
        <f ca="1"/>
        <v>#NAME?</v>
      </c>
    </row>
    <row r="179" spans="5:18">
      <c r="E179" s="46" t="e">
        <f t="array" aca="1" ref="E179:G179" ca="1">MultivarXs(3, 500, A$3:C$5, A$7:A$9, B$7:B$9)</f>
        <v>#NAME?</v>
      </c>
      <c r="F179" s="46" t="e">
        <f ca="1"/>
        <v>#NAME?</v>
      </c>
      <c r="G179" s="46" t="e">
        <f ca="1"/>
        <v>#NAME?</v>
      </c>
      <c r="P179" s="46" t="e">
        <f ca="1">1430*E179+435*F179+2412*G179</f>
        <v>#NAME?</v>
      </c>
      <c r="R179" s="46" t="e">
        <f ca="1"/>
        <v>#NAME?</v>
      </c>
    </row>
    <row r="180" spans="5:18">
      <c r="E180" s="46" t="e">
        <f t="array" aca="1" ref="E180:G180" ca="1">MultivarXs(3, 500, A$3:C$5, A$7:A$9, B$7:B$9)</f>
        <v>#NAME?</v>
      </c>
      <c r="F180" s="46" t="e">
        <f ca="1"/>
        <v>#NAME?</v>
      </c>
      <c r="G180" s="46" t="e">
        <f ca="1"/>
        <v>#NAME?</v>
      </c>
      <c r="P180" s="46" t="e">
        <f ca="1">1430*E180+435*F180+2412*G180</f>
        <v>#NAME?</v>
      </c>
      <c r="R180" s="46" t="e">
        <f ca="1"/>
        <v>#NAME?</v>
      </c>
    </row>
    <row r="181" spans="5:18">
      <c r="E181" s="46" t="e">
        <f t="array" aca="1" ref="E181:G181" ca="1">MultivarXs(3, 500, A$3:C$5, A$7:A$9, B$7:B$9)</f>
        <v>#NAME?</v>
      </c>
      <c r="F181" s="46" t="e">
        <f ca="1"/>
        <v>#NAME?</v>
      </c>
      <c r="G181" s="46" t="e">
        <f ca="1"/>
        <v>#NAME?</v>
      </c>
      <c r="P181" s="46" t="e">
        <f ca="1">1430*E181+435*F181+2412*G181</f>
        <v>#NAME?</v>
      </c>
      <c r="R181" s="46" t="e">
        <f ca="1"/>
        <v>#NAME?</v>
      </c>
    </row>
    <row r="182" spans="5:18">
      <c r="E182" s="46" t="e">
        <f t="array" aca="1" ref="E182:G182" ca="1">MultivarXs(3, 500, A$3:C$5, A$7:A$9, B$7:B$9)</f>
        <v>#NAME?</v>
      </c>
      <c r="F182" s="46" t="e">
        <f ca="1"/>
        <v>#NAME?</v>
      </c>
      <c r="G182" s="46" t="e">
        <f ca="1"/>
        <v>#NAME?</v>
      </c>
      <c r="P182" s="46" t="e">
        <f ca="1">1430*E182+435*F182+2412*G182</f>
        <v>#NAME?</v>
      </c>
      <c r="R182" s="46" t="e">
        <f ca="1"/>
        <v>#NAME?</v>
      </c>
    </row>
    <row r="183" spans="5:18">
      <c r="E183" s="46" t="e">
        <f t="array" aca="1" ref="E183:G183" ca="1">MultivarXs(3, 500, A$3:C$5, A$7:A$9, B$7:B$9)</f>
        <v>#NAME?</v>
      </c>
      <c r="F183" s="46" t="e">
        <f ca="1"/>
        <v>#NAME?</v>
      </c>
      <c r="G183" s="46" t="e">
        <f ca="1"/>
        <v>#NAME?</v>
      </c>
      <c r="P183" s="46" t="e">
        <f ca="1">1430*E183+435*F183+2412*G183</f>
        <v>#NAME?</v>
      </c>
      <c r="R183" s="46" t="e">
        <f ca="1"/>
        <v>#NAME?</v>
      </c>
    </row>
    <row r="184" spans="5:18">
      <c r="E184" s="46" t="e">
        <f t="array" aca="1" ref="E184:G184" ca="1">MultivarXs(3, 500, A$3:C$5, A$7:A$9, B$7:B$9)</f>
        <v>#NAME?</v>
      </c>
      <c r="F184" s="46" t="e">
        <f ca="1"/>
        <v>#NAME?</v>
      </c>
      <c r="G184" s="46" t="e">
        <f ca="1"/>
        <v>#NAME?</v>
      </c>
      <c r="P184" s="46" t="e">
        <f ca="1">1430*E184+435*F184+2412*G184</f>
        <v>#NAME?</v>
      </c>
      <c r="R184" s="46" t="e">
        <f ca="1"/>
        <v>#NAME?</v>
      </c>
    </row>
    <row r="185" spans="5:18">
      <c r="E185" s="46" t="e">
        <f t="array" aca="1" ref="E185:G185" ca="1">MultivarXs(3, 500, A$3:C$5, A$7:A$9, B$7:B$9)</f>
        <v>#NAME?</v>
      </c>
      <c r="F185" s="46" t="e">
        <f ca="1"/>
        <v>#NAME?</v>
      </c>
      <c r="G185" s="46" t="e">
        <f ca="1"/>
        <v>#NAME?</v>
      </c>
      <c r="P185" s="46" t="e">
        <f ca="1">1430*E185+435*F185+2412*G185</f>
        <v>#NAME?</v>
      </c>
      <c r="R185" s="46" t="e">
        <f ca="1"/>
        <v>#NAME?</v>
      </c>
    </row>
    <row r="186" spans="5:18">
      <c r="E186" s="46" t="e">
        <f t="array" aca="1" ref="E186:G186" ca="1">MultivarXs(3, 500, A$3:C$5, A$7:A$9, B$7:B$9)</f>
        <v>#NAME?</v>
      </c>
      <c r="F186" s="46" t="e">
        <f ca="1"/>
        <v>#NAME?</v>
      </c>
      <c r="G186" s="46" t="e">
        <f ca="1"/>
        <v>#NAME?</v>
      </c>
      <c r="P186" s="46" t="e">
        <f ca="1">1430*E186+435*F186+2412*G186</f>
        <v>#NAME?</v>
      </c>
      <c r="R186" s="46" t="e">
        <f ca="1"/>
        <v>#NAME?</v>
      </c>
    </row>
    <row r="187" spans="5:18">
      <c r="E187" s="46" t="e">
        <f t="array" aca="1" ref="E187:G187" ca="1">MultivarXs(3, 500, A$3:C$5, A$7:A$9, B$7:B$9)</f>
        <v>#NAME?</v>
      </c>
      <c r="F187" s="46" t="e">
        <f ca="1"/>
        <v>#NAME?</v>
      </c>
      <c r="G187" s="46" t="e">
        <f ca="1"/>
        <v>#NAME?</v>
      </c>
      <c r="P187" s="46" t="e">
        <f ca="1">1430*E187+435*F187+2412*G187</f>
        <v>#NAME?</v>
      </c>
      <c r="R187" s="46" t="e">
        <f ca="1"/>
        <v>#NAME?</v>
      </c>
    </row>
    <row r="188" spans="5:18">
      <c r="E188" s="46" t="e">
        <f t="array" aca="1" ref="E188:G188" ca="1">MultivarXs(3, 500, A$3:C$5, A$7:A$9, B$7:B$9)</f>
        <v>#NAME?</v>
      </c>
      <c r="F188" s="46" t="e">
        <f ca="1"/>
        <v>#NAME?</v>
      </c>
      <c r="G188" s="46" t="e">
        <f ca="1"/>
        <v>#NAME?</v>
      </c>
      <c r="P188" s="46" t="e">
        <f ca="1">1430*E188+435*F188+2412*G188</f>
        <v>#NAME?</v>
      </c>
      <c r="R188" s="46" t="e">
        <f ca="1"/>
        <v>#NAME?</v>
      </c>
    </row>
    <row r="189" spans="5:18">
      <c r="E189" s="46" t="e">
        <f t="array" aca="1" ref="E189:G189" ca="1">MultivarXs(3, 500, A$3:C$5, A$7:A$9, B$7:B$9)</f>
        <v>#NAME?</v>
      </c>
      <c r="F189" s="46" t="e">
        <f ca="1"/>
        <v>#NAME?</v>
      </c>
      <c r="G189" s="46" t="e">
        <f ca="1"/>
        <v>#NAME?</v>
      </c>
      <c r="P189" s="46" t="e">
        <f ca="1">1430*E189+435*F189+2412*G189</f>
        <v>#NAME?</v>
      </c>
      <c r="R189" s="46" t="e">
        <f ca="1"/>
        <v>#NAME?</v>
      </c>
    </row>
    <row r="190" spans="5:18">
      <c r="E190" s="46" t="e">
        <f t="array" aca="1" ref="E190:G190" ca="1">MultivarXs(3, 500, A$3:C$5, A$7:A$9, B$7:B$9)</f>
        <v>#NAME?</v>
      </c>
      <c r="F190" s="46" t="e">
        <f ca="1"/>
        <v>#NAME?</v>
      </c>
      <c r="G190" s="46" t="e">
        <f ca="1"/>
        <v>#NAME?</v>
      </c>
      <c r="P190" s="46" t="e">
        <f ca="1">1430*E190+435*F190+2412*G190</f>
        <v>#NAME?</v>
      </c>
      <c r="R190" s="46" t="e">
        <f ca="1"/>
        <v>#NAME?</v>
      </c>
    </row>
    <row r="191" spans="5:18">
      <c r="E191" s="46" t="e">
        <f t="array" aca="1" ref="E191:G191" ca="1">MultivarXs(3, 500, A$3:C$5, A$7:A$9, B$7:B$9)</f>
        <v>#NAME?</v>
      </c>
      <c r="F191" s="46" t="e">
        <f ca="1"/>
        <v>#NAME?</v>
      </c>
      <c r="G191" s="46" t="e">
        <f ca="1"/>
        <v>#NAME?</v>
      </c>
      <c r="P191" s="46" t="e">
        <f ca="1">1430*E191+435*F191+2412*G191</f>
        <v>#NAME?</v>
      </c>
      <c r="R191" s="46" t="e">
        <f ca="1"/>
        <v>#NAME?</v>
      </c>
    </row>
    <row r="192" spans="5:18">
      <c r="E192" s="46" t="e">
        <f t="array" aca="1" ref="E192:G192" ca="1">MultivarXs(3, 500, A$3:C$5, A$7:A$9, B$7:B$9)</f>
        <v>#NAME?</v>
      </c>
      <c r="F192" s="46" t="e">
        <f ca="1"/>
        <v>#NAME?</v>
      </c>
      <c r="G192" s="46" t="e">
        <f ca="1"/>
        <v>#NAME?</v>
      </c>
      <c r="P192" s="46" t="e">
        <f ca="1">1430*E192+435*F192+2412*G192</f>
        <v>#NAME?</v>
      </c>
      <c r="R192" s="46" t="e">
        <f ca="1"/>
        <v>#NAME?</v>
      </c>
    </row>
    <row r="193" spans="5:18">
      <c r="E193" s="46" t="e">
        <f t="array" aca="1" ref="E193:G193" ca="1">MultivarXs(3, 500, A$3:C$5, A$7:A$9, B$7:B$9)</f>
        <v>#NAME?</v>
      </c>
      <c r="F193" s="46" t="e">
        <f ca="1"/>
        <v>#NAME?</v>
      </c>
      <c r="G193" s="46" t="e">
        <f ca="1"/>
        <v>#NAME?</v>
      </c>
      <c r="P193" s="46" t="e">
        <f ca="1">1430*E193+435*F193+2412*G193</f>
        <v>#NAME?</v>
      </c>
      <c r="R193" s="46" t="e">
        <f ca="1"/>
        <v>#NAME?</v>
      </c>
    </row>
    <row r="194" spans="5:18">
      <c r="E194" s="46" t="e">
        <f t="array" aca="1" ref="E194:G194" ca="1">MultivarXs(3, 500, A$3:C$5, A$7:A$9, B$7:B$9)</f>
        <v>#NAME?</v>
      </c>
      <c r="F194" s="46" t="e">
        <f ca="1"/>
        <v>#NAME?</v>
      </c>
      <c r="G194" s="46" t="e">
        <f ca="1"/>
        <v>#NAME?</v>
      </c>
      <c r="P194" s="46" t="e">
        <f ca="1">1430*E194+435*F194+2412*G194</f>
        <v>#NAME?</v>
      </c>
      <c r="R194" s="46" t="e">
        <f ca="1"/>
        <v>#NAME?</v>
      </c>
    </row>
    <row r="195" spans="5:18">
      <c r="E195" s="46" t="e">
        <f t="array" aca="1" ref="E195:G195" ca="1">MultivarXs(3, 500, A$3:C$5, A$7:A$9, B$7:B$9)</f>
        <v>#NAME?</v>
      </c>
      <c r="F195" s="46" t="e">
        <f ca="1"/>
        <v>#NAME?</v>
      </c>
      <c r="G195" s="46" t="e">
        <f ca="1"/>
        <v>#NAME?</v>
      </c>
      <c r="P195" s="46" t="e">
        <f ca="1">1430*E195+435*F195+2412*G195</f>
        <v>#NAME?</v>
      </c>
      <c r="R195" s="46" t="e">
        <f ca="1"/>
        <v>#NAME?</v>
      </c>
    </row>
    <row r="196" spans="5:18">
      <c r="E196" s="46" t="e">
        <f t="array" aca="1" ref="E196:G196" ca="1">MultivarXs(3, 500, A$3:C$5, A$7:A$9, B$7:B$9)</f>
        <v>#NAME?</v>
      </c>
      <c r="F196" s="46" t="e">
        <f ca="1"/>
        <v>#NAME?</v>
      </c>
      <c r="G196" s="46" t="e">
        <f ca="1"/>
        <v>#NAME?</v>
      </c>
      <c r="P196" s="46" t="e">
        <f ca="1">1430*E196+435*F196+2412*G196</f>
        <v>#NAME?</v>
      </c>
      <c r="R196" s="46" t="e">
        <f ca="1"/>
        <v>#NAME?</v>
      </c>
    </row>
    <row r="197" spans="5:18">
      <c r="E197" s="46" t="e">
        <f t="array" aca="1" ref="E197:G197" ca="1">MultivarXs(3, 500, A$3:C$5, A$7:A$9, B$7:B$9)</f>
        <v>#NAME?</v>
      </c>
      <c r="F197" s="46" t="e">
        <f ca="1"/>
        <v>#NAME?</v>
      </c>
      <c r="G197" s="46" t="e">
        <f ca="1"/>
        <v>#NAME?</v>
      </c>
      <c r="P197" s="46" t="e">
        <f ca="1">1430*E197+435*F197+2412*G197</f>
        <v>#NAME?</v>
      </c>
      <c r="R197" s="46" t="e">
        <f ca="1"/>
        <v>#NAME?</v>
      </c>
    </row>
    <row r="198" spans="5:18">
      <c r="E198" s="46" t="e">
        <f t="array" aca="1" ref="E198:G198" ca="1">MultivarXs(3, 500, A$3:C$5, A$7:A$9, B$7:B$9)</f>
        <v>#NAME?</v>
      </c>
      <c r="F198" s="46" t="e">
        <f ca="1"/>
        <v>#NAME?</v>
      </c>
      <c r="G198" s="46" t="e">
        <f ca="1"/>
        <v>#NAME?</v>
      </c>
      <c r="P198" s="46" t="e">
        <f ca="1">1430*E198+435*F198+2412*G198</f>
        <v>#NAME?</v>
      </c>
      <c r="R198" s="46" t="e">
        <f ca="1"/>
        <v>#NAME?</v>
      </c>
    </row>
    <row r="199" spans="5:18">
      <c r="E199" s="46" t="e">
        <f t="array" aca="1" ref="E199:G199" ca="1">MultivarXs(3, 500, A$3:C$5, A$7:A$9, B$7:B$9)</f>
        <v>#NAME?</v>
      </c>
      <c r="F199" s="46" t="e">
        <f ca="1"/>
        <v>#NAME?</v>
      </c>
      <c r="G199" s="46" t="e">
        <f ca="1"/>
        <v>#NAME?</v>
      </c>
      <c r="P199" s="46" t="e">
        <f ca="1">1430*E199+435*F199+2412*G199</f>
        <v>#NAME?</v>
      </c>
      <c r="R199" s="46" t="e">
        <f ca="1"/>
        <v>#NAME?</v>
      </c>
    </row>
    <row r="200" spans="5:18">
      <c r="E200" s="46" t="e">
        <f t="array" aca="1" ref="E200:G200" ca="1">MultivarXs(3, 500, A$3:C$5, A$7:A$9, B$7:B$9)</f>
        <v>#NAME?</v>
      </c>
      <c r="F200" s="46" t="e">
        <f ca="1"/>
        <v>#NAME?</v>
      </c>
      <c r="G200" s="46" t="e">
        <f ca="1"/>
        <v>#NAME?</v>
      </c>
      <c r="P200" s="46" t="e">
        <f ca="1">1430*E200+435*F200+2412*G200</f>
        <v>#NAME?</v>
      </c>
      <c r="R200" s="46" t="e">
        <f ca="1"/>
        <v>#NAME?</v>
      </c>
    </row>
    <row r="201" spans="5:18">
      <c r="E201" s="46" t="e">
        <f t="array" aca="1" ref="E201:G201" ca="1">MultivarXs(3, 500, A$3:C$5, A$7:A$9, B$7:B$9)</f>
        <v>#NAME?</v>
      </c>
      <c r="F201" s="46" t="e">
        <f ca="1"/>
        <v>#NAME?</v>
      </c>
      <c r="G201" s="46" t="e">
        <f ca="1"/>
        <v>#NAME?</v>
      </c>
      <c r="P201" s="46" t="e">
        <f ca="1">1430*E201+435*F201+2412*G201</f>
        <v>#NAME?</v>
      </c>
      <c r="R201" s="46" t="e">
        <f ca="1"/>
        <v>#NAME?</v>
      </c>
    </row>
    <row r="202" spans="5:18">
      <c r="E202" s="46" t="e">
        <f t="array" aca="1" ref="E202:G202" ca="1">MultivarXs(3, 500, A$3:C$5, A$7:A$9, B$7:B$9)</f>
        <v>#NAME?</v>
      </c>
      <c r="F202" s="46" t="e">
        <f ca="1"/>
        <v>#NAME?</v>
      </c>
      <c r="G202" s="46" t="e">
        <f ca="1"/>
        <v>#NAME?</v>
      </c>
      <c r="P202" s="46" t="e">
        <f ca="1">1430*E202+435*F202+2412*G202</f>
        <v>#NAME?</v>
      </c>
      <c r="R202" s="46" t="e">
        <f ca="1"/>
        <v>#NAME?</v>
      </c>
    </row>
    <row r="203" spans="5:18">
      <c r="E203" s="46" t="e">
        <f t="array" aca="1" ref="E203:G203" ca="1">MultivarXs(3, 500, A$3:C$5, A$7:A$9, B$7:B$9)</f>
        <v>#NAME?</v>
      </c>
      <c r="F203" s="46" t="e">
        <f ca="1"/>
        <v>#NAME?</v>
      </c>
      <c r="G203" s="46" t="e">
        <f ca="1"/>
        <v>#NAME?</v>
      </c>
      <c r="P203" s="46" t="e">
        <f ca="1">1430*E203+435*F203+2412*G203</f>
        <v>#NAME?</v>
      </c>
      <c r="R203" s="46" t="e">
        <f ca="1"/>
        <v>#NAME?</v>
      </c>
    </row>
    <row r="204" spans="5:18">
      <c r="E204" s="46" t="e">
        <f t="array" aca="1" ref="E204:G204" ca="1">MultivarXs(3, 500, A$3:C$5, A$7:A$9, B$7:B$9)</f>
        <v>#NAME?</v>
      </c>
      <c r="F204" s="46" t="e">
        <f ca="1"/>
        <v>#NAME?</v>
      </c>
      <c r="G204" s="46" t="e">
        <f ca="1"/>
        <v>#NAME?</v>
      </c>
      <c r="P204" s="46" t="e">
        <f ca="1">1430*E204+435*F204+2412*G204</f>
        <v>#NAME?</v>
      </c>
      <c r="R204" s="46" t="e">
        <f ca="1"/>
        <v>#NAME?</v>
      </c>
    </row>
    <row r="205" spans="5:18">
      <c r="E205" s="46" t="e">
        <f t="array" aca="1" ref="E205:G205" ca="1">MultivarXs(3, 500, A$3:C$5, A$7:A$9, B$7:B$9)</f>
        <v>#NAME?</v>
      </c>
      <c r="F205" s="46" t="e">
        <f ca="1"/>
        <v>#NAME?</v>
      </c>
      <c r="G205" s="46" t="e">
        <f ca="1"/>
        <v>#NAME?</v>
      </c>
      <c r="P205" s="46" t="e">
        <f ca="1">1430*E205+435*F205+2412*G205</f>
        <v>#NAME?</v>
      </c>
      <c r="R205" s="46" t="e">
        <f ca="1"/>
        <v>#NAME?</v>
      </c>
    </row>
    <row r="206" spans="5:18">
      <c r="E206" s="46" t="e">
        <f t="array" aca="1" ref="E206:G206" ca="1">MultivarXs(3, 500, A$3:C$5, A$7:A$9, B$7:B$9)</f>
        <v>#NAME?</v>
      </c>
      <c r="F206" s="46" t="e">
        <f ca="1"/>
        <v>#NAME?</v>
      </c>
      <c r="G206" s="46" t="e">
        <f ca="1"/>
        <v>#NAME?</v>
      </c>
      <c r="P206" s="46" t="e">
        <f ca="1">1430*E206+435*F206+2412*G206</f>
        <v>#NAME?</v>
      </c>
      <c r="R206" s="46" t="e">
        <f ca="1"/>
        <v>#NAME?</v>
      </c>
    </row>
    <row r="207" spans="5:18">
      <c r="E207" s="46" t="e">
        <f t="array" aca="1" ref="E207:G207" ca="1">MultivarXs(3, 500, A$3:C$5, A$7:A$9, B$7:B$9)</f>
        <v>#NAME?</v>
      </c>
      <c r="F207" s="46" t="e">
        <f ca="1"/>
        <v>#NAME?</v>
      </c>
      <c r="G207" s="46" t="e">
        <f ca="1"/>
        <v>#NAME?</v>
      </c>
      <c r="P207" s="46" t="e">
        <f ca="1">1430*E207+435*F207+2412*G207</f>
        <v>#NAME?</v>
      </c>
      <c r="R207" s="46" t="e">
        <f ca="1"/>
        <v>#NAME?</v>
      </c>
    </row>
    <row r="208" spans="5:18">
      <c r="E208" s="46" t="e">
        <f t="array" aca="1" ref="E208:G208" ca="1">MultivarXs(3, 500, A$3:C$5, A$7:A$9, B$7:B$9)</f>
        <v>#NAME?</v>
      </c>
      <c r="F208" s="46" t="e">
        <f ca="1"/>
        <v>#NAME?</v>
      </c>
      <c r="G208" s="46" t="e">
        <f ca="1"/>
        <v>#NAME?</v>
      </c>
      <c r="P208" s="46" t="e">
        <f ca="1">1430*E208+435*F208+2412*G208</f>
        <v>#NAME?</v>
      </c>
      <c r="R208" s="46" t="e">
        <f ca="1"/>
        <v>#NAME?</v>
      </c>
    </row>
    <row r="209" spans="5:18">
      <c r="E209" s="46" t="e">
        <f t="array" aca="1" ref="E209:G209" ca="1">MultivarXs(3, 500, A$3:C$5, A$7:A$9, B$7:B$9)</f>
        <v>#NAME?</v>
      </c>
      <c r="F209" s="46" t="e">
        <f ca="1"/>
        <v>#NAME?</v>
      </c>
      <c r="G209" s="46" t="e">
        <f ca="1"/>
        <v>#NAME?</v>
      </c>
      <c r="P209" s="46" t="e">
        <f ca="1">1430*E209+435*F209+2412*G209</f>
        <v>#NAME?</v>
      </c>
      <c r="R209" s="46" t="e">
        <f ca="1"/>
        <v>#NAME?</v>
      </c>
    </row>
    <row r="210" spans="5:18">
      <c r="E210" s="46" t="e">
        <f t="array" aca="1" ref="E210:G210" ca="1">MultivarXs(3, 500, A$3:C$5, A$7:A$9, B$7:B$9)</f>
        <v>#NAME?</v>
      </c>
      <c r="F210" s="46" t="e">
        <f ca="1"/>
        <v>#NAME?</v>
      </c>
      <c r="G210" s="46" t="e">
        <f ca="1"/>
        <v>#NAME?</v>
      </c>
      <c r="P210" s="46" t="e">
        <f ca="1">1430*E210+435*F210+2412*G210</f>
        <v>#NAME?</v>
      </c>
      <c r="R210" s="46" t="e">
        <f ca="1"/>
        <v>#NAME?</v>
      </c>
    </row>
    <row r="211" spans="5:18">
      <c r="E211" s="46" t="e">
        <f t="array" aca="1" ref="E211:G211" ca="1">MultivarXs(3, 500, A$3:C$5, A$7:A$9, B$7:B$9)</f>
        <v>#NAME?</v>
      </c>
      <c r="F211" s="46" t="e">
        <f ca="1"/>
        <v>#NAME?</v>
      </c>
      <c r="G211" s="46" t="e">
        <f ca="1"/>
        <v>#NAME?</v>
      </c>
      <c r="P211" s="46" t="e">
        <f ca="1">1430*E211+435*F211+2412*G211</f>
        <v>#NAME?</v>
      </c>
      <c r="R211" s="46" t="e">
        <f ca="1"/>
        <v>#NAME?</v>
      </c>
    </row>
    <row r="212" spans="5:18">
      <c r="E212" s="46" t="e">
        <f t="array" aca="1" ref="E212:G212" ca="1">MultivarXs(3, 500, A$3:C$5, A$7:A$9, B$7:B$9)</f>
        <v>#NAME?</v>
      </c>
      <c r="F212" s="46" t="e">
        <f ca="1"/>
        <v>#NAME?</v>
      </c>
      <c r="G212" s="46" t="e">
        <f ca="1"/>
        <v>#NAME?</v>
      </c>
      <c r="P212" s="46" t="e">
        <f ca="1">1430*E212+435*F212+2412*G212</f>
        <v>#NAME?</v>
      </c>
      <c r="R212" s="46" t="e">
        <f ca="1"/>
        <v>#NAME?</v>
      </c>
    </row>
    <row r="213" spans="5:18">
      <c r="E213" s="46" t="e">
        <f t="array" aca="1" ref="E213:G213" ca="1">MultivarXs(3, 500, A$3:C$5, A$7:A$9, B$7:B$9)</f>
        <v>#NAME?</v>
      </c>
      <c r="F213" s="46" t="e">
        <f ca="1"/>
        <v>#NAME?</v>
      </c>
      <c r="G213" s="46" t="e">
        <f ca="1"/>
        <v>#NAME?</v>
      </c>
      <c r="P213" s="46" t="e">
        <f ca="1">1430*E213+435*F213+2412*G213</f>
        <v>#NAME?</v>
      </c>
      <c r="R213" s="46" t="e">
        <f ca="1"/>
        <v>#NAME?</v>
      </c>
    </row>
    <row r="214" spans="5:18">
      <c r="E214" s="46" t="e">
        <f t="array" aca="1" ref="E214:G214" ca="1">MultivarXs(3, 500, A$3:C$5, A$7:A$9, B$7:B$9)</f>
        <v>#NAME?</v>
      </c>
      <c r="F214" s="46" t="e">
        <f ca="1"/>
        <v>#NAME?</v>
      </c>
      <c r="G214" s="46" t="e">
        <f ca="1"/>
        <v>#NAME?</v>
      </c>
      <c r="P214" s="46" t="e">
        <f ca="1">1430*E214+435*F214+2412*G214</f>
        <v>#NAME?</v>
      </c>
      <c r="R214" s="46" t="e">
        <f ca="1"/>
        <v>#NAME?</v>
      </c>
    </row>
    <row r="215" spans="5:18">
      <c r="E215" s="46" t="e">
        <f t="array" aca="1" ref="E215:G215" ca="1">MultivarXs(3, 500, A$3:C$5, A$7:A$9, B$7:B$9)</f>
        <v>#NAME?</v>
      </c>
      <c r="F215" s="46" t="e">
        <f ca="1"/>
        <v>#NAME?</v>
      </c>
      <c r="G215" s="46" t="e">
        <f ca="1"/>
        <v>#NAME?</v>
      </c>
      <c r="P215" s="46" t="e">
        <f ca="1">1430*E215+435*F215+2412*G215</f>
        <v>#NAME?</v>
      </c>
      <c r="R215" s="46" t="e">
        <f ca="1"/>
        <v>#NAME?</v>
      </c>
    </row>
    <row r="216" spans="5:18">
      <c r="E216" s="46" t="e">
        <f t="array" aca="1" ref="E216:G216" ca="1">MultivarXs(3, 500, A$3:C$5, A$7:A$9, B$7:B$9)</f>
        <v>#NAME?</v>
      </c>
      <c r="F216" s="46" t="e">
        <f ca="1"/>
        <v>#NAME?</v>
      </c>
      <c r="G216" s="46" t="e">
        <f ca="1"/>
        <v>#NAME?</v>
      </c>
      <c r="P216" s="46" t="e">
        <f ca="1">1430*E216+435*F216+2412*G216</f>
        <v>#NAME?</v>
      </c>
      <c r="R216" s="46" t="e">
        <f ca="1"/>
        <v>#NAME?</v>
      </c>
    </row>
    <row r="217" spans="5:18">
      <c r="E217" s="46" t="e">
        <f t="array" aca="1" ref="E217:G217" ca="1">MultivarXs(3, 500, A$3:C$5, A$7:A$9, B$7:B$9)</f>
        <v>#NAME?</v>
      </c>
      <c r="F217" s="46" t="e">
        <f ca="1"/>
        <v>#NAME?</v>
      </c>
      <c r="G217" s="46" t="e">
        <f ca="1"/>
        <v>#NAME?</v>
      </c>
      <c r="P217" s="46" t="e">
        <f ca="1">1430*E217+435*F217+2412*G217</f>
        <v>#NAME?</v>
      </c>
      <c r="R217" s="46" t="e">
        <f ca="1"/>
        <v>#NAME?</v>
      </c>
    </row>
    <row r="218" spans="5:18">
      <c r="E218" s="46" t="e">
        <f t="array" aca="1" ref="E218:G218" ca="1">MultivarXs(3, 500, A$3:C$5, A$7:A$9, B$7:B$9)</f>
        <v>#NAME?</v>
      </c>
      <c r="F218" s="46" t="e">
        <f ca="1"/>
        <v>#NAME?</v>
      </c>
      <c r="G218" s="46" t="e">
        <f ca="1"/>
        <v>#NAME?</v>
      </c>
      <c r="P218" s="46" t="e">
        <f ca="1">1430*E218+435*F218+2412*G218</f>
        <v>#NAME?</v>
      </c>
      <c r="R218" s="46" t="e">
        <f ca="1"/>
        <v>#NAME?</v>
      </c>
    </row>
    <row r="219" spans="5:18">
      <c r="E219" s="46" t="e">
        <f t="array" aca="1" ref="E219:G219" ca="1">MultivarXs(3, 500, A$3:C$5, A$7:A$9, B$7:B$9)</f>
        <v>#NAME?</v>
      </c>
      <c r="F219" s="46" t="e">
        <f ca="1"/>
        <v>#NAME?</v>
      </c>
      <c r="G219" s="46" t="e">
        <f ca="1"/>
        <v>#NAME?</v>
      </c>
      <c r="P219" s="46" t="e">
        <f ca="1">1430*E219+435*F219+2412*G219</f>
        <v>#NAME?</v>
      </c>
      <c r="R219" s="46" t="e">
        <f ca="1"/>
        <v>#NAME?</v>
      </c>
    </row>
    <row r="220" spans="5:18">
      <c r="E220" s="46" t="e">
        <f t="array" aca="1" ref="E220:G220" ca="1">MultivarXs(3, 500, A$3:C$5, A$7:A$9, B$7:B$9)</f>
        <v>#NAME?</v>
      </c>
      <c r="F220" s="46" t="e">
        <f ca="1"/>
        <v>#NAME?</v>
      </c>
      <c r="G220" s="46" t="e">
        <f ca="1"/>
        <v>#NAME?</v>
      </c>
      <c r="P220" s="46" t="e">
        <f ca="1">1430*E220+435*F220+2412*G220</f>
        <v>#NAME?</v>
      </c>
      <c r="R220" s="46" t="e">
        <f ca="1"/>
        <v>#NAME?</v>
      </c>
    </row>
    <row r="221" spans="5:18">
      <c r="E221" s="46" t="e">
        <f t="array" aca="1" ref="E221:G221" ca="1">MultivarXs(3, 500, A$3:C$5, A$7:A$9, B$7:B$9)</f>
        <v>#NAME?</v>
      </c>
      <c r="F221" s="46" t="e">
        <f ca="1"/>
        <v>#NAME?</v>
      </c>
      <c r="G221" s="46" t="e">
        <f ca="1"/>
        <v>#NAME?</v>
      </c>
      <c r="P221" s="46" t="e">
        <f ca="1">1430*E221+435*F221+2412*G221</f>
        <v>#NAME?</v>
      </c>
      <c r="R221" s="46" t="e">
        <f ca="1"/>
        <v>#NAME?</v>
      </c>
    </row>
    <row r="222" spans="5:18">
      <c r="E222" s="46" t="e">
        <f t="array" aca="1" ref="E222:G222" ca="1">MultivarXs(3, 500, A$3:C$5, A$7:A$9, B$7:B$9)</f>
        <v>#NAME?</v>
      </c>
      <c r="F222" s="46" t="e">
        <f ca="1"/>
        <v>#NAME?</v>
      </c>
      <c r="G222" s="46" t="e">
        <f ca="1"/>
        <v>#NAME?</v>
      </c>
      <c r="P222" s="46" t="e">
        <f ca="1">1430*E222+435*F222+2412*G222</f>
        <v>#NAME?</v>
      </c>
      <c r="R222" s="46" t="e">
        <f ca="1"/>
        <v>#NAME?</v>
      </c>
    </row>
    <row r="223" spans="5:18">
      <c r="E223" s="46" t="e">
        <f t="array" aca="1" ref="E223:G223" ca="1">MultivarXs(3, 500, A$3:C$5, A$7:A$9, B$7:B$9)</f>
        <v>#NAME?</v>
      </c>
      <c r="F223" s="46" t="e">
        <f ca="1"/>
        <v>#NAME?</v>
      </c>
      <c r="G223" s="46" t="e">
        <f ca="1"/>
        <v>#NAME?</v>
      </c>
      <c r="P223" s="46" t="e">
        <f ca="1">1430*E223+435*F223+2412*G223</f>
        <v>#NAME?</v>
      </c>
      <c r="R223" s="46" t="e">
        <f ca="1"/>
        <v>#NAME?</v>
      </c>
    </row>
    <row r="224" spans="5:18">
      <c r="E224" s="46" t="e">
        <f t="array" aca="1" ref="E224:G224" ca="1">MultivarXs(3, 500, A$3:C$5, A$7:A$9, B$7:B$9)</f>
        <v>#NAME?</v>
      </c>
      <c r="F224" s="46" t="e">
        <f ca="1"/>
        <v>#NAME?</v>
      </c>
      <c r="G224" s="46" t="e">
        <f ca="1"/>
        <v>#NAME?</v>
      </c>
      <c r="P224" s="46" t="e">
        <f ca="1">1430*E224+435*F224+2412*G224</f>
        <v>#NAME?</v>
      </c>
      <c r="R224" s="46" t="e">
        <f ca="1"/>
        <v>#NAME?</v>
      </c>
    </row>
    <row r="225" spans="5:18">
      <c r="E225" s="46" t="e">
        <f t="array" aca="1" ref="E225:G225" ca="1">MultivarXs(3, 500, A$3:C$5, A$7:A$9, B$7:B$9)</f>
        <v>#NAME?</v>
      </c>
      <c r="F225" s="46" t="e">
        <f ca="1"/>
        <v>#NAME?</v>
      </c>
      <c r="G225" s="46" t="e">
        <f ca="1"/>
        <v>#NAME?</v>
      </c>
      <c r="P225" s="46" t="e">
        <f ca="1">1430*E225+435*F225+2412*G225</f>
        <v>#NAME?</v>
      </c>
      <c r="R225" s="46" t="e">
        <f ca="1"/>
        <v>#NAME?</v>
      </c>
    </row>
    <row r="226" spans="5:18">
      <c r="E226" s="46" t="e">
        <f t="array" aca="1" ref="E226:G226" ca="1">MultivarXs(3, 500, A$3:C$5, A$7:A$9, B$7:B$9)</f>
        <v>#NAME?</v>
      </c>
      <c r="F226" s="46" t="e">
        <f ca="1"/>
        <v>#NAME?</v>
      </c>
      <c r="G226" s="46" t="e">
        <f ca="1"/>
        <v>#NAME?</v>
      </c>
      <c r="P226" s="46" t="e">
        <f ca="1">1430*E226+435*F226+2412*G226</f>
        <v>#NAME?</v>
      </c>
      <c r="R226" s="46" t="e">
        <f ca="1"/>
        <v>#NAME?</v>
      </c>
    </row>
    <row r="227" spans="5:18">
      <c r="E227" s="46" t="e">
        <f t="array" aca="1" ref="E227:G227" ca="1">MultivarXs(3, 500, A$3:C$5, A$7:A$9, B$7:B$9)</f>
        <v>#NAME?</v>
      </c>
      <c r="F227" s="46" t="e">
        <f ca="1"/>
        <v>#NAME?</v>
      </c>
      <c r="G227" s="46" t="e">
        <f ca="1"/>
        <v>#NAME?</v>
      </c>
      <c r="P227" s="46" t="e">
        <f ca="1">1430*E227+435*F227+2412*G227</f>
        <v>#NAME?</v>
      </c>
      <c r="R227" s="46" t="e">
        <f ca="1"/>
        <v>#NAME?</v>
      </c>
    </row>
    <row r="228" spans="5:18">
      <c r="E228" s="46" t="e">
        <f t="array" aca="1" ref="E228:G228" ca="1">MultivarXs(3, 500, A$3:C$5, A$7:A$9, B$7:B$9)</f>
        <v>#NAME?</v>
      </c>
      <c r="F228" s="46" t="e">
        <f ca="1"/>
        <v>#NAME?</v>
      </c>
      <c r="G228" s="46" t="e">
        <f ca="1"/>
        <v>#NAME?</v>
      </c>
      <c r="P228" s="46" t="e">
        <f ca="1">1430*E228+435*F228+2412*G228</f>
        <v>#NAME?</v>
      </c>
      <c r="R228" s="46" t="e">
        <f ca="1"/>
        <v>#NAME?</v>
      </c>
    </row>
    <row r="229" spans="5:18">
      <c r="E229" s="46" t="e">
        <f t="array" aca="1" ref="E229:G229" ca="1">MultivarXs(3, 500, A$3:C$5, A$7:A$9, B$7:B$9)</f>
        <v>#NAME?</v>
      </c>
      <c r="F229" s="46" t="e">
        <f ca="1"/>
        <v>#NAME?</v>
      </c>
      <c r="G229" s="46" t="e">
        <f ca="1"/>
        <v>#NAME?</v>
      </c>
      <c r="P229" s="46" t="e">
        <f ca="1">1430*E229+435*F229+2412*G229</f>
        <v>#NAME?</v>
      </c>
      <c r="R229" s="46" t="e">
        <f ca="1"/>
        <v>#NAME?</v>
      </c>
    </row>
    <row r="230" spans="5:18">
      <c r="E230" s="46" t="e">
        <f t="array" aca="1" ref="E230:G230" ca="1">MultivarXs(3, 500, A$3:C$5, A$7:A$9, B$7:B$9)</f>
        <v>#NAME?</v>
      </c>
      <c r="F230" s="46" t="e">
        <f ca="1"/>
        <v>#NAME?</v>
      </c>
      <c r="G230" s="46" t="e">
        <f ca="1"/>
        <v>#NAME?</v>
      </c>
      <c r="P230" s="46" t="e">
        <f ca="1">1430*E230+435*F230+2412*G230</f>
        <v>#NAME?</v>
      </c>
      <c r="R230" s="46" t="e">
        <f ca="1"/>
        <v>#NAME?</v>
      </c>
    </row>
    <row r="231" spans="5:18">
      <c r="E231" s="46" t="e">
        <f t="array" aca="1" ref="E231:G231" ca="1">MultivarXs(3, 500, A$3:C$5, A$7:A$9, B$7:B$9)</f>
        <v>#NAME?</v>
      </c>
      <c r="F231" s="46" t="e">
        <f ca="1"/>
        <v>#NAME?</v>
      </c>
      <c r="G231" s="46" t="e">
        <f ca="1"/>
        <v>#NAME?</v>
      </c>
      <c r="P231" s="46" t="e">
        <f ca="1">1430*E231+435*F231+2412*G231</f>
        <v>#NAME?</v>
      </c>
      <c r="R231" s="46" t="e">
        <f ca="1"/>
        <v>#NAME?</v>
      </c>
    </row>
    <row r="232" spans="5:18">
      <c r="E232" s="46" t="e">
        <f t="array" aca="1" ref="E232:G232" ca="1">MultivarXs(3, 500, A$3:C$5, A$7:A$9, B$7:B$9)</f>
        <v>#NAME?</v>
      </c>
      <c r="F232" s="46" t="e">
        <f ca="1"/>
        <v>#NAME?</v>
      </c>
      <c r="G232" s="46" t="e">
        <f ca="1"/>
        <v>#NAME?</v>
      </c>
      <c r="P232" s="46" t="e">
        <f ca="1">1430*E232+435*F232+2412*G232</f>
        <v>#NAME?</v>
      </c>
      <c r="R232" s="46" t="e">
        <f ca="1"/>
        <v>#NAME?</v>
      </c>
    </row>
    <row r="233" spans="5:18">
      <c r="E233" s="46" t="e">
        <f t="array" aca="1" ref="E233:G233" ca="1">MultivarXs(3, 500, A$3:C$5, A$7:A$9, B$7:B$9)</f>
        <v>#NAME?</v>
      </c>
      <c r="F233" s="46" t="e">
        <f ca="1"/>
        <v>#NAME?</v>
      </c>
      <c r="G233" s="46" t="e">
        <f ca="1"/>
        <v>#NAME?</v>
      </c>
      <c r="P233" s="46" t="e">
        <f ca="1">1430*E233+435*F233+2412*G233</f>
        <v>#NAME?</v>
      </c>
      <c r="R233" s="46" t="e">
        <f ca="1"/>
        <v>#NAME?</v>
      </c>
    </row>
    <row r="234" spans="5:18">
      <c r="E234" s="46" t="e">
        <f t="array" aca="1" ref="E234:G234" ca="1">MultivarXs(3, 500, A$3:C$5, A$7:A$9, B$7:B$9)</f>
        <v>#NAME?</v>
      </c>
      <c r="F234" s="46" t="e">
        <f ca="1"/>
        <v>#NAME?</v>
      </c>
      <c r="G234" s="46" t="e">
        <f ca="1"/>
        <v>#NAME?</v>
      </c>
      <c r="P234" s="46" t="e">
        <f ca="1">1430*E234+435*F234+2412*G234</f>
        <v>#NAME?</v>
      </c>
      <c r="R234" s="46" t="e">
        <f ca="1"/>
        <v>#NAME?</v>
      </c>
    </row>
    <row r="235" spans="5:18">
      <c r="E235" s="46" t="e">
        <f t="array" aca="1" ref="E235:G235" ca="1">MultivarXs(3, 500, A$3:C$5, A$7:A$9, B$7:B$9)</f>
        <v>#NAME?</v>
      </c>
      <c r="F235" s="46" t="e">
        <f ca="1"/>
        <v>#NAME?</v>
      </c>
      <c r="G235" s="46" t="e">
        <f ca="1"/>
        <v>#NAME?</v>
      </c>
      <c r="P235" s="46" t="e">
        <f ca="1">1430*E235+435*F235+2412*G235</f>
        <v>#NAME?</v>
      </c>
      <c r="R235" s="46" t="e">
        <f ca="1"/>
        <v>#NAME?</v>
      </c>
    </row>
    <row r="236" spans="5:18">
      <c r="E236" s="46" t="e">
        <f t="array" aca="1" ref="E236:G236" ca="1">MultivarXs(3, 500, A$3:C$5, A$7:A$9, B$7:B$9)</f>
        <v>#NAME?</v>
      </c>
      <c r="F236" s="46" t="e">
        <f ca="1"/>
        <v>#NAME?</v>
      </c>
      <c r="G236" s="46" t="e">
        <f ca="1"/>
        <v>#NAME?</v>
      </c>
      <c r="P236" s="46" t="e">
        <f ca="1">1430*E236+435*F236+2412*G236</f>
        <v>#NAME?</v>
      </c>
      <c r="R236" s="46" t="e">
        <f ca="1"/>
        <v>#NAME?</v>
      </c>
    </row>
    <row r="237" spans="5:18">
      <c r="E237" s="46" t="e">
        <f t="array" aca="1" ref="E237:G237" ca="1">MultivarXs(3, 500, A$3:C$5, A$7:A$9, B$7:B$9)</f>
        <v>#NAME?</v>
      </c>
      <c r="F237" s="46" t="e">
        <f ca="1"/>
        <v>#NAME?</v>
      </c>
      <c r="G237" s="46" t="e">
        <f ca="1"/>
        <v>#NAME?</v>
      </c>
      <c r="P237" s="46" t="e">
        <f ca="1">1430*E237+435*F237+2412*G237</f>
        <v>#NAME?</v>
      </c>
      <c r="R237" s="46" t="e">
        <f ca="1"/>
        <v>#NAME?</v>
      </c>
    </row>
    <row r="238" spans="5:18">
      <c r="E238" s="46" t="e">
        <f t="array" aca="1" ref="E238:G238" ca="1">MultivarXs(3, 500, A$3:C$5, A$7:A$9, B$7:B$9)</f>
        <v>#NAME?</v>
      </c>
      <c r="F238" s="46" t="e">
        <f ca="1"/>
        <v>#NAME?</v>
      </c>
      <c r="G238" s="46" t="e">
        <f ca="1"/>
        <v>#NAME?</v>
      </c>
      <c r="P238" s="46" t="e">
        <f ca="1">1430*E238+435*F238+2412*G238</f>
        <v>#NAME?</v>
      </c>
      <c r="R238" s="46" t="e">
        <f ca="1"/>
        <v>#NAME?</v>
      </c>
    </row>
    <row r="239" spans="5:18">
      <c r="E239" s="46" t="e">
        <f t="array" aca="1" ref="E239:G239" ca="1">MultivarXs(3, 500, A$3:C$5, A$7:A$9, B$7:B$9)</f>
        <v>#NAME?</v>
      </c>
      <c r="F239" s="46" t="e">
        <f ca="1"/>
        <v>#NAME?</v>
      </c>
      <c r="G239" s="46" t="e">
        <f ca="1"/>
        <v>#NAME?</v>
      </c>
      <c r="P239" s="46" t="e">
        <f ca="1">1430*E239+435*F239+2412*G239</f>
        <v>#NAME?</v>
      </c>
      <c r="R239" s="46" t="e">
        <f ca="1"/>
        <v>#NAME?</v>
      </c>
    </row>
    <row r="240" spans="5:18">
      <c r="E240" s="46" t="e">
        <f t="array" aca="1" ref="E240:G240" ca="1">MultivarXs(3, 500, A$3:C$5, A$7:A$9, B$7:B$9)</f>
        <v>#NAME?</v>
      </c>
      <c r="F240" s="46" t="e">
        <f ca="1"/>
        <v>#NAME?</v>
      </c>
      <c r="G240" s="46" t="e">
        <f ca="1"/>
        <v>#NAME?</v>
      </c>
      <c r="P240" s="46" t="e">
        <f ca="1">1430*E240+435*F240+2412*G240</f>
        <v>#NAME?</v>
      </c>
      <c r="R240" s="46" t="e">
        <f ca="1"/>
        <v>#NAME?</v>
      </c>
    </row>
    <row r="241" spans="5:18">
      <c r="E241" s="46" t="e">
        <f t="array" aca="1" ref="E241:G241" ca="1">MultivarXs(3, 500, A$3:C$5, A$7:A$9, B$7:B$9)</f>
        <v>#NAME?</v>
      </c>
      <c r="F241" s="46" t="e">
        <f ca="1"/>
        <v>#NAME?</v>
      </c>
      <c r="G241" s="46" t="e">
        <f ca="1"/>
        <v>#NAME?</v>
      </c>
      <c r="P241" s="46" t="e">
        <f ca="1">1430*E241+435*F241+2412*G241</f>
        <v>#NAME?</v>
      </c>
      <c r="R241" s="46" t="e">
        <f ca="1"/>
        <v>#NAME?</v>
      </c>
    </row>
    <row r="242" spans="5:18">
      <c r="E242" s="46" t="e">
        <f t="array" aca="1" ref="E242:G242" ca="1">MultivarXs(3, 500, A$3:C$5, A$7:A$9, B$7:B$9)</f>
        <v>#NAME?</v>
      </c>
      <c r="F242" s="46" t="e">
        <f ca="1"/>
        <v>#NAME?</v>
      </c>
      <c r="G242" s="46" t="e">
        <f ca="1"/>
        <v>#NAME?</v>
      </c>
      <c r="P242" s="46" t="e">
        <f ca="1">1430*E242+435*F242+2412*G242</f>
        <v>#NAME?</v>
      </c>
      <c r="R242" s="46" t="e">
        <f ca="1"/>
        <v>#NAME?</v>
      </c>
    </row>
    <row r="243" spans="5:18">
      <c r="E243" s="46" t="e">
        <f t="array" aca="1" ref="E243:G243" ca="1">MultivarXs(3, 500, A$3:C$5, A$7:A$9, B$7:B$9)</f>
        <v>#NAME?</v>
      </c>
      <c r="F243" s="46" t="e">
        <f ca="1"/>
        <v>#NAME?</v>
      </c>
      <c r="G243" s="46" t="e">
        <f ca="1"/>
        <v>#NAME?</v>
      </c>
      <c r="P243" s="46" t="e">
        <f ca="1">1430*E243+435*F243+2412*G243</f>
        <v>#NAME?</v>
      </c>
      <c r="R243" s="46" t="e">
        <f ca="1"/>
        <v>#NAME?</v>
      </c>
    </row>
    <row r="244" spans="5:18">
      <c r="E244" s="46" t="e">
        <f t="array" aca="1" ref="E244:G244" ca="1">MultivarXs(3, 500, A$3:C$5, A$7:A$9, B$7:B$9)</f>
        <v>#NAME?</v>
      </c>
      <c r="F244" s="46" t="e">
        <f ca="1"/>
        <v>#NAME?</v>
      </c>
      <c r="G244" s="46" t="e">
        <f ca="1"/>
        <v>#NAME?</v>
      </c>
      <c r="P244" s="46" t="e">
        <f ca="1">1430*E244+435*F244+2412*G244</f>
        <v>#NAME?</v>
      </c>
      <c r="R244" s="46" t="e">
        <f ca="1"/>
        <v>#NAME?</v>
      </c>
    </row>
    <row r="245" spans="5:18">
      <c r="E245" s="46" t="e">
        <f t="array" aca="1" ref="E245:G245" ca="1">MultivarXs(3, 500, A$3:C$5, A$7:A$9, B$7:B$9)</f>
        <v>#NAME?</v>
      </c>
      <c r="F245" s="46" t="e">
        <f ca="1"/>
        <v>#NAME?</v>
      </c>
      <c r="G245" s="46" t="e">
        <f ca="1"/>
        <v>#NAME?</v>
      </c>
      <c r="P245" s="46" t="e">
        <f ca="1">1430*E245+435*F245+2412*G245</f>
        <v>#NAME?</v>
      </c>
      <c r="R245" s="46" t="e">
        <f ca="1"/>
        <v>#NAME?</v>
      </c>
    </row>
    <row r="246" spans="5:18">
      <c r="E246" s="46" t="e">
        <f t="array" aca="1" ref="E246:G246" ca="1">MultivarXs(3, 500, A$3:C$5, A$7:A$9, B$7:B$9)</f>
        <v>#NAME?</v>
      </c>
      <c r="F246" s="46" t="e">
        <f ca="1"/>
        <v>#NAME?</v>
      </c>
      <c r="G246" s="46" t="e">
        <f ca="1"/>
        <v>#NAME?</v>
      </c>
      <c r="P246" s="46" t="e">
        <f ca="1">1430*E246+435*F246+2412*G246</f>
        <v>#NAME?</v>
      </c>
      <c r="R246" s="46" t="e">
        <f ca="1"/>
        <v>#NAME?</v>
      </c>
    </row>
    <row r="247" spans="5:18">
      <c r="E247" s="46" t="e">
        <f t="array" aca="1" ref="E247:G247" ca="1">MultivarXs(3, 500, A$3:C$5, A$7:A$9, B$7:B$9)</f>
        <v>#NAME?</v>
      </c>
      <c r="F247" s="46" t="e">
        <f ca="1"/>
        <v>#NAME?</v>
      </c>
      <c r="G247" s="46" t="e">
        <f ca="1"/>
        <v>#NAME?</v>
      </c>
      <c r="P247" s="46" t="e">
        <f ca="1">1430*E247+435*F247+2412*G247</f>
        <v>#NAME?</v>
      </c>
      <c r="R247" s="46" t="e">
        <f ca="1"/>
        <v>#NAME?</v>
      </c>
    </row>
    <row r="248" spans="5:18">
      <c r="E248" s="46" t="e">
        <f t="array" aca="1" ref="E248:G248" ca="1">MultivarXs(3, 500, A$3:C$5, A$7:A$9, B$7:B$9)</f>
        <v>#NAME?</v>
      </c>
      <c r="F248" s="46" t="e">
        <f ca="1"/>
        <v>#NAME?</v>
      </c>
      <c r="G248" s="46" t="e">
        <f ca="1"/>
        <v>#NAME?</v>
      </c>
      <c r="P248" s="46" t="e">
        <f ca="1">1430*E248+435*F248+2412*G248</f>
        <v>#NAME?</v>
      </c>
      <c r="R248" s="46" t="e">
        <f ca="1"/>
        <v>#NAME?</v>
      </c>
    </row>
    <row r="249" spans="5:18">
      <c r="E249" s="46" t="e">
        <f t="array" aca="1" ref="E249:G249" ca="1">MultivarXs(3, 500, A$3:C$5, A$7:A$9, B$7:B$9)</f>
        <v>#NAME?</v>
      </c>
      <c r="F249" s="46" t="e">
        <f ca="1"/>
        <v>#NAME?</v>
      </c>
      <c r="G249" s="46" t="e">
        <f ca="1"/>
        <v>#NAME?</v>
      </c>
      <c r="P249" s="46" t="e">
        <f ca="1">1430*E249+435*F249+2412*G249</f>
        <v>#NAME?</v>
      </c>
      <c r="R249" s="46" t="e">
        <f ca="1"/>
        <v>#NAME?</v>
      </c>
    </row>
    <row r="250" spans="5:18">
      <c r="E250" s="46" t="e">
        <f t="array" aca="1" ref="E250:G250" ca="1">MultivarXs(3, 500, A$3:C$5, A$7:A$9, B$7:B$9)</f>
        <v>#NAME?</v>
      </c>
      <c r="F250" s="46" t="e">
        <f ca="1"/>
        <v>#NAME?</v>
      </c>
      <c r="G250" s="46" t="e">
        <f ca="1"/>
        <v>#NAME?</v>
      </c>
      <c r="P250" s="46" t="e">
        <f ca="1">1430*E250+435*F250+2412*G250</f>
        <v>#NAME?</v>
      </c>
      <c r="R250" s="46" t="e">
        <f ca="1"/>
        <v>#NAME?</v>
      </c>
    </row>
    <row r="251" spans="5:18">
      <c r="E251" s="46" t="e">
        <f t="array" aca="1" ref="E251:G251" ca="1">MultivarXs(3, 500, A$3:C$5, A$7:A$9, B$7:B$9)</f>
        <v>#NAME?</v>
      </c>
      <c r="F251" s="46" t="e">
        <f ca="1"/>
        <v>#NAME?</v>
      </c>
      <c r="G251" s="46" t="e">
        <f ca="1"/>
        <v>#NAME?</v>
      </c>
      <c r="P251" s="46" t="e">
        <f ca="1">1430*E251+435*F251+2412*G251</f>
        <v>#NAME?</v>
      </c>
      <c r="R251" s="46" t="e">
        <f ca="1"/>
        <v>#NAME?</v>
      </c>
    </row>
    <row r="252" spans="5:18">
      <c r="E252" s="46" t="e">
        <f t="array" aca="1" ref="E252:G252" ca="1">MultivarXs(3, 500, A$3:C$5, A$7:A$9, B$7:B$9)</f>
        <v>#NAME?</v>
      </c>
      <c r="F252" s="46" t="e">
        <f ca="1"/>
        <v>#NAME?</v>
      </c>
      <c r="G252" s="46" t="e">
        <f ca="1"/>
        <v>#NAME?</v>
      </c>
      <c r="P252" s="46" t="e">
        <f ca="1">1430*E252+435*F252+2412*G252</f>
        <v>#NAME?</v>
      </c>
      <c r="R252" s="46" t="e">
        <f ca="1"/>
        <v>#NAME?</v>
      </c>
    </row>
    <row r="253" spans="5:18">
      <c r="E253" s="46" t="e">
        <f t="array" aca="1" ref="E253:G253" ca="1">MultivarXs(3, 500, A$3:C$5, A$7:A$9, B$7:B$9)</f>
        <v>#NAME?</v>
      </c>
      <c r="F253" s="46" t="e">
        <f ca="1"/>
        <v>#NAME?</v>
      </c>
      <c r="G253" s="46" t="e">
        <f ca="1"/>
        <v>#NAME?</v>
      </c>
      <c r="P253" s="46" t="e">
        <f ca="1">1430*E253+435*F253+2412*G253</f>
        <v>#NAME?</v>
      </c>
      <c r="R253" s="46" t="e">
        <f ca="1"/>
        <v>#NAME?</v>
      </c>
    </row>
    <row r="254" spans="5:18">
      <c r="E254" s="46" t="e">
        <f t="array" aca="1" ref="E254:G254" ca="1">MultivarXs(3, 500, A$3:C$5, A$7:A$9, B$7:B$9)</f>
        <v>#NAME?</v>
      </c>
      <c r="F254" s="46" t="e">
        <f ca="1"/>
        <v>#NAME?</v>
      </c>
      <c r="G254" s="46" t="e">
        <f ca="1"/>
        <v>#NAME?</v>
      </c>
      <c r="P254" s="46" t="e">
        <f ca="1">1430*E254+435*F254+2412*G254</f>
        <v>#NAME?</v>
      </c>
      <c r="R254" s="46" t="e">
        <f ca="1"/>
        <v>#NAME?</v>
      </c>
    </row>
    <row r="255" spans="5:18">
      <c r="E255" s="46" t="e">
        <f t="array" aca="1" ref="E255:G255" ca="1">MultivarXs(3, 500, A$3:C$5, A$7:A$9, B$7:B$9)</f>
        <v>#NAME?</v>
      </c>
      <c r="F255" s="46" t="e">
        <f ca="1"/>
        <v>#NAME?</v>
      </c>
      <c r="G255" s="46" t="e">
        <f ca="1"/>
        <v>#NAME?</v>
      </c>
      <c r="P255" s="46" t="e">
        <f ca="1">1430*E255+435*F255+2412*G255</f>
        <v>#NAME?</v>
      </c>
      <c r="R255" s="46" t="e">
        <f ca="1"/>
        <v>#NAME?</v>
      </c>
    </row>
    <row r="256" spans="5:18">
      <c r="E256" s="46" t="e">
        <f t="array" aca="1" ref="E256:G256" ca="1">MultivarXs(3, 500, A$3:C$5, A$7:A$9, B$7:B$9)</f>
        <v>#NAME?</v>
      </c>
      <c r="F256" s="46" t="e">
        <f ca="1"/>
        <v>#NAME?</v>
      </c>
      <c r="G256" s="46" t="e">
        <f ca="1"/>
        <v>#NAME?</v>
      </c>
      <c r="P256" s="46" t="e">
        <f ca="1">1430*E256+435*F256+2412*G256</f>
        <v>#NAME?</v>
      </c>
      <c r="R256" s="46" t="e">
        <f ca="1"/>
        <v>#NAME?</v>
      </c>
    </row>
    <row r="257" spans="5:18">
      <c r="E257" s="46" t="e">
        <f t="array" aca="1" ref="E257:G257" ca="1">MultivarXs(3, 500, A$3:C$5, A$7:A$9, B$7:B$9)</f>
        <v>#NAME?</v>
      </c>
      <c r="F257" s="46" t="e">
        <f ca="1"/>
        <v>#NAME?</v>
      </c>
      <c r="G257" s="46" t="e">
        <f ca="1"/>
        <v>#NAME?</v>
      </c>
      <c r="P257" s="46" t="e">
        <f ca="1">1430*E257+435*F257+2412*G257</f>
        <v>#NAME?</v>
      </c>
      <c r="R257" s="46" t="e">
        <f ca="1"/>
        <v>#NAME?</v>
      </c>
    </row>
    <row r="258" spans="5:18">
      <c r="E258" s="46" t="e">
        <f t="array" aca="1" ref="E258:G258" ca="1">MultivarXs(3, 500, A$3:C$5, A$7:A$9, B$7:B$9)</f>
        <v>#NAME?</v>
      </c>
      <c r="F258" s="46" t="e">
        <f ca="1"/>
        <v>#NAME?</v>
      </c>
      <c r="G258" s="46" t="e">
        <f ca="1"/>
        <v>#NAME?</v>
      </c>
      <c r="P258" s="46" t="e">
        <f ca="1">1430*E258+435*F258+2412*G258</f>
        <v>#NAME?</v>
      </c>
      <c r="R258" s="46" t="e">
        <f ca="1"/>
        <v>#NAME?</v>
      </c>
    </row>
    <row r="259" spans="5:18">
      <c r="E259" s="46" t="e">
        <f t="array" aca="1" ref="E259:G259" ca="1">MultivarXs(3, 500, A$3:C$5, A$7:A$9, B$7:B$9)</f>
        <v>#NAME?</v>
      </c>
      <c r="F259" s="46" t="e">
        <f ca="1"/>
        <v>#NAME?</v>
      </c>
      <c r="G259" s="46" t="e">
        <f ca="1"/>
        <v>#NAME?</v>
      </c>
      <c r="P259" s="46" t="e">
        <f ca="1">1430*E259+435*F259+2412*G259</f>
        <v>#NAME?</v>
      </c>
      <c r="R259" s="46" t="e">
        <f ca="1"/>
        <v>#NAME?</v>
      </c>
    </row>
    <row r="260" spans="5:18">
      <c r="E260" s="46" t="e">
        <f t="array" aca="1" ref="E260:G260" ca="1">MultivarXs(3, 500, A$3:C$5, A$7:A$9, B$7:B$9)</f>
        <v>#NAME?</v>
      </c>
      <c r="F260" s="46" t="e">
        <f ca="1"/>
        <v>#NAME?</v>
      </c>
      <c r="G260" s="46" t="e">
        <f ca="1"/>
        <v>#NAME?</v>
      </c>
      <c r="P260" s="46" t="e">
        <f ca="1">1430*E260+435*F260+2412*G260</f>
        <v>#NAME?</v>
      </c>
      <c r="R260" s="46" t="e">
        <f ca="1"/>
        <v>#NAME?</v>
      </c>
    </row>
    <row r="261" spans="5:18">
      <c r="E261" s="46" t="e">
        <f t="array" aca="1" ref="E261:G261" ca="1">MultivarXs(3, 500, A$3:C$5, A$7:A$9, B$7:B$9)</f>
        <v>#NAME?</v>
      </c>
      <c r="F261" s="46" t="e">
        <f ca="1"/>
        <v>#NAME?</v>
      </c>
      <c r="G261" s="46" t="e">
        <f ca="1"/>
        <v>#NAME?</v>
      </c>
      <c r="P261" s="46" t="e">
        <f ca="1">1430*E261+435*F261+2412*G261</f>
        <v>#NAME?</v>
      </c>
      <c r="R261" s="46" t="e">
        <f ca="1"/>
        <v>#NAME?</v>
      </c>
    </row>
    <row r="262" spans="5:18">
      <c r="E262" s="46" t="e">
        <f t="array" aca="1" ref="E262:G262" ca="1">MultivarXs(3, 500, A$3:C$5, A$7:A$9, B$7:B$9)</f>
        <v>#NAME?</v>
      </c>
      <c r="F262" s="46" t="e">
        <f ca="1"/>
        <v>#NAME?</v>
      </c>
      <c r="G262" s="46" t="e">
        <f ca="1"/>
        <v>#NAME?</v>
      </c>
      <c r="P262" s="46" t="e">
        <f ca="1">1430*E262+435*F262+2412*G262</f>
        <v>#NAME?</v>
      </c>
      <c r="R262" s="46" t="e">
        <f ca="1"/>
        <v>#NAME?</v>
      </c>
    </row>
    <row r="263" spans="5:18">
      <c r="E263" s="46" t="e">
        <f t="array" aca="1" ref="E263:G263" ca="1">MultivarXs(3, 500, A$3:C$5, A$7:A$9, B$7:B$9)</f>
        <v>#NAME?</v>
      </c>
      <c r="F263" s="46" t="e">
        <f ca="1"/>
        <v>#NAME?</v>
      </c>
      <c r="G263" s="46" t="e">
        <f ca="1"/>
        <v>#NAME?</v>
      </c>
      <c r="P263" s="46" t="e">
        <f ca="1">1430*E263+435*F263+2412*G263</f>
        <v>#NAME?</v>
      </c>
      <c r="R263" s="46" t="e">
        <f ca="1"/>
        <v>#NAME?</v>
      </c>
    </row>
    <row r="264" spans="5:18">
      <c r="E264" s="46" t="e">
        <f t="array" aca="1" ref="E264:G264" ca="1">MultivarXs(3, 500, A$3:C$5, A$7:A$9, B$7:B$9)</f>
        <v>#NAME?</v>
      </c>
      <c r="F264" s="46" t="e">
        <f ca="1"/>
        <v>#NAME?</v>
      </c>
      <c r="G264" s="46" t="e">
        <f ca="1"/>
        <v>#NAME?</v>
      </c>
      <c r="P264" s="46" t="e">
        <f ca="1">1430*E264+435*F264+2412*G264</f>
        <v>#NAME?</v>
      </c>
      <c r="R264" s="46" t="e">
        <f ca="1"/>
        <v>#NAME?</v>
      </c>
    </row>
    <row r="265" spans="5:18">
      <c r="E265" s="46" t="e">
        <f t="array" aca="1" ref="E265:G265" ca="1">MultivarXs(3, 500, A$3:C$5, A$7:A$9, B$7:B$9)</f>
        <v>#NAME?</v>
      </c>
      <c r="F265" s="46" t="e">
        <f ca="1"/>
        <v>#NAME?</v>
      </c>
      <c r="G265" s="46" t="e">
        <f ca="1"/>
        <v>#NAME?</v>
      </c>
      <c r="P265" s="46" t="e">
        <f ca="1">1430*E265+435*F265+2412*G265</f>
        <v>#NAME?</v>
      </c>
      <c r="R265" s="46" t="e">
        <f ca="1"/>
        <v>#NAME?</v>
      </c>
    </row>
    <row r="266" spans="5:18">
      <c r="E266" s="46" t="e">
        <f t="array" aca="1" ref="E266:G266" ca="1">MultivarXs(3, 500, A$3:C$5, A$7:A$9, B$7:B$9)</f>
        <v>#NAME?</v>
      </c>
      <c r="F266" s="46" t="e">
        <f ca="1"/>
        <v>#NAME?</v>
      </c>
      <c r="G266" s="46" t="e">
        <f ca="1"/>
        <v>#NAME?</v>
      </c>
      <c r="P266" s="46" t="e">
        <f ca="1">1430*E266+435*F266+2412*G266</f>
        <v>#NAME?</v>
      </c>
      <c r="R266" s="46" t="e">
        <f ca="1"/>
        <v>#NAME?</v>
      </c>
    </row>
    <row r="267" spans="5:18">
      <c r="E267" s="46" t="e">
        <f t="array" aca="1" ref="E267:G267" ca="1">MultivarXs(3, 500, A$3:C$5, A$7:A$9, B$7:B$9)</f>
        <v>#NAME?</v>
      </c>
      <c r="F267" s="46" t="e">
        <f ca="1"/>
        <v>#NAME?</v>
      </c>
      <c r="G267" s="46" t="e">
        <f ca="1"/>
        <v>#NAME?</v>
      </c>
      <c r="P267" s="46" t="e">
        <f ca="1">1430*E267+435*F267+2412*G267</f>
        <v>#NAME?</v>
      </c>
      <c r="R267" s="46" t="e">
        <f ca="1"/>
        <v>#NAME?</v>
      </c>
    </row>
    <row r="268" spans="5:18">
      <c r="E268" s="46" t="e">
        <f t="array" aca="1" ref="E268:G268" ca="1">MultivarXs(3, 500, A$3:C$5, A$7:A$9, B$7:B$9)</f>
        <v>#NAME?</v>
      </c>
      <c r="F268" s="46" t="e">
        <f ca="1"/>
        <v>#NAME?</v>
      </c>
      <c r="G268" s="46" t="e">
        <f ca="1"/>
        <v>#NAME?</v>
      </c>
      <c r="P268" s="46" t="e">
        <f ca="1">1430*E268+435*F268+2412*G268</f>
        <v>#NAME?</v>
      </c>
      <c r="R268" s="46" t="e">
        <f ca="1"/>
        <v>#NAME?</v>
      </c>
    </row>
    <row r="269" spans="5:18">
      <c r="E269" s="46" t="e">
        <f t="array" aca="1" ref="E269:G269" ca="1">MultivarXs(3, 500, A$3:C$5, A$7:A$9, B$7:B$9)</f>
        <v>#NAME?</v>
      </c>
      <c r="F269" s="46" t="e">
        <f ca="1"/>
        <v>#NAME?</v>
      </c>
      <c r="G269" s="46" t="e">
        <f ca="1"/>
        <v>#NAME?</v>
      </c>
      <c r="P269" s="46" t="e">
        <f ca="1">1430*E269+435*F269+2412*G269</f>
        <v>#NAME?</v>
      </c>
      <c r="R269" s="46" t="e">
        <f ca="1"/>
        <v>#NAME?</v>
      </c>
    </row>
    <row r="270" spans="5:18">
      <c r="E270" s="46" t="e">
        <f t="array" aca="1" ref="E270:G270" ca="1">MultivarXs(3, 500, A$3:C$5, A$7:A$9, B$7:B$9)</f>
        <v>#NAME?</v>
      </c>
      <c r="F270" s="46" t="e">
        <f ca="1"/>
        <v>#NAME?</v>
      </c>
      <c r="G270" s="46" t="e">
        <f ca="1"/>
        <v>#NAME?</v>
      </c>
      <c r="P270" s="46" t="e">
        <f ca="1">1430*E270+435*F270+2412*G270</f>
        <v>#NAME?</v>
      </c>
      <c r="R270" s="46" t="e">
        <f ca="1"/>
        <v>#NAME?</v>
      </c>
    </row>
    <row r="271" spans="5:18">
      <c r="E271" s="46" t="e">
        <f t="array" aca="1" ref="E271:G271" ca="1">MultivarXs(3, 500, A$3:C$5, A$7:A$9, B$7:B$9)</f>
        <v>#NAME?</v>
      </c>
      <c r="F271" s="46" t="e">
        <f ca="1"/>
        <v>#NAME?</v>
      </c>
      <c r="G271" s="46" t="e">
        <f ca="1"/>
        <v>#NAME?</v>
      </c>
      <c r="P271" s="46" t="e">
        <f ca="1">1430*E271+435*F271+2412*G271</f>
        <v>#NAME?</v>
      </c>
      <c r="R271" s="46" t="e">
        <f ca="1"/>
        <v>#NAME?</v>
      </c>
    </row>
    <row r="272" spans="5:18">
      <c r="E272" s="46" t="e">
        <f t="array" aca="1" ref="E272:G272" ca="1">MultivarXs(3, 500, A$3:C$5, A$7:A$9, B$7:B$9)</f>
        <v>#NAME?</v>
      </c>
      <c r="F272" s="46" t="e">
        <f ca="1"/>
        <v>#NAME?</v>
      </c>
      <c r="G272" s="46" t="e">
        <f ca="1"/>
        <v>#NAME?</v>
      </c>
      <c r="P272" s="46" t="e">
        <f ca="1">1430*E272+435*F272+2412*G272</f>
        <v>#NAME?</v>
      </c>
      <c r="R272" s="46" t="e">
        <f ca="1"/>
        <v>#NAME?</v>
      </c>
    </row>
    <row r="273" spans="5:18">
      <c r="E273" s="46" t="e">
        <f t="array" aca="1" ref="E273:G273" ca="1">MultivarXs(3, 500, A$3:C$5, A$7:A$9, B$7:B$9)</f>
        <v>#NAME?</v>
      </c>
      <c r="F273" s="46" t="e">
        <f ca="1"/>
        <v>#NAME?</v>
      </c>
      <c r="G273" s="46" t="e">
        <f ca="1"/>
        <v>#NAME?</v>
      </c>
      <c r="P273" s="46" t="e">
        <f ca="1">1430*E273+435*F273+2412*G273</f>
        <v>#NAME?</v>
      </c>
      <c r="R273" s="46" t="e">
        <f ca="1"/>
        <v>#NAME?</v>
      </c>
    </row>
    <row r="274" spans="5:18">
      <c r="E274" s="46" t="e">
        <f t="array" aca="1" ref="E274:G274" ca="1">MultivarXs(3, 500, A$3:C$5, A$7:A$9, B$7:B$9)</f>
        <v>#NAME?</v>
      </c>
      <c r="F274" s="46" t="e">
        <f ca="1"/>
        <v>#NAME?</v>
      </c>
      <c r="G274" s="46" t="e">
        <f ca="1"/>
        <v>#NAME?</v>
      </c>
      <c r="P274" s="46" t="e">
        <f ca="1">1430*E274+435*F274+2412*G274</f>
        <v>#NAME?</v>
      </c>
      <c r="R274" s="46" t="e">
        <f ca="1"/>
        <v>#NAME?</v>
      </c>
    </row>
    <row r="275" spans="5:18">
      <c r="E275" s="46" t="e">
        <f t="array" aca="1" ref="E275:G275" ca="1">MultivarXs(3, 500, A$3:C$5, A$7:A$9, B$7:B$9)</f>
        <v>#NAME?</v>
      </c>
      <c r="F275" s="46" t="e">
        <f ca="1"/>
        <v>#NAME?</v>
      </c>
      <c r="G275" s="46" t="e">
        <f ca="1"/>
        <v>#NAME?</v>
      </c>
      <c r="P275" s="46" t="e">
        <f ca="1">1430*E275+435*F275+2412*G275</f>
        <v>#NAME?</v>
      </c>
      <c r="R275" s="46" t="e">
        <f ca="1"/>
        <v>#NAME?</v>
      </c>
    </row>
    <row r="276" spans="5:18">
      <c r="E276" s="46" t="e">
        <f t="array" aca="1" ref="E276:G276" ca="1">MultivarXs(3, 500, A$3:C$5, A$7:A$9, B$7:B$9)</f>
        <v>#NAME?</v>
      </c>
      <c r="F276" s="46" t="e">
        <f ca="1"/>
        <v>#NAME?</v>
      </c>
      <c r="G276" s="46" t="e">
        <f ca="1"/>
        <v>#NAME?</v>
      </c>
      <c r="P276" s="46" t="e">
        <f ca="1">1430*E276+435*F276+2412*G276</f>
        <v>#NAME?</v>
      </c>
      <c r="R276" s="46" t="e">
        <f ca="1"/>
        <v>#NAME?</v>
      </c>
    </row>
    <row r="277" spans="5:18">
      <c r="E277" s="46" t="e">
        <f t="array" aca="1" ref="E277:G277" ca="1">MultivarXs(3, 500, A$3:C$5, A$7:A$9, B$7:B$9)</f>
        <v>#NAME?</v>
      </c>
      <c r="F277" s="46" t="e">
        <f ca="1"/>
        <v>#NAME?</v>
      </c>
      <c r="G277" s="46" t="e">
        <f ca="1"/>
        <v>#NAME?</v>
      </c>
      <c r="P277" s="46" t="e">
        <f ca="1">1430*E277+435*F277+2412*G277</f>
        <v>#NAME?</v>
      </c>
      <c r="R277" s="46" t="e">
        <f ca="1"/>
        <v>#NAME?</v>
      </c>
    </row>
    <row r="278" spans="5:18">
      <c r="E278" s="46" t="e">
        <f t="array" aca="1" ref="E278:G278" ca="1">MultivarXs(3, 500, A$3:C$5, A$7:A$9, B$7:B$9)</f>
        <v>#NAME?</v>
      </c>
      <c r="F278" s="46" t="e">
        <f ca="1"/>
        <v>#NAME?</v>
      </c>
      <c r="G278" s="46" t="e">
        <f ca="1"/>
        <v>#NAME?</v>
      </c>
      <c r="P278" s="46" t="e">
        <f ca="1">1430*E278+435*F278+2412*G278</f>
        <v>#NAME?</v>
      </c>
      <c r="R278" s="46" t="e">
        <f ca="1"/>
        <v>#NAME?</v>
      </c>
    </row>
    <row r="279" spans="5:18">
      <c r="E279" s="46" t="e">
        <f t="array" aca="1" ref="E279:G279" ca="1">MultivarXs(3, 500, A$3:C$5, A$7:A$9, B$7:B$9)</f>
        <v>#NAME?</v>
      </c>
      <c r="F279" s="46" t="e">
        <f ca="1"/>
        <v>#NAME?</v>
      </c>
      <c r="G279" s="46" t="e">
        <f ca="1"/>
        <v>#NAME?</v>
      </c>
      <c r="P279" s="46" t="e">
        <f ca="1">1430*E279+435*F279+2412*G279</f>
        <v>#NAME?</v>
      </c>
      <c r="R279" s="46" t="e">
        <f ca="1"/>
        <v>#NAME?</v>
      </c>
    </row>
    <row r="280" spans="5:18">
      <c r="E280" s="46" t="e">
        <f t="array" aca="1" ref="E280:G280" ca="1">MultivarXs(3, 500, A$3:C$5, A$7:A$9, B$7:B$9)</f>
        <v>#NAME?</v>
      </c>
      <c r="F280" s="46" t="e">
        <f ca="1"/>
        <v>#NAME?</v>
      </c>
      <c r="G280" s="46" t="e">
        <f ca="1"/>
        <v>#NAME?</v>
      </c>
      <c r="P280" s="46" t="e">
        <f ca="1">1430*E280+435*F280+2412*G280</f>
        <v>#NAME?</v>
      </c>
      <c r="R280" s="46" t="e">
        <f ca="1"/>
        <v>#NAME?</v>
      </c>
    </row>
    <row r="281" spans="5:18">
      <c r="E281" s="46" t="e">
        <f t="array" aca="1" ref="E281:G281" ca="1">MultivarXs(3, 500, A$3:C$5, A$7:A$9, B$7:B$9)</f>
        <v>#NAME?</v>
      </c>
      <c r="F281" s="46" t="e">
        <f ca="1"/>
        <v>#NAME?</v>
      </c>
      <c r="G281" s="46" t="e">
        <f ca="1"/>
        <v>#NAME?</v>
      </c>
      <c r="P281" s="46" t="e">
        <f ca="1">1430*E281+435*F281+2412*G281</f>
        <v>#NAME?</v>
      </c>
      <c r="R281" s="46" t="e">
        <f ca="1"/>
        <v>#NAME?</v>
      </c>
    </row>
    <row r="282" spans="5:18">
      <c r="E282" s="46" t="e">
        <f t="array" aca="1" ref="E282:G282" ca="1">MultivarXs(3, 500, A$3:C$5, A$7:A$9, B$7:B$9)</f>
        <v>#NAME?</v>
      </c>
      <c r="F282" s="46" t="e">
        <f ca="1"/>
        <v>#NAME?</v>
      </c>
      <c r="G282" s="46" t="e">
        <f ca="1"/>
        <v>#NAME?</v>
      </c>
      <c r="P282" s="46" t="e">
        <f ca="1">1430*E282+435*F282+2412*G282</f>
        <v>#NAME?</v>
      </c>
      <c r="R282" s="46" t="e">
        <f ca="1"/>
        <v>#NAME?</v>
      </c>
    </row>
    <row r="283" spans="5:18">
      <c r="E283" s="46" t="e">
        <f t="array" aca="1" ref="E283:G283" ca="1">MultivarXs(3, 500, A$3:C$5, A$7:A$9, B$7:B$9)</f>
        <v>#NAME?</v>
      </c>
      <c r="F283" s="46" t="e">
        <f ca="1"/>
        <v>#NAME?</v>
      </c>
      <c r="G283" s="46" t="e">
        <f ca="1"/>
        <v>#NAME?</v>
      </c>
      <c r="P283" s="46" t="e">
        <f ca="1">1430*E283+435*F283+2412*G283</f>
        <v>#NAME?</v>
      </c>
      <c r="R283" s="46" t="e">
        <f ca="1"/>
        <v>#NAME?</v>
      </c>
    </row>
    <row r="284" spans="5:18">
      <c r="E284" s="46" t="e">
        <f t="array" aca="1" ref="E284:G284" ca="1">MultivarXs(3, 500, A$3:C$5, A$7:A$9, B$7:B$9)</f>
        <v>#NAME?</v>
      </c>
      <c r="F284" s="46" t="e">
        <f ca="1"/>
        <v>#NAME?</v>
      </c>
      <c r="G284" s="46" t="e">
        <f ca="1"/>
        <v>#NAME?</v>
      </c>
      <c r="P284" s="46" t="e">
        <f ca="1">1430*E284+435*F284+2412*G284</f>
        <v>#NAME?</v>
      </c>
      <c r="R284" s="46" t="e">
        <f ca="1"/>
        <v>#NAME?</v>
      </c>
    </row>
    <row r="285" spans="5:18">
      <c r="E285" s="46" t="e">
        <f t="array" aca="1" ref="E285:G285" ca="1">MultivarXs(3, 500, A$3:C$5, A$7:A$9, B$7:B$9)</f>
        <v>#NAME?</v>
      </c>
      <c r="F285" s="46" t="e">
        <f ca="1"/>
        <v>#NAME?</v>
      </c>
      <c r="G285" s="46" t="e">
        <f ca="1"/>
        <v>#NAME?</v>
      </c>
      <c r="P285" s="46" t="e">
        <f ca="1">1430*E285+435*F285+2412*G285</f>
        <v>#NAME?</v>
      </c>
      <c r="R285" s="46" t="e">
        <f ca="1"/>
        <v>#NAME?</v>
      </c>
    </row>
    <row r="286" spans="5:18">
      <c r="E286" s="46" t="e">
        <f t="array" aca="1" ref="E286:G286" ca="1">MultivarXs(3, 500, A$3:C$5, A$7:A$9, B$7:B$9)</f>
        <v>#NAME?</v>
      </c>
      <c r="F286" s="46" t="e">
        <f ca="1"/>
        <v>#NAME?</v>
      </c>
      <c r="G286" s="46" t="e">
        <f ca="1"/>
        <v>#NAME?</v>
      </c>
      <c r="P286" s="46" t="e">
        <f ca="1">1430*E286+435*F286+2412*G286</f>
        <v>#NAME?</v>
      </c>
      <c r="R286" s="46" t="e">
        <f ca="1"/>
        <v>#NAME?</v>
      </c>
    </row>
    <row r="287" spans="5:18">
      <c r="E287" s="46" t="e">
        <f t="array" aca="1" ref="E287:G287" ca="1">MultivarXs(3, 500, A$3:C$5, A$7:A$9, B$7:B$9)</f>
        <v>#NAME?</v>
      </c>
      <c r="F287" s="46" t="e">
        <f ca="1"/>
        <v>#NAME?</v>
      </c>
      <c r="G287" s="46" t="e">
        <f ca="1"/>
        <v>#NAME?</v>
      </c>
      <c r="P287" s="46" t="e">
        <f ca="1">1430*E287+435*F287+2412*G287</f>
        <v>#NAME?</v>
      </c>
      <c r="R287" s="46" t="e">
        <f ca="1"/>
        <v>#NAME?</v>
      </c>
    </row>
    <row r="288" spans="5:18">
      <c r="E288" s="46" t="e">
        <f t="array" aca="1" ref="E288:G288" ca="1">MultivarXs(3, 500, A$3:C$5, A$7:A$9, B$7:B$9)</f>
        <v>#NAME?</v>
      </c>
      <c r="F288" s="46" t="e">
        <f ca="1"/>
        <v>#NAME?</v>
      </c>
      <c r="G288" s="46" t="e">
        <f ca="1"/>
        <v>#NAME?</v>
      </c>
      <c r="P288" s="46" t="e">
        <f ca="1">1430*E288+435*F288+2412*G288</f>
        <v>#NAME?</v>
      </c>
      <c r="R288" s="46" t="e">
        <f ca="1"/>
        <v>#NAME?</v>
      </c>
    </row>
    <row r="289" spans="5:18">
      <c r="E289" s="46" t="e">
        <f t="array" aca="1" ref="E289:G289" ca="1">MultivarXs(3, 500, A$3:C$5, A$7:A$9, B$7:B$9)</f>
        <v>#NAME?</v>
      </c>
      <c r="F289" s="46" t="e">
        <f ca="1"/>
        <v>#NAME?</v>
      </c>
      <c r="G289" s="46" t="e">
        <f ca="1"/>
        <v>#NAME?</v>
      </c>
      <c r="P289" s="46" t="e">
        <f ca="1">1430*E289+435*F289+2412*G289</f>
        <v>#NAME?</v>
      </c>
      <c r="R289" s="46" t="e">
        <f ca="1"/>
        <v>#NAME?</v>
      </c>
    </row>
    <row r="290" spans="5:18">
      <c r="E290" s="46" t="e">
        <f t="array" aca="1" ref="E290:G290" ca="1">MultivarXs(3, 500, A$3:C$5, A$7:A$9, B$7:B$9)</f>
        <v>#NAME?</v>
      </c>
      <c r="F290" s="46" t="e">
        <f ca="1"/>
        <v>#NAME?</v>
      </c>
      <c r="G290" s="46" t="e">
        <f ca="1"/>
        <v>#NAME?</v>
      </c>
      <c r="P290" s="46" t="e">
        <f ca="1">1430*E290+435*F290+2412*G290</f>
        <v>#NAME?</v>
      </c>
      <c r="R290" s="46" t="e">
        <f ca="1"/>
        <v>#NAME?</v>
      </c>
    </row>
    <row r="291" spans="5:18">
      <c r="E291" s="46" t="e">
        <f t="array" aca="1" ref="E291:G291" ca="1">MultivarXs(3, 500, A$3:C$5, A$7:A$9, B$7:B$9)</f>
        <v>#NAME?</v>
      </c>
      <c r="F291" s="46" t="e">
        <f ca="1"/>
        <v>#NAME?</v>
      </c>
      <c r="G291" s="46" t="e">
        <f ca="1"/>
        <v>#NAME?</v>
      </c>
      <c r="P291" s="46" t="e">
        <f ca="1">1430*E291+435*F291+2412*G291</f>
        <v>#NAME?</v>
      </c>
      <c r="R291" s="46" t="e">
        <f ca="1"/>
        <v>#NAME?</v>
      </c>
    </row>
    <row r="292" spans="5:18">
      <c r="E292" s="46" t="e">
        <f t="array" aca="1" ref="E292:G292" ca="1">MultivarXs(3, 500, A$3:C$5, A$7:A$9, B$7:B$9)</f>
        <v>#NAME?</v>
      </c>
      <c r="F292" s="46" t="e">
        <f ca="1"/>
        <v>#NAME?</v>
      </c>
      <c r="G292" s="46" t="e">
        <f ca="1"/>
        <v>#NAME?</v>
      </c>
      <c r="P292" s="46" t="e">
        <f ca="1">1430*E292+435*F292+2412*G292</f>
        <v>#NAME?</v>
      </c>
      <c r="R292" s="46" t="e">
        <f ca="1"/>
        <v>#NAME?</v>
      </c>
    </row>
    <row r="293" spans="5:18">
      <c r="E293" s="46" t="e">
        <f t="array" aca="1" ref="E293:G293" ca="1">MultivarXs(3, 500, A$3:C$5, A$7:A$9, B$7:B$9)</f>
        <v>#NAME?</v>
      </c>
      <c r="F293" s="46" t="e">
        <f ca="1"/>
        <v>#NAME?</v>
      </c>
      <c r="G293" s="46" t="e">
        <f ca="1"/>
        <v>#NAME?</v>
      </c>
      <c r="P293" s="46" t="e">
        <f ca="1">1430*E293+435*F293+2412*G293</f>
        <v>#NAME?</v>
      </c>
      <c r="R293" s="46" t="e">
        <f ca="1"/>
        <v>#NAME?</v>
      </c>
    </row>
    <row r="294" spans="5:18">
      <c r="E294" s="46" t="e">
        <f t="array" aca="1" ref="E294:G294" ca="1">MultivarXs(3, 500, A$3:C$5, A$7:A$9, B$7:B$9)</f>
        <v>#NAME?</v>
      </c>
      <c r="F294" s="46" t="e">
        <f ca="1"/>
        <v>#NAME?</v>
      </c>
      <c r="G294" s="46" t="e">
        <f ca="1"/>
        <v>#NAME?</v>
      </c>
      <c r="P294" s="46" t="e">
        <f ca="1">1430*E294+435*F294+2412*G294</f>
        <v>#NAME?</v>
      </c>
      <c r="R294" s="46" t="e">
        <f ca="1"/>
        <v>#NAME?</v>
      </c>
    </row>
    <row r="295" spans="5:18">
      <c r="E295" s="46" t="e">
        <f t="array" aca="1" ref="E295:G295" ca="1">MultivarXs(3, 500, A$3:C$5, A$7:A$9, B$7:B$9)</f>
        <v>#NAME?</v>
      </c>
      <c r="F295" s="46" t="e">
        <f ca="1"/>
        <v>#NAME?</v>
      </c>
      <c r="G295" s="46" t="e">
        <f ca="1"/>
        <v>#NAME?</v>
      </c>
      <c r="P295" s="46" t="e">
        <f ca="1">1430*E295+435*F295+2412*G295</f>
        <v>#NAME?</v>
      </c>
      <c r="R295" s="46" t="e">
        <f ca="1"/>
        <v>#NAME?</v>
      </c>
    </row>
    <row r="296" spans="5:18">
      <c r="E296" s="46" t="e">
        <f t="array" aca="1" ref="E296:G296" ca="1">MultivarXs(3, 500, A$3:C$5, A$7:A$9, B$7:B$9)</f>
        <v>#NAME?</v>
      </c>
      <c r="F296" s="46" t="e">
        <f ca="1"/>
        <v>#NAME?</v>
      </c>
      <c r="G296" s="46" t="e">
        <f ca="1"/>
        <v>#NAME?</v>
      </c>
      <c r="P296" s="46" t="e">
        <f ca="1">1430*E296+435*F296+2412*G296</f>
        <v>#NAME?</v>
      </c>
      <c r="R296" s="46" t="e">
        <f ca="1"/>
        <v>#NAME?</v>
      </c>
    </row>
    <row r="297" spans="5:18">
      <c r="E297" s="46" t="e">
        <f t="array" aca="1" ref="E297:G297" ca="1">MultivarXs(3, 500, A$3:C$5, A$7:A$9, B$7:B$9)</f>
        <v>#NAME?</v>
      </c>
      <c r="F297" s="46" t="e">
        <f ca="1"/>
        <v>#NAME?</v>
      </c>
      <c r="G297" s="46" t="e">
        <f ca="1"/>
        <v>#NAME?</v>
      </c>
      <c r="P297" s="46" t="e">
        <f ca="1">1430*E297+435*F297+2412*G297</f>
        <v>#NAME?</v>
      </c>
      <c r="R297" s="46" t="e">
        <f ca="1"/>
        <v>#NAME?</v>
      </c>
    </row>
    <row r="298" spans="5:18">
      <c r="E298" s="46" t="e">
        <f t="array" aca="1" ref="E298:G298" ca="1">MultivarXs(3, 500, A$3:C$5, A$7:A$9, B$7:B$9)</f>
        <v>#NAME?</v>
      </c>
      <c r="F298" s="46" t="e">
        <f ca="1"/>
        <v>#NAME?</v>
      </c>
      <c r="G298" s="46" t="e">
        <f ca="1"/>
        <v>#NAME?</v>
      </c>
      <c r="P298" s="46" t="e">
        <f ca="1">1430*E298+435*F298+2412*G298</f>
        <v>#NAME?</v>
      </c>
      <c r="R298" s="46" t="e">
        <f ca="1"/>
        <v>#NAME?</v>
      </c>
    </row>
    <row r="299" spans="5:18">
      <c r="E299" s="46" t="e">
        <f t="array" aca="1" ref="E299:G299" ca="1">MultivarXs(3, 500, A$3:C$5, A$7:A$9, B$7:B$9)</f>
        <v>#NAME?</v>
      </c>
      <c r="F299" s="46" t="e">
        <f ca="1"/>
        <v>#NAME?</v>
      </c>
      <c r="G299" s="46" t="e">
        <f ca="1"/>
        <v>#NAME?</v>
      </c>
      <c r="P299" s="46" t="e">
        <f ca="1">1430*E299+435*F299+2412*G299</f>
        <v>#NAME?</v>
      </c>
      <c r="R299" s="46" t="e">
        <f ca="1"/>
        <v>#NAME?</v>
      </c>
    </row>
    <row r="300" spans="5:18">
      <c r="E300" s="46" t="e">
        <f t="array" aca="1" ref="E300:G300" ca="1">MultivarXs(3, 500, A$3:C$5, A$7:A$9, B$7:B$9)</f>
        <v>#NAME?</v>
      </c>
      <c r="F300" s="46" t="e">
        <f ca="1"/>
        <v>#NAME?</v>
      </c>
      <c r="G300" s="46" t="e">
        <f ca="1"/>
        <v>#NAME?</v>
      </c>
      <c r="P300" s="46" t="e">
        <f ca="1">1430*E300+435*F300+2412*G300</f>
        <v>#NAME?</v>
      </c>
      <c r="R300" s="46" t="e">
        <f ca="1"/>
        <v>#NAME?</v>
      </c>
    </row>
    <row r="301" spans="5:18">
      <c r="E301" s="46" t="e">
        <f t="array" aca="1" ref="E301:G301" ca="1">MultivarXs(3, 500, A$3:C$5, A$7:A$9, B$7:B$9)</f>
        <v>#NAME?</v>
      </c>
      <c r="F301" s="46" t="e">
        <f ca="1"/>
        <v>#NAME?</v>
      </c>
      <c r="G301" s="46" t="e">
        <f ca="1"/>
        <v>#NAME?</v>
      </c>
      <c r="P301" s="46" t="e">
        <f ca="1">1430*E301+435*F301+2412*G301</f>
        <v>#NAME?</v>
      </c>
      <c r="R301" s="46" t="e">
        <f ca="1"/>
        <v>#NAME?</v>
      </c>
    </row>
    <row r="302" spans="5:18">
      <c r="E302" s="46" t="e">
        <f t="array" aca="1" ref="E302:G302" ca="1">MultivarXs(3, 500, A$3:C$5, A$7:A$9, B$7:B$9)</f>
        <v>#NAME?</v>
      </c>
      <c r="F302" s="46" t="e">
        <f ca="1"/>
        <v>#NAME?</v>
      </c>
      <c r="G302" s="46" t="e">
        <f ca="1"/>
        <v>#NAME?</v>
      </c>
      <c r="P302" s="46" t="e">
        <f ca="1">1430*E302+435*F302+2412*G302</f>
        <v>#NAME?</v>
      </c>
      <c r="R302" s="46" t="e">
        <f ca="1"/>
        <v>#NAME?</v>
      </c>
    </row>
    <row r="303" spans="5:18">
      <c r="E303" s="46" t="e">
        <f t="array" aca="1" ref="E303:G303" ca="1">MultivarXs(3, 500, A$3:C$5, A$7:A$9, B$7:B$9)</f>
        <v>#NAME?</v>
      </c>
      <c r="F303" s="46" t="e">
        <f ca="1"/>
        <v>#NAME?</v>
      </c>
      <c r="G303" s="46" t="e">
        <f ca="1"/>
        <v>#NAME?</v>
      </c>
      <c r="P303" s="46" t="e">
        <f ca="1">1430*E303+435*F303+2412*G303</f>
        <v>#NAME?</v>
      </c>
      <c r="R303" s="46" t="e">
        <f ca="1"/>
        <v>#NAME?</v>
      </c>
    </row>
    <row r="304" spans="5:18">
      <c r="E304" s="46" t="e">
        <f t="array" aca="1" ref="E304:G304" ca="1">MultivarXs(3, 500, A$3:C$5, A$7:A$9, B$7:B$9)</f>
        <v>#NAME?</v>
      </c>
      <c r="F304" s="46" t="e">
        <f ca="1"/>
        <v>#NAME?</v>
      </c>
      <c r="G304" s="46" t="e">
        <f ca="1"/>
        <v>#NAME?</v>
      </c>
      <c r="P304" s="46" t="e">
        <f ca="1">1430*E304+435*F304+2412*G304</f>
        <v>#NAME?</v>
      </c>
      <c r="R304" s="46" t="e">
        <f ca="1"/>
        <v>#NAME?</v>
      </c>
    </row>
    <row r="305" spans="5:18">
      <c r="E305" s="46" t="e">
        <f t="array" aca="1" ref="E305:G305" ca="1">MultivarXs(3, 500, A$3:C$5, A$7:A$9, B$7:B$9)</f>
        <v>#NAME?</v>
      </c>
      <c r="F305" s="46" t="e">
        <f ca="1"/>
        <v>#NAME?</v>
      </c>
      <c r="G305" s="46" t="e">
        <f ca="1"/>
        <v>#NAME?</v>
      </c>
      <c r="P305" s="46" t="e">
        <f ca="1">1430*E305+435*F305+2412*G305</f>
        <v>#NAME?</v>
      </c>
      <c r="R305" s="46" t="e">
        <f ca="1"/>
        <v>#NAME?</v>
      </c>
    </row>
    <row r="306" spans="5:18">
      <c r="E306" s="46" t="e">
        <f t="array" aca="1" ref="E306:G306" ca="1">MultivarXs(3, 500, A$3:C$5, A$7:A$9, B$7:B$9)</f>
        <v>#NAME?</v>
      </c>
      <c r="F306" s="46" t="e">
        <f ca="1"/>
        <v>#NAME?</v>
      </c>
      <c r="G306" s="46" t="e">
        <f ca="1"/>
        <v>#NAME?</v>
      </c>
      <c r="P306" s="46" t="e">
        <f ca="1">1430*E306+435*F306+2412*G306</f>
        <v>#NAME?</v>
      </c>
      <c r="R306" s="46" t="e">
        <f ca="1"/>
        <v>#NAME?</v>
      </c>
    </row>
    <row r="307" spans="5:18">
      <c r="E307" s="46" t="e">
        <f t="array" aca="1" ref="E307:G307" ca="1">MultivarXs(3, 500, A$3:C$5, A$7:A$9, B$7:B$9)</f>
        <v>#NAME?</v>
      </c>
      <c r="F307" s="46" t="e">
        <f ca="1"/>
        <v>#NAME?</v>
      </c>
      <c r="G307" s="46" t="e">
        <f ca="1"/>
        <v>#NAME?</v>
      </c>
      <c r="P307" s="46" t="e">
        <f ca="1">1430*E307+435*F307+2412*G307</f>
        <v>#NAME?</v>
      </c>
      <c r="R307" s="46" t="e">
        <f ca="1"/>
        <v>#NAME?</v>
      </c>
    </row>
    <row r="308" spans="5:18">
      <c r="E308" s="46" t="e">
        <f t="array" aca="1" ref="E308:G308" ca="1">MultivarXs(3, 500, A$3:C$5, A$7:A$9, B$7:B$9)</f>
        <v>#NAME?</v>
      </c>
      <c r="F308" s="46" t="e">
        <f ca="1"/>
        <v>#NAME?</v>
      </c>
      <c r="G308" s="46" t="e">
        <f ca="1"/>
        <v>#NAME?</v>
      </c>
      <c r="P308" s="46" t="e">
        <f ca="1">1430*E308+435*F308+2412*G308</f>
        <v>#NAME?</v>
      </c>
      <c r="R308" s="46" t="e">
        <f ca="1"/>
        <v>#NAME?</v>
      </c>
    </row>
    <row r="309" spans="5:18">
      <c r="E309" s="46" t="e">
        <f t="array" aca="1" ref="E309:G309" ca="1">MultivarXs(3, 500, A$3:C$5, A$7:A$9, B$7:B$9)</f>
        <v>#NAME?</v>
      </c>
      <c r="F309" s="46" t="e">
        <f ca="1"/>
        <v>#NAME?</v>
      </c>
      <c r="G309" s="46" t="e">
        <f ca="1"/>
        <v>#NAME?</v>
      </c>
      <c r="P309" s="46" t="e">
        <f ca="1">1430*E309+435*F309+2412*G309</f>
        <v>#NAME?</v>
      </c>
      <c r="R309" s="46" t="e">
        <f ca="1"/>
        <v>#NAME?</v>
      </c>
    </row>
    <row r="310" spans="5:18">
      <c r="E310" s="46" t="e">
        <f t="array" aca="1" ref="E310:G310" ca="1">MultivarXs(3, 500, A$3:C$5, A$7:A$9, B$7:B$9)</f>
        <v>#NAME?</v>
      </c>
      <c r="F310" s="46" t="e">
        <f ca="1"/>
        <v>#NAME?</v>
      </c>
      <c r="G310" s="46" t="e">
        <f ca="1"/>
        <v>#NAME?</v>
      </c>
      <c r="P310" s="46" t="e">
        <f ca="1">1430*E310+435*F310+2412*G310</f>
        <v>#NAME?</v>
      </c>
      <c r="R310" s="46" t="e">
        <f ca="1"/>
        <v>#NAME?</v>
      </c>
    </row>
    <row r="311" spans="5:18">
      <c r="E311" s="46" t="e">
        <f t="array" aca="1" ref="E311:G311" ca="1">MultivarXs(3, 500, A$3:C$5, A$7:A$9, B$7:B$9)</f>
        <v>#NAME?</v>
      </c>
      <c r="F311" s="46" t="e">
        <f ca="1"/>
        <v>#NAME?</v>
      </c>
      <c r="G311" s="46" t="e">
        <f ca="1"/>
        <v>#NAME?</v>
      </c>
      <c r="P311" s="46" t="e">
        <f ca="1">1430*E311+435*F311+2412*G311</f>
        <v>#NAME?</v>
      </c>
      <c r="R311" s="46" t="e">
        <f ca="1"/>
        <v>#NAME?</v>
      </c>
    </row>
    <row r="312" spans="5:18">
      <c r="E312" s="46" t="e">
        <f t="array" aca="1" ref="E312:G312" ca="1">MultivarXs(3, 500, A$3:C$5, A$7:A$9, B$7:B$9)</f>
        <v>#NAME?</v>
      </c>
      <c r="F312" s="46" t="e">
        <f ca="1"/>
        <v>#NAME?</v>
      </c>
      <c r="G312" s="46" t="e">
        <f ca="1"/>
        <v>#NAME?</v>
      </c>
      <c r="P312" s="46" t="e">
        <f ca="1">1430*E312+435*F312+2412*G312</f>
        <v>#NAME?</v>
      </c>
      <c r="R312" s="46" t="e">
        <f ca="1"/>
        <v>#NAME?</v>
      </c>
    </row>
    <row r="313" spans="5:18">
      <c r="E313" s="46" t="e">
        <f t="array" aca="1" ref="E313:G313" ca="1">MultivarXs(3, 500, A$3:C$5, A$7:A$9, B$7:B$9)</f>
        <v>#NAME?</v>
      </c>
      <c r="F313" s="46" t="e">
        <f ca="1"/>
        <v>#NAME?</v>
      </c>
      <c r="G313" s="46" t="e">
        <f ca="1"/>
        <v>#NAME?</v>
      </c>
      <c r="P313" s="46" t="e">
        <f ca="1">1430*E313+435*F313+2412*G313</f>
        <v>#NAME?</v>
      </c>
      <c r="R313" s="46" t="e">
        <f ca="1"/>
        <v>#NAME?</v>
      </c>
    </row>
    <row r="314" spans="5:18">
      <c r="E314" s="46" t="e">
        <f t="array" aca="1" ref="E314:G314" ca="1">MultivarXs(3, 500, A$3:C$5, A$7:A$9, B$7:B$9)</f>
        <v>#NAME?</v>
      </c>
      <c r="F314" s="46" t="e">
        <f ca="1"/>
        <v>#NAME?</v>
      </c>
      <c r="G314" s="46" t="e">
        <f ca="1"/>
        <v>#NAME?</v>
      </c>
      <c r="P314" s="46" t="e">
        <f ca="1">1430*E314+435*F314+2412*G314</f>
        <v>#NAME?</v>
      </c>
      <c r="R314" s="46" t="e">
        <f ca="1"/>
        <v>#NAME?</v>
      </c>
    </row>
    <row r="315" spans="5:18">
      <c r="E315" s="46" t="e">
        <f t="array" aca="1" ref="E315:G315" ca="1">MultivarXs(3, 500, A$3:C$5, A$7:A$9, B$7:B$9)</f>
        <v>#NAME?</v>
      </c>
      <c r="F315" s="46" t="e">
        <f ca="1"/>
        <v>#NAME?</v>
      </c>
      <c r="G315" s="46" t="e">
        <f ca="1"/>
        <v>#NAME?</v>
      </c>
      <c r="P315" s="46" t="e">
        <f ca="1">1430*E315+435*F315+2412*G315</f>
        <v>#NAME?</v>
      </c>
      <c r="R315" s="46" t="e">
        <f ca="1"/>
        <v>#NAME?</v>
      </c>
    </row>
    <row r="316" spans="5:18">
      <c r="E316" s="46" t="e">
        <f t="array" aca="1" ref="E316:G316" ca="1">MultivarXs(3, 500, A$3:C$5, A$7:A$9, B$7:B$9)</f>
        <v>#NAME?</v>
      </c>
      <c r="F316" s="46" t="e">
        <f ca="1"/>
        <v>#NAME?</v>
      </c>
      <c r="G316" s="46" t="e">
        <f ca="1"/>
        <v>#NAME?</v>
      </c>
      <c r="P316" s="46" t="e">
        <f ca="1">1430*E316+435*F316+2412*G316</f>
        <v>#NAME?</v>
      </c>
      <c r="R316" s="46" t="e">
        <f ca="1"/>
        <v>#NAME?</v>
      </c>
    </row>
    <row r="317" spans="5:18">
      <c r="E317" s="46" t="e">
        <f t="array" aca="1" ref="E317:G317" ca="1">MultivarXs(3, 500, A$3:C$5, A$7:A$9, B$7:B$9)</f>
        <v>#NAME?</v>
      </c>
      <c r="F317" s="46" t="e">
        <f ca="1"/>
        <v>#NAME?</v>
      </c>
      <c r="G317" s="46" t="e">
        <f ca="1"/>
        <v>#NAME?</v>
      </c>
      <c r="P317" s="46" t="e">
        <f ca="1">1430*E317+435*F317+2412*G317</f>
        <v>#NAME?</v>
      </c>
      <c r="R317" s="46" t="e">
        <f ca="1"/>
        <v>#NAME?</v>
      </c>
    </row>
    <row r="318" spans="5:18">
      <c r="E318" s="46" t="e">
        <f t="array" aca="1" ref="E318:G318" ca="1">MultivarXs(3, 500, A$3:C$5, A$7:A$9, B$7:B$9)</f>
        <v>#NAME?</v>
      </c>
      <c r="F318" s="46" t="e">
        <f ca="1"/>
        <v>#NAME?</v>
      </c>
      <c r="G318" s="46" t="e">
        <f ca="1"/>
        <v>#NAME?</v>
      </c>
      <c r="P318" s="46" t="e">
        <f ca="1">1430*E318+435*F318+2412*G318</f>
        <v>#NAME?</v>
      </c>
      <c r="R318" s="46" t="e">
        <f ca="1"/>
        <v>#NAME?</v>
      </c>
    </row>
    <row r="319" spans="5:18">
      <c r="E319" s="46" t="e">
        <f t="array" aca="1" ref="E319:G319" ca="1">MultivarXs(3, 500, A$3:C$5, A$7:A$9, B$7:B$9)</f>
        <v>#NAME?</v>
      </c>
      <c r="F319" s="46" t="e">
        <f ca="1"/>
        <v>#NAME?</v>
      </c>
      <c r="G319" s="46" t="e">
        <f ca="1"/>
        <v>#NAME?</v>
      </c>
      <c r="P319" s="46" t="e">
        <f ca="1">1430*E319+435*F319+2412*G319</f>
        <v>#NAME?</v>
      </c>
      <c r="R319" s="46" t="e">
        <f ca="1"/>
        <v>#NAME?</v>
      </c>
    </row>
    <row r="320" spans="5:18">
      <c r="E320" s="46" t="e">
        <f t="array" aca="1" ref="E320:G320" ca="1">MultivarXs(3, 500, A$3:C$5, A$7:A$9, B$7:B$9)</f>
        <v>#NAME?</v>
      </c>
      <c r="F320" s="46" t="e">
        <f ca="1"/>
        <v>#NAME?</v>
      </c>
      <c r="G320" s="46" t="e">
        <f ca="1"/>
        <v>#NAME?</v>
      </c>
      <c r="P320" s="46" t="e">
        <f ca="1">1430*E320+435*F320+2412*G320</f>
        <v>#NAME?</v>
      </c>
      <c r="R320" s="46" t="e">
        <f ca="1"/>
        <v>#NAME?</v>
      </c>
    </row>
    <row r="321" spans="5:18">
      <c r="E321" s="46" t="e">
        <f t="array" aca="1" ref="E321:G321" ca="1">MultivarXs(3, 500, A$3:C$5, A$7:A$9, B$7:B$9)</f>
        <v>#NAME?</v>
      </c>
      <c r="F321" s="46" t="e">
        <f ca="1"/>
        <v>#NAME?</v>
      </c>
      <c r="G321" s="46" t="e">
        <f ca="1"/>
        <v>#NAME?</v>
      </c>
      <c r="P321" s="46" t="e">
        <f ca="1">1430*E321+435*F321+2412*G321</f>
        <v>#NAME?</v>
      </c>
      <c r="R321" s="46" t="e">
        <f ca="1"/>
        <v>#NAME?</v>
      </c>
    </row>
    <row r="322" spans="5:18">
      <c r="E322" s="46" t="e">
        <f t="array" aca="1" ref="E322:G322" ca="1">MultivarXs(3, 500, A$3:C$5, A$7:A$9, B$7:B$9)</f>
        <v>#NAME?</v>
      </c>
      <c r="F322" s="46" t="e">
        <f ca="1"/>
        <v>#NAME?</v>
      </c>
      <c r="G322" s="46" t="e">
        <f ca="1"/>
        <v>#NAME?</v>
      </c>
      <c r="P322" s="46" t="e">
        <f ca="1">1430*E322+435*F322+2412*G322</f>
        <v>#NAME?</v>
      </c>
      <c r="R322" s="46" t="e">
        <f ca="1"/>
        <v>#NAME?</v>
      </c>
    </row>
    <row r="323" spans="5:18">
      <c r="E323" s="46" t="e">
        <f t="array" aca="1" ref="E323:G323" ca="1">MultivarXs(3, 500, A$3:C$5, A$7:A$9, B$7:B$9)</f>
        <v>#NAME?</v>
      </c>
      <c r="F323" s="46" t="e">
        <f ca="1"/>
        <v>#NAME?</v>
      </c>
      <c r="G323" s="46" t="e">
        <f ca="1"/>
        <v>#NAME?</v>
      </c>
      <c r="P323" s="46" t="e">
        <f ca="1">1430*E323+435*F323+2412*G323</f>
        <v>#NAME?</v>
      </c>
      <c r="R323" s="46" t="e">
        <f ca="1"/>
        <v>#NAME?</v>
      </c>
    </row>
    <row r="324" spans="5:18">
      <c r="E324" s="46" t="e">
        <f t="array" aca="1" ref="E324:G324" ca="1">MultivarXs(3, 500, A$3:C$5, A$7:A$9, B$7:B$9)</f>
        <v>#NAME?</v>
      </c>
      <c r="F324" s="46" t="e">
        <f ca="1"/>
        <v>#NAME?</v>
      </c>
      <c r="G324" s="46" t="e">
        <f ca="1"/>
        <v>#NAME?</v>
      </c>
      <c r="P324" s="46" t="e">
        <f ca="1">1430*E324+435*F324+2412*G324</f>
        <v>#NAME?</v>
      </c>
      <c r="R324" s="46" t="e">
        <f ca="1"/>
        <v>#NAME?</v>
      </c>
    </row>
    <row r="325" spans="5:18">
      <c r="E325" s="46" t="e">
        <f t="array" aca="1" ref="E325:G325" ca="1">MultivarXs(3, 500, A$3:C$5, A$7:A$9, B$7:B$9)</f>
        <v>#NAME?</v>
      </c>
      <c r="F325" s="46" t="e">
        <f ca="1"/>
        <v>#NAME?</v>
      </c>
      <c r="G325" s="46" t="e">
        <f ca="1"/>
        <v>#NAME?</v>
      </c>
      <c r="P325" s="46" t="e">
        <f ca="1">1430*E325+435*F325+2412*G325</f>
        <v>#NAME?</v>
      </c>
      <c r="R325" s="46" t="e">
        <f ca="1"/>
        <v>#NAME?</v>
      </c>
    </row>
    <row r="326" spans="5:18">
      <c r="E326" s="46" t="e">
        <f t="array" aca="1" ref="E326:G326" ca="1">MultivarXs(3, 500, A$3:C$5, A$7:A$9, B$7:B$9)</f>
        <v>#NAME?</v>
      </c>
      <c r="F326" s="46" t="e">
        <f ca="1"/>
        <v>#NAME?</v>
      </c>
      <c r="G326" s="46" t="e">
        <f ca="1"/>
        <v>#NAME?</v>
      </c>
      <c r="P326" s="46" t="e">
        <f ca="1">1430*E326+435*F326+2412*G326</f>
        <v>#NAME?</v>
      </c>
      <c r="R326" s="46" t="e">
        <f ca="1"/>
        <v>#NAME?</v>
      </c>
    </row>
    <row r="327" spans="5:18">
      <c r="E327" s="46" t="e">
        <f t="array" aca="1" ref="E327:G327" ca="1">MultivarXs(3, 500, A$3:C$5, A$7:A$9, B$7:B$9)</f>
        <v>#NAME?</v>
      </c>
      <c r="F327" s="46" t="e">
        <f ca="1"/>
        <v>#NAME?</v>
      </c>
      <c r="G327" s="46" t="e">
        <f ca="1"/>
        <v>#NAME?</v>
      </c>
      <c r="P327" s="46" t="e">
        <f ca="1">1430*E327+435*F327+2412*G327</f>
        <v>#NAME?</v>
      </c>
      <c r="R327" s="46" t="e">
        <f ca="1"/>
        <v>#NAME?</v>
      </c>
    </row>
    <row r="328" spans="5:18">
      <c r="E328" s="46" t="e">
        <f t="array" aca="1" ref="E328:G328" ca="1">MultivarXs(3, 500, A$3:C$5, A$7:A$9, B$7:B$9)</f>
        <v>#NAME?</v>
      </c>
      <c r="F328" s="46" t="e">
        <f ca="1"/>
        <v>#NAME?</v>
      </c>
      <c r="G328" s="46" t="e">
        <f ca="1"/>
        <v>#NAME?</v>
      </c>
      <c r="P328" s="46" t="e">
        <f ca="1">1430*E328+435*F328+2412*G328</f>
        <v>#NAME?</v>
      </c>
      <c r="R328" s="46" t="e">
        <f ca="1"/>
        <v>#NAME?</v>
      </c>
    </row>
    <row r="329" spans="5:18">
      <c r="E329" s="46" t="e">
        <f t="array" aca="1" ref="E329:G329" ca="1">MultivarXs(3, 500, A$3:C$5, A$7:A$9, B$7:B$9)</f>
        <v>#NAME?</v>
      </c>
      <c r="F329" s="46" t="e">
        <f ca="1"/>
        <v>#NAME?</v>
      </c>
      <c r="G329" s="46" t="e">
        <f ca="1"/>
        <v>#NAME?</v>
      </c>
      <c r="P329" s="46" t="e">
        <f ca="1">1430*E329+435*F329+2412*G329</f>
        <v>#NAME?</v>
      </c>
      <c r="R329" s="46" t="e">
        <f ca="1"/>
        <v>#NAME?</v>
      </c>
    </row>
    <row r="330" spans="5:18">
      <c r="E330" s="46" t="e">
        <f t="array" aca="1" ref="E330:G330" ca="1">MultivarXs(3, 500, A$3:C$5, A$7:A$9, B$7:B$9)</f>
        <v>#NAME?</v>
      </c>
      <c r="F330" s="46" t="e">
        <f ca="1"/>
        <v>#NAME?</v>
      </c>
      <c r="G330" s="46" t="e">
        <f ca="1"/>
        <v>#NAME?</v>
      </c>
      <c r="P330" s="46" t="e">
        <f ca="1">1430*E330+435*F330+2412*G330</f>
        <v>#NAME?</v>
      </c>
      <c r="R330" s="46" t="e">
        <f ca="1"/>
        <v>#NAME?</v>
      </c>
    </row>
    <row r="331" spans="5:18">
      <c r="E331" s="46" t="e">
        <f t="array" aca="1" ref="E331:G331" ca="1">MultivarXs(3, 500, A$3:C$5, A$7:A$9, B$7:B$9)</f>
        <v>#NAME?</v>
      </c>
      <c r="F331" s="46" t="e">
        <f ca="1"/>
        <v>#NAME?</v>
      </c>
      <c r="G331" s="46" t="e">
        <f ca="1"/>
        <v>#NAME?</v>
      </c>
      <c r="P331" s="46" t="e">
        <f ca="1">1430*E331+435*F331+2412*G331</f>
        <v>#NAME?</v>
      </c>
      <c r="R331" s="46" t="e">
        <f ca="1"/>
        <v>#NAME?</v>
      </c>
    </row>
    <row r="332" spans="5:18">
      <c r="E332" s="46" t="e">
        <f t="array" aca="1" ref="E332:G332" ca="1">MultivarXs(3, 500, A$3:C$5, A$7:A$9, B$7:B$9)</f>
        <v>#NAME?</v>
      </c>
      <c r="F332" s="46" t="e">
        <f ca="1"/>
        <v>#NAME?</v>
      </c>
      <c r="G332" s="46" t="e">
        <f ca="1"/>
        <v>#NAME?</v>
      </c>
      <c r="P332" s="46" t="e">
        <f ca="1">1430*E332+435*F332+2412*G332</f>
        <v>#NAME?</v>
      </c>
      <c r="R332" s="46" t="e">
        <f ca="1"/>
        <v>#NAME?</v>
      </c>
    </row>
    <row r="333" spans="5:18">
      <c r="E333" s="46" t="e">
        <f t="array" aca="1" ref="E333:G333" ca="1">MultivarXs(3, 500, A$3:C$5, A$7:A$9, B$7:B$9)</f>
        <v>#NAME?</v>
      </c>
      <c r="F333" s="46" t="e">
        <f ca="1"/>
        <v>#NAME?</v>
      </c>
      <c r="G333" s="46" t="e">
        <f ca="1"/>
        <v>#NAME?</v>
      </c>
      <c r="P333" s="46" t="e">
        <f ca="1">1430*E333+435*F333+2412*G333</f>
        <v>#NAME?</v>
      </c>
      <c r="R333" s="46" t="e">
        <f ca="1"/>
        <v>#NAME?</v>
      </c>
    </row>
    <row r="334" spans="5:18">
      <c r="E334" s="46" t="e">
        <f t="array" aca="1" ref="E334:G334" ca="1">MultivarXs(3, 500, A$3:C$5, A$7:A$9, B$7:B$9)</f>
        <v>#NAME?</v>
      </c>
      <c r="F334" s="46" t="e">
        <f ca="1"/>
        <v>#NAME?</v>
      </c>
      <c r="G334" s="46" t="e">
        <f ca="1"/>
        <v>#NAME?</v>
      </c>
      <c r="P334" s="46" t="e">
        <f ca="1">1430*E334+435*F334+2412*G334</f>
        <v>#NAME?</v>
      </c>
      <c r="R334" s="46" t="e">
        <f ca="1"/>
        <v>#NAME?</v>
      </c>
    </row>
    <row r="335" spans="5:18">
      <c r="E335" s="46" t="e">
        <f t="array" aca="1" ref="E335:G335" ca="1">MultivarXs(3, 500, A$3:C$5, A$7:A$9, B$7:B$9)</f>
        <v>#NAME?</v>
      </c>
      <c r="F335" s="46" t="e">
        <f ca="1"/>
        <v>#NAME?</v>
      </c>
      <c r="G335" s="46" t="e">
        <f ca="1"/>
        <v>#NAME?</v>
      </c>
      <c r="P335" s="46" t="e">
        <f ca="1">1430*E335+435*F335+2412*G335</f>
        <v>#NAME?</v>
      </c>
      <c r="R335" s="46" t="e">
        <f ca="1"/>
        <v>#NAME?</v>
      </c>
    </row>
    <row r="336" spans="5:18">
      <c r="E336" s="46" t="e">
        <f t="array" aca="1" ref="E336:G336" ca="1">MultivarXs(3, 500, A$3:C$5, A$7:A$9, B$7:B$9)</f>
        <v>#NAME?</v>
      </c>
      <c r="F336" s="46" t="e">
        <f ca="1"/>
        <v>#NAME?</v>
      </c>
      <c r="G336" s="46" t="e">
        <f ca="1"/>
        <v>#NAME?</v>
      </c>
      <c r="P336" s="46" t="e">
        <f ca="1">1430*E336+435*F336+2412*G336</f>
        <v>#NAME?</v>
      </c>
      <c r="R336" s="46" t="e">
        <f ca="1"/>
        <v>#NAME?</v>
      </c>
    </row>
    <row r="337" spans="5:18">
      <c r="E337" s="46" t="e">
        <f t="array" aca="1" ref="E337:G337" ca="1">MultivarXs(3, 500, A$3:C$5, A$7:A$9, B$7:B$9)</f>
        <v>#NAME?</v>
      </c>
      <c r="F337" s="46" t="e">
        <f ca="1"/>
        <v>#NAME?</v>
      </c>
      <c r="G337" s="46" t="e">
        <f ca="1"/>
        <v>#NAME?</v>
      </c>
      <c r="P337" s="46" t="e">
        <f ca="1">1430*E337+435*F337+2412*G337</f>
        <v>#NAME?</v>
      </c>
      <c r="R337" s="46" t="e">
        <f ca="1"/>
        <v>#NAME?</v>
      </c>
    </row>
    <row r="338" spans="5:18">
      <c r="E338" s="46" t="e">
        <f t="array" aca="1" ref="E338:G338" ca="1">MultivarXs(3, 500, A$3:C$5, A$7:A$9, B$7:B$9)</f>
        <v>#NAME?</v>
      </c>
      <c r="F338" s="46" t="e">
        <f ca="1"/>
        <v>#NAME?</v>
      </c>
      <c r="G338" s="46" t="e">
        <f ca="1"/>
        <v>#NAME?</v>
      </c>
      <c r="P338" s="46" t="e">
        <f ca="1">1430*E338+435*F338+2412*G338</f>
        <v>#NAME?</v>
      </c>
      <c r="R338" s="46" t="e">
        <f ca="1"/>
        <v>#NAME?</v>
      </c>
    </row>
    <row r="339" spans="5:18">
      <c r="E339" s="46" t="e">
        <f t="array" aca="1" ref="E339:G339" ca="1">MultivarXs(3, 500, A$3:C$5, A$7:A$9, B$7:B$9)</f>
        <v>#NAME?</v>
      </c>
      <c r="F339" s="46" t="e">
        <f ca="1"/>
        <v>#NAME?</v>
      </c>
      <c r="G339" s="46" t="e">
        <f ca="1"/>
        <v>#NAME?</v>
      </c>
      <c r="P339" s="46" t="e">
        <f ca="1">1430*E339+435*F339+2412*G339</f>
        <v>#NAME?</v>
      </c>
      <c r="R339" s="46" t="e">
        <f ca="1"/>
        <v>#NAME?</v>
      </c>
    </row>
    <row r="340" spans="5:18">
      <c r="E340" s="46" t="e">
        <f t="array" aca="1" ref="E340:G340" ca="1">MultivarXs(3, 500, A$3:C$5, A$7:A$9, B$7:B$9)</f>
        <v>#NAME?</v>
      </c>
      <c r="F340" s="46" t="e">
        <f ca="1"/>
        <v>#NAME?</v>
      </c>
      <c r="G340" s="46" t="e">
        <f ca="1"/>
        <v>#NAME?</v>
      </c>
      <c r="P340" s="46" t="e">
        <f ca="1">1430*E340+435*F340+2412*G340</f>
        <v>#NAME?</v>
      </c>
      <c r="R340" s="46" t="e">
        <f ca="1"/>
        <v>#NAME?</v>
      </c>
    </row>
    <row r="341" spans="5:18">
      <c r="E341" s="46" t="e">
        <f t="array" aca="1" ref="E341:G341" ca="1">MultivarXs(3, 500, A$3:C$5, A$7:A$9, B$7:B$9)</f>
        <v>#NAME?</v>
      </c>
      <c r="F341" s="46" t="e">
        <f ca="1"/>
        <v>#NAME?</v>
      </c>
      <c r="G341" s="46" t="e">
        <f ca="1"/>
        <v>#NAME?</v>
      </c>
      <c r="P341" s="46" t="e">
        <f ca="1">1430*E341+435*F341+2412*G341</f>
        <v>#NAME?</v>
      </c>
      <c r="R341" s="46" t="e">
        <f ca="1"/>
        <v>#NAME?</v>
      </c>
    </row>
    <row r="342" spans="5:18">
      <c r="E342" s="46" t="e">
        <f t="array" aca="1" ref="E342:G342" ca="1">MultivarXs(3, 500, A$3:C$5, A$7:A$9, B$7:B$9)</f>
        <v>#NAME?</v>
      </c>
      <c r="F342" s="46" t="e">
        <f ca="1"/>
        <v>#NAME?</v>
      </c>
      <c r="G342" s="46" t="e">
        <f ca="1"/>
        <v>#NAME?</v>
      </c>
      <c r="P342" s="46" t="e">
        <f ca="1">1430*E342+435*F342+2412*G342</f>
        <v>#NAME?</v>
      </c>
      <c r="R342" s="46" t="e">
        <f ca="1"/>
        <v>#NAME?</v>
      </c>
    </row>
    <row r="343" spans="5:18">
      <c r="E343" s="46" t="e">
        <f t="array" aca="1" ref="E343:G343" ca="1">MultivarXs(3, 500, A$3:C$5, A$7:A$9, B$7:B$9)</f>
        <v>#NAME?</v>
      </c>
      <c r="F343" s="46" t="e">
        <f ca="1"/>
        <v>#NAME?</v>
      </c>
      <c r="G343" s="46" t="e">
        <f ca="1"/>
        <v>#NAME?</v>
      </c>
      <c r="P343" s="46" t="e">
        <f ca="1">1430*E343+435*F343+2412*G343</f>
        <v>#NAME?</v>
      </c>
      <c r="R343" s="46" t="e">
        <f ca="1"/>
        <v>#NAME?</v>
      </c>
    </row>
    <row r="344" spans="5:18">
      <c r="E344" s="46" t="e">
        <f t="array" aca="1" ref="E344:G344" ca="1">MultivarXs(3, 500, A$3:C$5, A$7:A$9, B$7:B$9)</f>
        <v>#NAME?</v>
      </c>
      <c r="F344" s="46" t="e">
        <f ca="1"/>
        <v>#NAME?</v>
      </c>
      <c r="G344" s="46" t="e">
        <f ca="1"/>
        <v>#NAME?</v>
      </c>
      <c r="P344" s="46" t="e">
        <f ca="1">1430*E344+435*F344+2412*G344</f>
        <v>#NAME?</v>
      </c>
      <c r="R344" s="46" t="e">
        <f ca="1"/>
        <v>#NAME?</v>
      </c>
    </row>
    <row r="345" spans="5:18">
      <c r="E345" s="46" t="e">
        <f t="array" aca="1" ref="E345:G345" ca="1">MultivarXs(3, 500, A$3:C$5, A$7:A$9, B$7:B$9)</f>
        <v>#NAME?</v>
      </c>
      <c r="F345" s="46" t="e">
        <f ca="1"/>
        <v>#NAME?</v>
      </c>
      <c r="G345" s="46" t="e">
        <f ca="1"/>
        <v>#NAME?</v>
      </c>
      <c r="P345" s="46" t="e">
        <f ca="1">1430*E345+435*F345+2412*G345</f>
        <v>#NAME?</v>
      </c>
      <c r="R345" s="46" t="e">
        <f ca="1"/>
        <v>#NAME?</v>
      </c>
    </row>
    <row r="346" spans="5:18">
      <c r="E346" s="46" t="e">
        <f t="array" aca="1" ref="E346:G346" ca="1">MultivarXs(3, 500, A$3:C$5, A$7:A$9, B$7:B$9)</f>
        <v>#NAME?</v>
      </c>
      <c r="F346" s="46" t="e">
        <f ca="1"/>
        <v>#NAME?</v>
      </c>
      <c r="G346" s="46" t="e">
        <f ca="1"/>
        <v>#NAME?</v>
      </c>
      <c r="P346" s="46" t="e">
        <f ca="1">1430*E346+435*F346+2412*G346</f>
        <v>#NAME?</v>
      </c>
      <c r="R346" s="46" t="e">
        <f ca="1"/>
        <v>#NAME?</v>
      </c>
    </row>
    <row r="347" spans="5:18">
      <c r="E347" s="46" t="e">
        <f t="array" aca="1" ref="E347:G347" ca="1">MultivarXs(3, 500, A$3:C$5, A$7:A$9, B$7:B$9)</f>
        <v>#NAME?</v>
      </c>
      <c r="F347" s="46" t="e">
        <f ca="1"/>
        <v>#NAME?</v>
      </c>
      <c r="G347" s="46" t="e">
        <f ca="1"/>
        <v>#NAME?</v>
      </c>
      <c r="P347" s="46" t="e">
        <f ca="1">1430*E347+435*F347+2412*G347</f>
        <v>#NAME?</v>
      </c>
      <c r="R347" s="46" t="e">
        <f ca="1"/>
        <v>#NAME?</v>
      </c>
    </row>
    <row r="348" spans="5:18">
      <c r="E348" s="46" t="e">
        <f t="array" aca="1" ref="E348:G348" ca="1">MultivarXs(3, 500, A$3:C$5, A$7:A$9, B$7:B$9)</f>
        <v>#NAME?</v>
      </c>
      <c r="F348" s="46" t="e">
        <f ca="1"/>
        <v>#NAME?</v>
      </c>
      <c r="G348" s="46" t="e">
        <f ca="1"/>
        <v>#NAME?</v>
      </c>
      <c r="P348" s="46" t="e">
        <f ca="1">1430*E348+435*F348+2412*G348</f>
        <v>#NAME?</v>
      </c>
      <c r="R348" s="46" t="e">
        <f ca="1"/>
        <v>#NAME?</v>
      </c>
    </row>
    <row r="349" spans="5:18">
      <c r="E349" s="46" t="e">
        <f t="array" aca="1" ref="E349:G349" ca="1">MultivarXs(3, 500, A$3:C$5, A$7:A$9, B$7:B$9)</f>
        <v>#NAME?</v>
      </c>
      <c r="F349" s="46" t="e">
        <f ca="1"/>
        <v>#NAME?</v>
      </c>
      <c r="G349" s="46" t="e">
        <f ca="1"/>
        <v>#NAME?</v>
      </c>
      <c r="P349" s="46" t="e">
        <f ca="1">1430*E349+435*F349+2412*G349</f>
        <v>#NAME?</v>
      </c>
      <c r="R349" s="46" t="e">
        <f ca="1"/>
        <v>#NAME?</v>
      </c>
    </row>
    <row r="350" spans="5:18">
      <c r="E350" s="46" t="e">
        <f t="array" aca="1" ref="E350:G350" ca="1">MultivarXs(3, 500, A$3:C$5, A$7:A$9, B$7:B$9)</f>
        <v>#NAME?</v>
      </c>
      <c r="F350" s="46" t="e">
        <f ca="1"/>
        <v>#NAME?</v>
      </c>
      <c r="G350" s="46" t="e">
        <f ca="1"/>
        <v>#NAME?</v>
      </c>
      <c r="P350" s="46" t="e">
        <f ca="1">1430*E350+435*F350+2412*G350</f>
        <v>#NAME?</v>
      </c>
      <c r="R350" s="46" t="e">
        <f ca="1"/>
        <v>#NAME?</v>
      </c>
    </row>
    <row r="351" spans="5:18">
      <c r="E351" s="46" t="e">
        <f t="array" aca="1" ref="E351:G351" ca="1">MultivarXs(3, 500, A$3:C$5, A$7:A$9, B$7:B$9)</f>
        <v>#NAME?</v>
      </c>
      <c r="F351" s="46" t="e">
        <f ca="1"/>
        <v>#NAME?</v>
      </c>
      <c r="G351" s="46" t="e">
        <f ca="1"/>
        <v>#NAME?</v>
      </c>
      <c r="P351" s="46" t="e">
        <f ca="1">1430*E351+435*F351+2412*G351</f>
        <v>#NAME?</v>
      </c>
      <c r="R351" s="46" t="e">
        <f ca="1"/>
        <v>#NAME?</v>
      </c>
    </row>
    <row r="352" spans="5:18">
      <c r="E352" s="46" t="e">
        <f t="array" aca="1" ref="E352:G352" ca="1">MultivarXs(3, 500, A$3:C$5, A$7:A$9, B$7:B$9)</f>
        <v>#NAME?</v>
      </c>
      <c r="F352" s="46" t="e">
        <f ca="1"/>
        <v>#NAME?</v>
      </c>
      <c r="G352" s="46" t="e">
        <f ca="1"/>
        <v>#NAME?</v>
      </c>
      <c r="P352" s="46" t="e">
        <f ca="1">1430*E352+435*F352+2412*G352</f>
        <v>#NAME?</v>
      </c>
      <c r="R352" s="46" t="e">
        <f ca="1"/>
        <v>#NAME?</v>
      </c>
    </row>
    <row r="353" spans="5:18">
      <c r="E353" s="46" t="e">
        <f t="array" aca="1" ref="E353:G353" ca="1">MultivarXs(3, 500, A$3:C$5, A$7:A$9, B$7:B$9)</f>
        <v>#NAME?</v>
      </c>
      <c r="F353" s="46" t="e">
        <f ca="1"/>
        <v>#NAME?</v>
      </c>
      <c r="G353" s="46" t="e">
        <f ca="1"/>
        <v>#NAME?</v>
      </c>
      <c r="P353" s="46" t="e">
        <f ca="1">1430*E353+435*F353+2412*G353</f>
        <v>#NAME?</v>
      </c>
      <c r="R353" s="46" t="e">
        <f ca="1"/>
        <v>#NAME?</v>
      </c>
    </row>
    <row r="354" spans="5:18">
      <c r="E354" s="46" t="e">
        <f t="array" aca="1" ref="E354:G354" ca="1">MultivarXs(3, 500, A$3:C$5, A$7:A$9, B$7:B$9)</f>
        <v>#NAME?</v>
      </c>
      <c r="F354" s="46" t="e">
        <f ca="1"/>
        <v>#NAME?</v>
      </c>
      <c r="G354" s="46" t="e">
        <f ca="1"/>
        <v>#NAME?</v>
      </c>
      <c r="P354" s="46" t="e">
        <f ca="1">1430*E354+435*F354+2412*G354</f>
        <v>#NAME?</v>
      </c>
      <c r="R354" s="46" t="e">
        <f ca="1"/>
        <v>#NAME?</v>
      </c>
    </row>
    <row r="355" spans="5:18">
      <c r="E355" s="46" t="e">
        <f t="array" aca="1" ref="E355:G355" ca="1">MultivarXs(3, 500, A$3:C$5, A$7:A$9, B$7:B$9)</f>
        <v>#NAME?</v>
      </c>
      <c r="F355" s="46" t="e">
        <f ca="1"/>
        <v>#NAME?</v>
      </c>
      <c r="G355" s="46" t="e">
        <f ca="1"/>
        <v>#NAME?</v>
      </c>
      <c r="P355" s="46" t="e">
        <f ca="1">1430*E355+435*F355+2412*G355</f>
        <v>#NAME?</v>
      </c>
      <c r="R355" s="46" t="e">
        <f ca="1"/>
        <v>#NAME?</v>
      </c>
    </row>
    <row r="356" spans="5:18">
      <c r="E356" s="46" t="e">
        <f t="array" aca="1" ref="E356:G356" ca="1">MultivarXs(3, 500, A$3:C$5, A$7:A$9, B$7:B$9)</f>
        <v>#NAME?</v>
      </c>
      <c r="F356" s="46" t="e">
        <f ca="1"/>
        <v>#NAME?</v>
      </c>
      <c r="G356" s="46" t="e">
        <f ca="1"/>
        <v>#NAME?</v>
      </c>
      <c r="P356" s="46" t="e">
        <f ca="1">1430*E356+435*F356+2412*G356</f>
        <v>#NAME?</v>
      </c>
      <c r="R356" s="46" t="e">
        <f ca="1"/>
        <v>#NAME?</v>
      </c>
    </row>
    <row r="357" spans="5:18">
      <c r="E357" s="46" t="e">
        <f t="array" aca="1" ref="E357:G357" ca="1">MultivarXs(3, 500, A$3:C$5, A$7:A$9, B$7:B$9)</f>
        <v>#NAME?</v>
      </c>
      <c r="F357" s="46" t="e">
        <f ca="1"/>
        <v>#NAME?</v>
      </c>
      <c r="G357" s="46" t="e">
        <f ca="1"/>
        <v>#NAME?</v>
      </c>
      <c r="P357" s="46" t="e">
        <f ca="1">1430*E357+435*F357+2412*G357</f>
        <v>#NAME?</v>
      </c>
      <c r="R357" s="46" t="e">
        <f ca="1"/>
        <v>#NAME?</v>
      </c>
    </row>
    <row r="358" spans="5:18">
      <c r="E358" s="46" t="e">
        <f t="array" aca="1" ref="E358:G358" ca="1">MultivarXs(3, 500, A$3:C$5, A$7:A$9, B$7:B$9)</f>
        <v>#NAME?</v>
      </c>
      <c r="F358" s="46" t="e">
        <f ca="1"/>
        <v>#NAME?</v>
      </c>
      <c r="G358" s="46" t="e">
        <f ca="1"/>
        <v>#NAME?</v>
      </c>
      <c r="P358" s="46" t="e">
        <f ca="1">1430*E358+435*F358+2412*G358</f>
        <v>#NAME?</v>
      </c>
      <c r="R358" s="46" t="e">
        <f ca="1"/>
        <v>#NAME?</v>
      </c>
    </row>
    <row r="359" spans="5:18">
      <c r="E359" s="46" t="e">
        <f t="array" aca="1" ref="E359:G359" ca="1">MultivarXs(3, 500, A$3:C$5, A$7:A$9, B$7:B$9)</f>
        <v>#NAME?</v>
      </c>
      <c r="F359" s="46" t="e">
        <f ca="1"/>
        <v>#NAME?</v>
      </c>
      <c r="G359" s="46" t="e">
        <f ca="1"/>
        <v>#NAME?</v>
      </c>
      <c r="P359" s="46" t="e">
        <f ca="1">1430*E359+435*F359+2412*G359</f>
        <v>#NAME?</v>
      </c>
      <c r="R359" s="46" t="e">
        <f ca="1"/>
        <v>#NAME?</v>
      </c>
    </row>
    <row r="360" spans="5:18">
      <c r="E360" s="46" t="e">
        <f t="array" aca="1" ref="E360:G360" ca="1">MultivarXs(3, 500, A$3:C$5, A$7:A$9, B$7:B$9)</f>
        <v>#NAME?</v>
      </c>
      <c r="F360" s="46" t="e">
        <f ca="1"/>
        <v>#NAME?</v>
      </c>
      <c r="G360" s="46" t="e">
        <f ca="1"/>
        <v>#NAME?</v>
      </c>
      <c r="P360" s="46" t="e">
        <f ca="1">1430*E360+435*F360+2412*G360</f>
        <v>#NAME?</v>
      </c>
      <c r="R360" s="46" t="e">
        <f ca="1"/>
        <v>#NAME?</v>
      </c>
    </row>
    <row r="361" spans="5:18">
      <c r="E361" s="46" t="e">
        <f t="array" aca="1" ref="E361:G361" ca="1">MultivarXs(3, 500, A$3:C$5, A$7:A$9, B$7:B$9)</f>
        <v>#NAME?</v>
      </c>
      <c r="F361" s="46" t="e">
        <f ca="1"/>
        <v>#NAME?</v>
      </c>
      <c r="G361" s="46" t="e">
        <f ca="1"/>
        <v>#NAME?</v>
      </c>
      <c r="P361" s="46" t="e">
        <f ca="1">1430*E361+435*F361+2412*G361</f>
        <v>#NAME?</v>
      </c>
      <c r="R361" s="46" t="e">
        <f ca="1"/>
        <v>#NAME?</v>
      </c>
    </row>
    <row r="362" spans="5:18">
      <c r="E362" s="46" t="e">
        <f t="array" aca="1" ref="E362:G362" ca="1">MultivarXs(3, 500, A$3:C$5, A$7:A$9, B$7:B$9)</f>
        <v>#NAME?</v>
      </c>
      <c r="F362" s="46" t="e">
        <f ca="1"/>
        <v>#NAME?</v>
      </c>
      <c r="G362" s="46" t="e">
        <f ca="1"/>
        <v>#NAME?</v>
      </c>
      <c r="P362" s="46" t="e">
        <f ca="1">1430*E362+435*F362+2412*G362</f>
        <v>#NAME?</v>
      </c>
      <c r="R362" s="46" t="e">
        <f ca="1"/>
        <v>#NAME?</v>
      </c>
    </row>
    <row r="363" spans="5:18">
      <c r="E363" s="46" t="e">
        <f t="array" aca="1" ref="E363:G363" ca="1">MultivarXs(3, 500, A$3:C$5, A$7:A$9, B$7:B$9)</f>
        <v>#NAME?</v>
      </c>
      <c r="F363" s="46" t="e">
        <f ca="1"/>
        <v>#NAME?</v>
      </c>
      <c r="G363" s="46" t="e">
        <f ca="1"/>
        <v>#NAME?</v>
      </c>
      <c r="P363" s="46" t="e">
        <f ca="1">1430*E363+435*F363+2412*G363</f>
        <v>#NAME?</v>
      </c>
      <c r="R363" s="46" t="e">
        <f ca="1"/>
        <v>#NAME?</v>
      </c>
    </row>
    <row r="364" spans="5:18">
      <c r="E364" s="46" t="e">
        <f t="array" aca="1" ref="E364:G364" ca="1">MultivarXs(3, 500, A$3:C$5, A$7:A$9, B$7:B$9)</f>
        <v>#NAME?</v>
      </c>
      <c r="F364" s="46" t="e">
        <f ca="1"/>
        <v>#NAME?</v>
      </c>
      <c r="G364" s="46" t="e">
        <f ca="1"/>
        <v>#NAME?</v>
      </c>
      <c r="P364" s="46" t="e">
        <f ca="1">1430*E364+435*F364+2412*G364</f>
        <v>#NAME?</v>
      </c>
      <c r="R364" s="46" t="e">
        <f ca="1"/>
        <v>#NAME?</v>
      </c>
    </row>
    <row r="365" spans="5:18">
      <c r="E365" s="46" t="e">
        <f t="array" aca="1" ref="E365:G365" ca="1">MultivarXs(3, 500, A$3:C$5, A$7:A$9, B$7:B$9)</f>
        <v>#NAME?</v>
      </c>
      <c r="F365" s="46" t="e">
        <f ca="1"/>
        <v>#NAME?</v>
      </c>
      <c r="G365" s="46" t="e">
        <f ca="1"/>
        <v>#NAME?</v>
      </c>
      <c r="P365" s="46" t="e">
        <f ca="1">1430*E365+435*F365+2412*G365</f>
        <v>#NAME?</v>
      </c>
      <c r="R365" s="46" t="e">
        <f ca="1"/>
        <v>#NAME?</v>
      </c>
    </row>
    <row r="366" spans="5:18">
      <c r="E366" s="46" t="e">
        <f t="array" aca="1" ref="E366:G366" ca="1">MultivarXs(3, 500, A$3:C$5, A$7:A$9, B$7:B$9)</f>
        <v>#NAME?</v>
      </c>
      <c r="F366" s="46" t="e">
        <f ca="1"/>
        <v>#NAME?</v>
      </c>
      <c r="G366" s="46" t="e">
        <f ca="1"/>
        <v>#NAME?</v>
      </c>
      <c r="P366" s="46" t="e">
        <f ca="1">1430*E366+435*F366+2412*G366</f>
        <v>#NAME?</v>
      </c>
      <c r="R366" s="46" t="e">
        <f ca="1"/>
        <v>#NAME?</v>
      </c>
    </row>
    <row r="367" spans="5:18">
      <c r="E367" s="46" t="e">
        <f t="array" aca="1" ref="E367:G367" ca="1">MultivarXs(3, 500, A$3:C$5, A$7:A$9, B$7:B$9)</f>
        <v>#NAME?</v>
      </c>
      <c r="F367" s="46" t="e">
        <f ca="1"/>
        <v>#NAME?</v>
      </c>
      <c r="G367" s="46" t="e">
        <f ca="1"/>
        <v>#NAME?</v>
      </c>
      <c r="P367" s="46" t="e">
        <f ca="1">1430*E367+435*F367+2412*G367</f>
        <v>#NAME?</v>
      </c>
      <c r="R367" s="46" t="e">
        <f ca="1"/>
        <v>#NAME?</v>
      </c>
    </row>
    <row r="368" spans="5:18">
      <c r="E368" s="46" t="e">
        <f t="array" aca="1" ref="E368:G368" ca="1">MultivarXs(3, 500, A$3:C$5, A$7:A$9, B$7:B$9)</f>
        <v>#NAME?</v>
      </c>
      <c r="F368" s="46" t="e">
        <f ca="1"/>
        <v>#NAME?</v>
      </c>
      <c r="G368" s="46" t="e">
        <f ca="1"/>
        <v>#NAME?</v>
      </c>
      <c r="P368" s="46" t="e">
        <f ca="1">1430*E368+435*F368+2412*G368</f>
        <v>#NAME?</v>
      </c>
      <c r="R368" s="46" t="e">
        <f ca="1"/>
        <v>#NAME?</v>
      </c>
    </row>
    <row r="369" spans="5:18">
      <c r="E369" s="46" t="e">
        <f t="array" aca="1" ref="E369:G369" ca="1">MultivarXs(3, 500, A$3:C$5, A$7:A$9, B$7:B$9)</f>
        <v>#NAME?</v>
      </c>
      <c r="F369" s="46" t="e">
        <f ca="1"/>
        <v>#NAME?</v>
      </c>
      <c r="G369" s="46" t="e">
        <f ca="1"/>
        <v>#NAME?</v>
      </c>
      <c r="P369" s="46" t="e">
        <f ca="1">1430*E369+435*F369+2412*G369</f>
        <v>#NAME?</v>
      </c>
      <c r="R369" s="46" t="e">
        <f ca="1"/>
        <v>#NAME?</v>
      </c>
    </row>
    <row r="370" spans="5:18">
      <c r="E370" s="46" t="e">
        <f t="array" aca="1" ref="E370:G370" ca="1">MultivarXs(3, 500, A$3:C$5, A$7:A$9, B$7:B$9)</f>
        <v>#NAME?</v>
      </c>
      <c r="F370" s="46" t="e">
        <f ca="1"/>
        <v>#NAME?</v>
      </c>
      <c r="G370" s="46" t="e">
        <f ca="1"/>
        <v>#NAME?</v>
      </c>
      <c r="P370" s="46" t="e">
        <f ca="1">1430*E370+435*F370+2412*G370</f>
        <v>#NAME?</v>
      </c>
      <c r="R370" s="46" t="e">
        <f ca="1"/>
        <v>#NAME?</v>
      </c>
    </row>
    <row r="371" spans="5:18">
      <c r="E371" s="46" t="e">
        <f t="array" aca="1" ref="E371:G371" ca="1">MultivarXs(3, 500, A$3:C$5, A$7:A$9, B$7:B$9)</f>
        <v>#NAME?</v>
      </c>
      <c r="F371" s="46" t="e">
        <f ca="1"/>
        <v>#NAME?</v>
      </c>
      <c r="G371" s="46" t="e">
        <f ca="1"/>
        <v>#NAME?</v>
      </c>
      <c r="P371" s="46" t="e">
        <f ca="1">1430*E371+435*F371+2412*G371</f>
        <v>#NAME?</v>
      </c>
      <c r="R371" s="46" t="e">
        <f ca="1"/>
        <v>#NAME?</v>
      </c>
    </row>
    <row r="372" spans="5:18">
      <c r="E372" s="46" t="e">
        <f t="array" aca="1" ref="E372:G372" ca="1">MultivarXs(3, 500, A$3:C$5, A$7:A$9, B$7:B$9)</f>
        <v>#NAME?</v>
      </c>
      <c r="F372" s="46" t="e">
        <f ca="1"/>
        <v>#NAME?</v>
      </c>
      <c r="G372" s="46" t="e">
        <f ca="1"/>
        <v>#NAME?</v>
      </c>
      <c r="P372" s="46" t="e">
        <f ca="1">1430*E372+435*F372+2412*G372</f>
        <v>#NAME?</v>
      </c>
      <c r="R372" s="46" t="e">
        <f ca="1"/>
        <v>#NAME?</v>
      </c>
    </row>
    <row r="373" spans="5:18">
      <c r="E373" s="46" t="e">
        <f t="array" aca="1" ref="E373:G373" ca="1">MultivarXs(3, 500, A$3:C$5, A$7:A$9, B$7:B$9)</f>
        <v>#NAME?</v>
      </c>
      <c r="F373" s="46" t="e">
        <f ca="1"/>
        <v>#NAME?</v>
      </c>
      <c r="G373" s="46" t="e">
        <f ca="1"/>
        <v>#NAME?</v>
      </c>
      <c r="P373" s="46" t="e">
        <f ca="1">1430*E373+435*F373+2412*G373</f>
        <v>#NAME?</v>
      </c>
      <c r="R373" s="46" t="e">
        <f ca="1"/>
        <v>#NAME?</v>
      </c>
    </row>
    <row r="374" spans="5:18">
      <c r="E374" s="46" t="e">
        <f t="array" aca="1" ref="E374:G374" ca="1">MultivarXs(3, 500, A$3:C$5, A$7:A$9, B$7:B$9)</f>
        <v>#NAME?</v>
      </c>
      <c r="F374" s="46" t="e">
        <f ca="1"/>
        <v>#NAME?</v>
      </c>
      <c r="G374" s="46" t="e">
        <f ca="1"/>
        <v>#NAME?</v>
      </c>
      <c r="P374" s="46" t="e">
        <f ca="1">1430*E374+435*F374+2412*G374</f>
        <v>#NAME?</v>
      </c>
      <c r="R374" s="46" t="e">
        <f ca="1"/>
        <v>#NAME?</v>
      </c>
    </row>
    <row r="375" spans="5:18">
      <c r="E375" s="46" t="e">
        <f t="array" aca="1" ref="E375:G375" ca="1">MultivarXs(3, 500, A$3:C$5, A$7:A$9, B$7:B$9)</f>
        <v>#NAME?</v>
      </c>
      <c r="F375" s="46" t="e">
        <f ca="1"/>
        <v>#NAME?</v>
      </c>
      <c r="G375" s="46" t="e">
        <f ca="1"/>
        <v>#NAME?</v>
      </c>
      <c r="P375" s="46" t="e">
        <f ca="1">1430*E375+435*F375+2412*G375</f>
        <v>#NAME?</v>
      </c>
      <c r="R375" s="46" t="e">
        <f ca="1"/>
        <v>#NAME?</v>
      </c>
    </row>
    <row r="376" spans="5:18">
      <c r="E376" s="46" t="e">
        <f t="array" aca="1" ref="E376:G376" ca="1">MultivarXs(3, 500, A$3:C$5, A$7:A$9, B$7:B$9)</f>
        <v>#NAME?</v>
      </c>
      <c r="F376" s="46" t="e">
        <f ca="1"/>
        <v>#NAME?</v>
      </c>
      <c r="G376" s="46" t="e">
        <f ca="1"/>
        <v>#NAME?</v>
      </c>
      <c r="P376" s="46" t="e">
        <f ca="1">1430*E376+435*F376+2412*G376</f>
        <v>#NAME?</v>
      </c>
      <c r="R376" s="46" t="e">
        <f ca="1"/>
        <v>#NAME?</v>
      </c>
    </row>
    <row r="377" spans="5:18">
      <c r="E377" s="46" t="e">
        <f t="array" aca="1" ref="E377:G377" ca="1">MultivarXs(3, 500, A$3:C$5, A$7:A$9, B$7:B$9)</f>
        <v>#NAME?</v>
      </c>
      <c r="F377" s="46" t="e">
        <f ca="1"/>
        <v>#NAME?</v>
      </c>
      <c r="G377" s="46" t="e">
        <f ca="1"/>
        <v>#NAME?</v>
      </c>
      <c r="P377" s="46" t="e">
        <f ca="1">1430*E377+435*F377+2412*G377</f>
        <v>#NAME?</v>
      </c>
      <c r="R377" s="46" t="e">
        <f ca="1"/>
        <v>#NAME?</v>
      </c>
    </row>
    <row r="378" spans="5:18">
      <c r="E378" s="46" t="e">
        <f t="array" aca="1" ref="E378:G378" ca="1">MultivarXs(3, 500, A$3:C$5, A$7:A$9, B$7:B$9)</f>
        <v>#NAME?</v>
      </c>
      <c r="F378" s="46" t="e">
        <f ca="1"/>
        <v>#NAME?</v>
      </c>
      <c r="G378" s="46" t="e">
        <f ca="1"/>
        <v>#NAME?</v>
      </c>
      <c r="P378" s="46" t="e">
        <f ca="1">1430*E378+435*F378+2412*G378</f>
        <v>#NAME?</v>
      </c>
      <c r="R378" s="46" t="e">
        <f ca="1"/>
        <v>#NAME?</v>
      </c>
    </row>
    <row r="379" spans="5:18">
      <c r="E379" s="46" t="e">
        <f t="array" aca="1" ref="E379:G379" ca="1">MultivarXs(3, 500, A$3:C$5, A$7:A$9, B$7:B$9)</f>
        <v>#NAME?</v>
      </c>
      <c r="F379" s="46" t="e">
        <f ca="1"/>
        <v>#NAME?</v>
      </c>
      <c r="G379" s="46" t="e">
        <f ca="1"/>
        <v>#NAME?</v>
      </c>
      <c r="P379" s="46" t="e">
        <f ca="1">1430*E379+435*F379+2412*G379</f>
        <v>#NAME?</v>
      </c>
      <c r="R379" s="46" t="e">
        <f ca="1"/>
        <v>#NAME?</v>
      </c>
    </row>
    <row r="380" spans="5:18">
      <c r="E380" s="46" t="e">
        <f t="array" aca="1" ref="E380:G380" ca="1">MultivarXs(3, 500, A$3:C$5, A$7:A$9, B$7:B$9)</f>
        <v>#NAME?</v>
      </c>
      <c r="F380" s="46" t="e">
        <f ca="1"/>
        <v>#NAME?</v>
      </c>
      <c r="G380" s="46" t="e">
        <f ca="1"/>
        <v>#NAME?</v>
      </c>
      <c r="P380" s="46" t="e">
        <f ca="1">1430*E380+435*F380+2412*G380</f>
        <v>#NAME?</v>
      </c>
      <c r="R380" s="46" t="e">
        <f ca="1"/>
        <v>#NAME?</v>
      </c>
    </row>
    <row r="381" spans="5:18">
      <c r="E381" s="46" t="e">
        <f t="array" aca="1" ref="E381:G381" ca="1">MultivarXs(3, 500, A$3:C$5, A$7:A$9, B$7:B$9)</f>
        <v>#NAME?</v>
      </c>
      <c r="F381" s="46" t="e">
        <f ca="1"/>
        <v>#NAME?</v>
      </c>
      <c r="G381" s="46" t="e">
        <f ca="1"/>
        <v>#NAME?</v>
      </c>
      <c r="P381" s="46" t="e">
        <f ca="1">1430*E381+435*F381+2412*G381</f>
        <v>#NAME?</v>
      </c>
      <c r="R381" s="46" t="e">
        <f ca="1"/>
        <v>#NAME?</v>
      </c>
    </row>
    <row r="382" spans="5:18">
      <c r="E382" s="46" t="e">
        <f t="array" aca="1" ref="E382:G382" ca="1">MultivarXs(3, 500, A$3:C$5, A$7:A$9, B$7:B$9)</f>
        <v>#NAME?</v>
      </c>
      <c r="F382" s="46" t="e">
        <f ca="1"/>
        <v>#NAME?</v>
      </c>
      <c r="G382" s="46" t="e">
        <f ca="1"/>
        <v>#NAME?</v>
      </c>
      <c r="P382" s="46" t="e">
        <f ca="1">1430*E382+435*F382+2412*G382</f>
        <v>#NAME?</v>
      </c>
      <c r="R382" s="46" t="e">
        <f ca="1"/>
        <v>#NAME?</v>
      </c>
    </row>
    <row r="383" spans="5:18">
      <c r="E383" s="46" t="e">
        <f t="array" aca="1" ref="E383:G383" ca="1">MultivarXs(3, 500, A$3:C$5, A$7:A$9, B$7:B$9)</f>
        <v>#NAME?</v>
      </c>
      <c r="F383" s="46" t="e">
        <f ca="1"/>
        <v>#NAME?</v>
      </c>
      <c r="G383" s="46" t="e">
        <f ca="1"/>
        <v>#NAME?</v>
      </c>
      <c r="P383" s="46" t="e">
        <f ca="1">1430*E383+435*F383+2412*G383</f>
        <v>#NAME?</v>
      </c>
      <c r="R383" s="46" t="e">
        <f ca="1"/>
        <v>#NAME?</v>
      </c>
    </row>
    <row r="384" spans="5:18">
      <c r="E384" s="46" t="e">
        <f t="array" aca="1" ref="E384:G384" ca="1">MultivarXs(3, 500, A$3:C$5, A$7:A$9, B$7:B$9)</f>
        <v>#NAME?</v>
      </c>
      <c r="F384" s="46" t="e">
        <f ca="1"/>
        <v>#NAME?</v>
      </c>
      <c r="G384" s="46" t="e">
        <f ca="1"/>
        <v>#NAME?</v>
      </c>
      <c r="P384" s="46" t="e">
        <f ca="1">1430*E384+435*F384+2412*G384</f>
        <v>#NAME?</v>
      </c>
      <c r="R384" s="46" t="e">
        <f ca="1"/>
        <v>#NAME?</v>
      </c>
    </row>
    <row r="385" spans="5:18">
      <c r="E385" s="46" t="e">
        <f t="array" aca="1" ref="E385:G385" ca="1">MultivarXs(3, 500, A$3:C$5, A$7:A$9, B$7:B$9)</f>
        <v>#NAME?</v>
      </c>
      <c r="F385" s="46" t="e">
        <f ca="1"/>
        <v>#NAME?</v>
      </c>
      <c r="G385" s="46" t="e">
        <f ca="1"/>
        <v>#NAME?</v>
      </c>
      <c r="P385" s="46" t="e">
        <f ca="1">1430*E385+435*F385+2412*G385</f>
        <v>#NAME?</v>
      </c>
      <c r="R385" s="46" t="e">
        <f ca="1"/>
        <v>#NAME?</v>
      </c>
    </row>
    <row r="386" spans="5:18">
      <c r="E386" s="46" t="e">
        <f t="array" aca="1" ref="E386:G386" ca="1">MultivarXs(3, 500, A$3:C$5, A$7:A$9, B$7:B$9)</f>
        <v>#NAME?</v>
      </c>
      <c r="F386" s="46" t="e">
        <f ca="1"/>
        <v>#NAME?</v>
      </c>
      <c r="G386" s="46" t="e">
        <f ca="1"/>
        <v>#NAME?</v>
      </c>
      <c r="P386" s="46" t="e">
        <f ca="1">1430*E386+435*F386+2412*G386</f>
        <v>#NAME?</v>
      </c>
      <c r="R386" s="46" t="e">
        <f ca="1"/>
        <v>#NAME?</v>
      </c>
    </row>
    <row r="387" spans="5:18">
      <c r="E387" s="46" t="e">
        <f t="array" aca="1" ref="E387:G387" ca="1">MultivarXs(3, 500, A$3:C$5, A$7:A$9, B$7:B$9)</f>
        <v>#NAME?</v>
      </c>
      <c r="F387" s="46" t="e">
        <f ca="1"/>
        <v>#NAME?</v>
      </c>
      <c r="G387" s="46" t="e">
        <f ca="1"/>
        <v>#NAME?</v>
      </c>
      <c r="P387" s="46" t="e">
        <f ca="1">1430*E387+435*F387+2412*G387</f>
        <v>#NAME?</v>
      </c>
      <c r="R387" s="46" t="e">
        <f ca="1"/>
        <v>#NAME?</v>
      </c>
    </row>
    <row r="388" spans="5:18">
      <c r="E388" s="46" t="e">
        <f t="array" aca="1" ref="E388:G388" ca="1">MultivarXs(3, 500, A$3:C$5, A$7:A$9, B$7:B$9)</f>
        <v>#NAME?</v>
      </c>
      <c r="F388" s="46" t="e">
        <f ca="1"/>
        <v>#NAME?</v>
      </c>
      <c r="G388" s="46" t="e">
        <f ca="1"/>
        <v>#NAME?</v>
      </c>
      <c r="P388" s="46" t="e">
        <f ca="1">1430*E388+435*F388+2412*G388</f>
        <v>#NAME?</v>
      </c>
      <c r="R388" s="46" t="e">
        <f ca="1"/>
        <v>#NAME?</v>
      </c>
    </row>
    <row r="389" spans="5:18">
      <c r="E389" s="46" t="e">
        <f t="array" aca="1" ref="E389:G389" ca="1">MultivarXs(3, 500, A$3:C$5, A$7:A$9, B$7:B$9)</f>
        <v>#NAME?</v>
      </c>
      <c r="F389" s="46" t="e">
        <f ca="1"/>
        <v>#NAME?</v>
      </c>
      <c r="G389" s="46" t="e">
        <f ca="1"/>
        <v>#NAME?</v>
      </c>
      <c r="P389" s="46" t="e">
        <f ca="1">1430*E389+435*F389+2412*G389</f>
        <v>#NAME?</v>
      </c>
      <c r="R389" s="46" t="e">
        <f ca="1"/>
        <v>#NAME?</v>
      </c>
    </row>
    <row r="390" spans="5:18">
      <c r="E390" s="46" t="e">
        <f t="array" aca="1" ref="E390:G390" ca="1">MultivarXs(3, 500, A$3:C$5, A$7:A$9, B$7:B$9)</f>
        <v>#NAME?</v>
      </c>
      <c r="F390" s="46" t="e">
        <f ca="1"/>
        <v>#NAME?</v>
      </c>
      <c r="G390" s="46" t="e">
        <f ca="1"/>
        <v>#NAME?</v>
      </c>
      <c r="P390" s="46" t="e">
        <f ca="1">1430*E390+435*F390+2412*G390</f>
        <v>#NAME?</v>
      </c>
      <c r="R390" s="46" t="e">
        <f ca="1"/>
        <v>#NAME?</v>
      </c>
    </row>
    <row r="391" spans="5:18">
      <c r="E391" s="46" t="e">
        <f t="array" aca="1" ref="E391:G391" ca="1">MultivarXs(3, 500, A$3:C$5, A$7:A$9, B$7:B$9)</f>
        <v>#NAME?</v>
      </c>
      <c r="F391" s="46" t="e">
        <f ca="1"/>
        <v>#NAME?</v>
      </c>
      <c r="G391" s="46" t="e">
        <f ca="1"/>
        <v>#NAME?</v>
      </c>
      <c r="P391" s="46" t="e">
        <f ca="1">1430*E391+435*F391+2412*G391</f>
        <v>#NAME?</v>
      </c>
      <c r="R391" s="46" t="e">
        <f ca="1"/>
        <v>#NAME?</v>
      </c>
    </row>
    <row r="392" spans="5:18">
      <c r="E392" s="46" t="e">
        <f t="array" aca="1" ref="E392:G392" ca="1">MultivarXs(3, 500, A$3:C$5, A$7:A$9, B$7:B$9)</f>
        <v>#NAME?</v>
      </c>
      <c r="F392" s="46" t="e">
        <f ca="1"/>
        <v>#NAME?</v>
      </c>
      <c r="G392" s="46" t="e">
        <f ca="1"/>
        <v>#NAME?</v>
      </c>
      <c r="P392" s="46" t="e">
        <f ca="1">1430*E392+435*F392+2412*G392</f>
        <v>#NAME?</v>
      </c>
      <c r="R392" s="46" t="e">
        <f ca="1"/>
        <v>#NAME?</v>
      </c>
    </row>
    <row r="393" spans="5:18">
      <c r="E393" s="46" t="e">
        <f t="array" aca="1" ref="E393:G393" ca="1">MultivarXs(3, 500, A$3:C$5, A$7:A$9, B$7:B$9)</f>
        <v>#NAME?</v>
      </c>
      <c r="F393" s="46" t="e">
        <f ca="1"/>
        <v>#NAME?</v>
      </c>
      <c r="G393" s="46" t="e">
        <f ca="1"/>
        <v>#NAME?</v>
      </c>
      <c r="P393" s="46" t="e">
        <f ca="1">1430*E393+435*F393+2412*G393</f>
        <v>#NAME?</v>
      </c>
      <c r="R393" s="46" t="e">
        <f ca="1"/>
        <v>#NAME?</v>
      </c>
    </row>
    <row r="394" spans="5:18">
      <c r="E394" s="46" t="e">
        <f t="array" aca="1" ref="E394:G394" ca="1">MultivarXs(3, 500, A$3:C$5, A$7:A$9, B$7:B$9)</f>
        <v>#NAME?</v>
      </c>
      <c r="F394" s="46" t="e">
        <f ca="1"/>
        <v>#NAME?</v>
      </c>
      <c r="G394" s="46" t="e">
        <f ca="1"/>
        <v>#NAME?</v>
      </c>
      <c r="P394" s="46" t="e">
        <f ca="1">1430*E394+435*F394+2412*G394</f>
        <v>#NAME?</v>
      </c>
      <c r="R394" s="46" t="e">
        <f ca="1"/>
        <v>#NAME?</v>
      </c>
    </row>
    <row r="395" spans="5:18">
      <c r="E395" s="46" t="e">
        <f t="array" aca="1" ref="E395:G395" ca="1">MultivarXs(3, 500, A$3:C$5, A$7:A$9, B$7:B$9)</f>
        <v>#NAME?</v>
      </c>
      <c r="F395" s="46" t="e">
        <f ca="1"/>
        <v>#NAME?</v>
      </c>
      <c r="G395" s="46" t="e">
        <f ca="1"/>
        <v>#NAME?</v>
      </c>
      <c r="P395" s="46" t="e">
        <f ca="1">1430*E395+435*F395+2412*G395</f>
        <v>#NAME?</v>
      </c>
      <c r="R395" s="46" t="e">
        <f ca="1"/>
        <v>#NAME?</v>
      </c>
    </row>
    <row r="396" spans="5:18">
      <c r="E396" s="46" t="e">
        <f t="array" aca="1" ref="E396:G396" ca="1">MultivarXs(3, 500, A$3:C$5, A$7:A$9, B$7:B$9)</f>
        <v>#NAME?</v>
      </c>
      <c r="F396" s="46" t="e">
        <f ca="1"/>
        <v>#NAME?</v>
      </c>
      <c r="G396" s="46" t="e">
        <f ca="1"/>
        <v>#NAME?</v>
      </c>
      <c r="P396" s="46" t="e">
        <f ca="1">1430*E396+435*F396+2412*G396</f>
        <v>#NAME?</v>
      </c>
      <c r="R396" s="46" t="e">
        <f ca="1"/>
        <v>#NAME?</v>
      </c>
    </row>
    <row r="397" spans="5:18">
      <c r="E397" s="46" t="e">
        <f t="array" aca="1" ref="E397:G397" ca="1">MultivarXs(3, 500, A$3:C$5, A$7:A$9, B$7:B$9)</f>
        <v>#NAME?</v>
      </c>
      <c r="F397" s="46" t="e">
        <f ca="1"/>
        <v>#NAME?</v>
      </c>
      <c r="G397" s="46" t="e">
        <f ca="1"/>
        <v>#NAME?</v>
      </c>
      <c r="P397" s="46" t="e">
        <f ca="1">1430*E397+435*F397+2412*G397</f>
        <v>#NAME?</v>
      </c>
      <c r="R397" s="46" t="e">
        <f ca="1"/>
        <v>#NAME?</v>
      </c>
    </row>
    <row r="398" spans="5:18">
      <c r="E398" s="46" t="e">
        <f t="array" aca="1" ref="E398:G398" ca="1">MultivarXs(3, 500, A$3:C$5, A$7:A$9, B$7:B$9)</f>
        <v>#NAME?</v>
      </c>
      <c r="F398" s="46" t="e">
        <f ca="1"/>
        <v>#NAME?</v>
      </c>
      <c r="G398" s="46" t="e">
        <f ca="1"/>
        <v>#NAME?</v>
      </c>
      <c r="P398" s="46" t="e">
        <f ca="1">1430*E398+435*F398+2412*G398</f>
        <v>#NAME?</v>
      </c>
      <c r="R398" s="46" t="e">
        <f ca="1"/>
        <v>#NAME?</v>
      </c>
    </row>
    <row r="399" spans="5:18">
      <c r="E399" s="46" t="e">
        <f t="array" aca="1" ref="E399:G399" ca="1">MultivarXs(3, 500, A$3:C$5, A$7:A$9, B$7:B$9)</f>
        <v>#NAME?</v>
      </c>
      <c r="F399" s="46" t="e">
        <f ca="1"/>
        <v>#NAME?</v>
      </c>
      <c r="G399" s="46" t="e">
        <f ca="1"/>
        <v>#NAME?</v>
      </c>
      <c r="P399" s="46" t="e">
        <f ca="1">1430*E399+435*F399+2412*G399</f>
        <v>#NAME?</v>
      </c>
      <c r="R399" s="46" t="e">
        <f ca="1"/>
        <v>#NAME?</v>
      </c>
    </row>
    <row r="400" spans="5:18">
      <c r="E400" s="46" t="e">
        <f t="array" aca="1" ref="E400:G400" ca="1">MultivarXs(3, 500, A$3:C$5, A$7:A$9, B$7:B$9)</f>
        <v>#NAME?</v>
      </c>
      <c r="F400" s="46" t="e">
        <f ca="1"/>
        <v>#NAME?</v>
      </c>
      <c r="G400" s="46" t="e">
        <f ca="1"/>
        <v>#NAME?</v>
      </c>
      <c r="P400" s="46" t="e">
        <f ca="1">1430*E400+435*F400+2412*G400</f>
        <v>#NAME?</v>
      </c>
      <c r="R400" s="46" t="e">
        <f ca="1"/>
        <v>#NAME?</v>
      </c>
    </row>
    <row r="401" spans="5:18">
      <c r="E401" s="46" t="e">
        <f t="array" aca="1" ref="E401:G401" ca="1">MultivarXs(3, 500, A$3:C$5, A$7:A$9, B$7:B$9)</f>
        <v>#NAME?</v>
      </c>
      <c r="F401" s="46" t="e">
        <f ca="1"/>
        <v>#NAME?</v>
      </c>
      <c r="G401" s="46" t="e">
        <f ca="1"/>
        <v>#NAME?</v>
      </c>
      <c r="P401" s="46" t="e">
        <f ca="1">1430*E401+435*F401+2412*G401</f>
        <v>#NAME?</v>
      </c>
      <c r="R401" s="46" t="e">
        <f ca="1"/>
        <v>#NAME?</v>
      </c>
    </row>
    <row r="402" spans="5:18">
      <c r="E402" s="46" t="e">
        <f t="array" aca="1" ref="E402:G402" ca="1">MultivarXs(3, 500, A$3:C$5, A$7:A$9, B$7:B$9)</f>
        <v>#NAME?</v>
      </c>
      <c r="F402" s="46" t="e">
        <f ca="1"/>
        <v>#NAME?</v>
      </c>
      <c r="G402" s="46" t="e">
        <f ca="1"/>
        <v>#NAME?</v>
      </c>
      <c r="P402" s="46" t="e">
        <f ca="1">1430*E402+435*F402+2412*G402</f>
        <v>#NAME?</v>
      </c>
      <c r="R402" s="46" t="e">
        <f ca="1"/>
        <v>#NAME?</v>
      </c>
    </row>
    <row r="403" spans="5:18">
      <c r="E403" s="46" t="e">
        <f t="array" aca="1" ref="E403:G403" ca="1">MultivarXs(3, 500, A$3:C$5, A$7:A$9, B$7:B$9)</f>
        <v>#NAME?</v>
      </c>
      <c r="F403" s="46" t="e">
        <f ca="1"/>
        <v>#NAME?</v>
      </c>
      <c r="G403" s="46" t="e">
        <f ca="1"/>
        <v>#NAME?</v>
      </c>
      <c r="P403" s="46" t="e">
        <f ca="1">1430*E403+435*F403+2412*G403</f>
        <v>#NAME?</v>
      </c>
      <c r="R403" s="46" t="e">
        <f ca="1"/>
        <v>#NAME?</v>
      </c>
    </row>
    <row r="404" spans="5:18">
      <c r="E404" s="46" t="e">
        <f t="array" aca="1" ref="E404:G404" ca="1">MultivarXs(3, 500, A$3:C$5, A$7:A$9, B$7:B$9)</f>
        <v>#NAME?</v>
      </c>
      <c r="F404" s="46" t="e">
        <f ca="1"/>
        <v>#NAME?</v>
      </c>
      <c r="G404" s="46" t="e">
        <f ca="1"/>
        <v>#NAME?</v>
      </c>
      <c r="P404" s="46" t="e">
        <f ca="1">1430*E404+435*F404+2412*G404</f>
        <v>#NAME?</v>
      </c>
      <c r="R404" s="46" t="e">
        <f ca="1"/>
        <v>#NAME?</v>
      </c>
    </row>
    <row r="405" spans="5:18">
      <c r="E405" s="46" t="e">
        <f t="array" aca="1" ref="E405:G405" ca="1">MultivarXs(3, 500, A$3:C$5, A$7:A$9, B$7:B$9)</f>
        <v>#NAME?</v>
      </c>
      <c r="F405" s="46" t="e">
        <f ca="1"/>
        <v>#NAME?</v>
      </c>
      <c r="G405" s="46" t="e">
        <f ca="1"/>
        <v>#NAME?</v>
      </c>
      <c r="P405" s="46" t="e">
        <f ca="1">1430*E405+435*F405+2412*G405</f>
        <v>#NAME?</v>
      </c>
      <c r="R405" s="46" t="e">
        <f ca="1"/>
        <v>#NAME?</v>
      </c>
    </row>
    <row r="406" spans="5:18">
      <c r="E406" s="46" t="e">
        <f t="array" aca="1" ref="E406:G406" ca="1">MultivarXs(3, 500, A$3:C$5, A$7:A$9, B$7:B$9)</f>
        <v>#NAME?</v>
      </c>
      <c r="F406" s="46" t="e">
        <f ca="1"/>
        <v>#NAME?</v>
      </c>
      <c r="G406" s="46" t="e">
        <f ca="1"/>
        <v>#NAME?</v>
      </c>
      <c r="P406" s="46" t="e">
        <f ca="1">1430*E406+435*F406+2412*G406</f>
        <v>#NAME?</v>
      </c>
      <c r="R406" s="46" t="e">
        <f ca="1"/>
        <v>#NAME?</v>
      </c>
    </row>
    <row r="407" spans="5:18">
      <c r="E407" s="46" t="e">
        <f t="array" aca="1" ref="E407:G407" ca="1">MultivarXs(3, 500, A$3:C$5, A$7:A$9, B$7:B$9)</f>
        <v>#NAME?</v>
      </c>
      <c r="F407" s="46" t="e">
        <f ca="1"/>
        <v>#NAME?</v>
      </c>
      <c r="G407" s="46" t="e">
        <f ca="1"/>
        <v>#NAME?</v>
      </c>
      <c r="P407" s="46" t="e">
        <f ca="1">1430*E407+435*F407+2412*G407</f>
        <v>#NAME?</v>
      </c>
      <c r="R407" s="46" t="e">
        <f ca="1"/>
        <v>#NAME?</v>
      </c>
    </row>
    <row r="408" spans="5:18">
      <c r="E408" s="46" t="e">
        <f t="array" aca="1" ref="E408:G408" ca="1">MultivarXs(3, 500, A$3:C$5, A$7:A$9, B$7:B$9)</f>
        <v>#NAME?</v>
      </c>
      <c r="F408" s="46" t="e">
        <f ca="1"/>
        <v>#NAME?</v>
      </c>
      <c r="G408" s="46" t="e">
        <f ca="1"/>
        <v>#NAME?</v>
      </c>
      <c r="P408" s="46" t="e">
        <f ca="1">1430*E408+435*F408+2412*G408</f>
        <v>#NAME?</v>
      </c>
      <c r="R408" s="46" t="e">
        <f ca="1"/>
        <v>#NAME?</v>
      </c>
    </row>
    <row r="409" spans="5:18">
      <c r="E409" s="46" t="e">
        <f t="array" aca="1" ref="E409:G409" ca="1">MultivarXs(3, 500, A$3:C$5, A$7:A$9, B$7:B$9)</f>
        <v>#NAME?</v>
      </c>
      <c r="F409" s="46" t="e">
        <f ca="1"/>
        <v>#NAME?</v>
      </c>
      <c r="G409" s="46" t="e">
        <f ca="1"/>
        <v>#NAME?</v>
      </c>
      <c r="P409" s="46" t="e">
        <f ca="1">1430*E409+435*F409+2412*G409</f>
        <v>#NAME?</v>
      </c>
      <c r="R409" s="46" t="e">
        <f ca="1"/>
        <v>#NAME?</v>
      </c>
    </row>
    <row r="410" spans="5:18">
      <c r="E410" s="46" t="e">
        <f t="array" aca="1" ref="E410:G410" ca="1">MultivarXs(3, 500, A$3:C$5, A$7:A$9, B$7:B$9)</f>
        <v>#NAME?</v>
      </c>
      <c r="F410" s="46" t="e">
        <f ca="1"/>
        <v>#NAME?</v>
      </c>
      <c r="G410" s="46" t="e">
        <f ca="1"/>
        <v>#NAME?</v>
      </c>
      <c r="P410" s="46" t="e">
        <f ca="1">1430*E410+435*F410+2412*G410</f>
        <v>#NAME?</v>
      </c>
      <c r="R410" s="46" t="e">
        <f ca="1"/>
        <v>#NAME?</v>
      </c>
    </row>
    <row r="411" spans="5:18">
      <c r="E411" s="46" t="e">
        <f t="array" aca="1" ref="E411:G411" ca="1">MultivarXs(3, 500, A$3:C$5, A$7:A$9, B$7:B$9)</f>
        <v>#NAME?</v>
      </c>
      <c r="F411" s="46" t="e">
        <f ca="1"/>
        <v>#NAME?</v>
      </c>
      <c r="G411" s="46" t="e">
        <f ca="1"/>
        <v>#NAME?</v>
      </c>
      <c r="P411" s="46" t="e">
        <f ca="1">1430*E411+435*F411+2412*G411</f>
        <v>#NAME?</v>
      </c>
      <c r="R411" s="46" t="e">
        <f ca="1"/>
        <v>#NAME?</v>
      </c>
    </row>
    <row r="412" spans="5:18">
      <c r="E412" s="46" t="e">
        <f t="array" aca="1" ref="E412:G412" ca="1">MultivarXs(3, 500, A$3:C$5, A$7:A$9, B$7:B$9)</f>
        <v>#NAME?</v>
      </c>
      <c r="F412" s="46" t="e">
        <f ca="1"/>
        <v>#NAME?</v>
      </c>
      <c r="G412" s="46" t="e">
        <f ca="1"/>
        <v>#NAME?</v>
      </c>
      <c r="P412" s="46" t="e">
        <f ca="1">1430*E412+435*F412+2412*G412</f>
        <v>#NAME?</v>
      </c>
      <c r="R412" s="46" t="e">
        <f ca="1"/>
        <v>#NAME?</v>
      </c>
    </row>
    <row r="413" spans="5:18">
      <c r="E413" s="46" t="e">
        <f t="array" aca="1" ref="E413:G413" ca="1">MultivarXs(3, 500, A$3:C$5, A$7:A$9, B$7:B$9)</f>
        <v>#NAME?</v>
      </c>
      <c r="F413" s="46" t="e">
        <f ca="1"/>
        <v>#NAME?</v>
      </c>
      <c r="G413" s="46" t="e">
        <f ca="1"/>
        <v>#NAME?</v>
      </c>
      <c r="P413" s="46" t="e">
        <f ca="1">1430*E413+435*F413+2412*G413</f>
        <v>#NAME?</v>
      </c>
      <c r="R413" s="46" t="e">
        <f ca="1"/>
        <v>#NAME?</v>
      </c>
    </row>
    <row r="414" spans="5:18">
      <c r="E414" s="46" t="e">
        <f t="array" aca="1" ref="E414:G414" ca="1">MultivarXs(3, 500, A$3:C$5, A$7:A$9, B$7:B$9)</f>
        <v>#NAME?</v>
      </c>
      <c r="F414" s="46" t="e">
        <f ca="1"/>
        <v>#NAME?</v>
      </c>
      <c r="G414" s="46" t="e">
        <f ca="1"/>
        <v>#NAME?</v>
      </c>
      <c r="P414" s="46" t="e">
        <f ca="1">1430*E414+435*F414+2412*G414</f>
        <v>#NAME?</v>
      </c>
      <c r="R414" s="46" t="e">
        <f ca="1"/>
        <v>#NAME?</v>
      </c>
    </row>
    <row r="415" spans="5:18">
      <c r="E415" s="46" t="e">
        <f t="array" aca="1" ref="E415:G415" ca="1">MultivarXs(3, 500, A$3:C$5, A$7:A$9, B$7:B$9)</f>
        <v>#NAME?</v>
      </c>
      <c r="F415" s="46" t="e">
        <f ca="1"/>
        <v>#NAME?</v>
      </c>
      <c r="G415" s="46" t="e">
        <f ca="1"/>
        <v>#NAME?</v>
      </c>
      <c r="P415" s="46" t="e">
        <f ca="1">1430*E415+435*F415+2412*G415</f>
        <v>#NAME?</v>
      </c>
      <c r="R415" s="46" t="e">
        <f ca="1"/>
        <v>#NAME?</v>
      </c>
    </row>
    <row r="416" spans="5:18">
      <c r="E416" s="46" t="e">
        <f t="array" aca="1" ref="E416:G416" ca="1">MultivarXs(3, 500, A$3:C$5, A$7:A$9, B$7:B$9)</f>
        <v>#NAME?</v>
      </c>
      <c r="F416" s="46" t="e">
        <f ca="1"/>
        <v>#NAME?</v>
      </c>
      <c r="G416" s="46" t="e">
        <f ca="1"/>
        <v>#NAME?</v>
      </c>
      <c r="P416" s="46" t="e">
        <f ca="1">1430*E416+435*F416+2412*G416</f>
        <v>#NAME?</v>
      </c>
      <c r="R416" s="46" t="e">
        <f ca="1"/>
        <v>#NAME?</v>
      </c>
    </row>
    <row r="417" spans="5:18">
      <c r="E417" s="46" t="e">
        <f t="array" aca="1" ref="E417:G417" ca="1">MultivarXs(3, 500, A$3:C$5, A$7:A$9, B$7:B$9)</f>
        <v>#NAME?</v>
      </c>
      <c r="F417" s="46" t="e">
        <f ca="1"/>
        <v>#NAME?</v>
      </c>
      <c r="G417" s="46" t="e">
        <f ca="1"/>
        <v>#NAME?</v>
      </c>
      <c r="P417" s="46" t="e">
        <f ca="1">1430*E417+435*F417+2412*G417</f>
        <v>#NAME?</v>
      </c>
      <c r="R417" s="46" t="e">
        <f ca="1"/>
        <v>#NAME?</v>
      </c>
    </row>
    <row r="418" spans="5:18">
      <c r="E418" s="46" t="e">
        <f t="array" aca="1" ref="E418:G418" ca="1">MultivarXs(3, 500, A$3:C$5, A$7:A$9, B$7:B$9)</f>
        <v>#NAME?</v>
      </c>
      <c r="F418" s="46" t="e">
        <f ca="1"/>
        <v>#NAME?</v>
      </c>
      <c r="G418" s="46" t="e">
        <f ca="1"/>
        <v>#NAME?</v>
      </c>
      <c r="P418" s="46" t="e">
        <f ca="1">1430*E418+435*F418+2412*G418</f>
        <v>#NAME?</v>
      </c>
      <c r="R418" s="46" t="e">
        <f ca="1"/>
        <v>#NAME?</v>
      </c>
    </row>
    <row r="419" spans="5:18">
      <c r="E419" s="46" t="e">
        <f t="array" aca="1" ref="E419:G419" ca="1">MultivarXs(3, 500, A$3:C$5, A$7:A$9, B$7:B$9)</f>
        <v>#NAME?</v>
      </c>
      <c r="F419" s="46" t="e">
        <f ca="1"/>
        <v>#NAME?</v>
      </c>
      <c r="G419" s="46" t="e">
        <f ca="1"/>
        <v>#NAME?</v>
      </c>
      <c r="P419" s="46" t="e">
        <f ca="1">1430*E419+435*F419+2412*G419</f>
        <v>#NAME?</v>
      </c>
      <c r="R419" s="46" t="e">
        <f ca="1"/>
        <v>#NAME?</v>
      </c>
    </row>
    <row r="420" spans="5:18">
      <c r="E420" s="46" t="e">
        <f t="array" aca="1" ref="E420:G420" ca="1">MultivarXs(3, 500, A$3:C$5, A$7:A$9, B$7:B$9)</f>
        <v>#NAME?</v>
      </c>
      <c r="F420" s="46" t="e">
        <f ca="1"/>
        <v>#NAME?</v>
      </c>
      <c r="G420" s="46" t="e">
        <f ca="1"/>
        <v>#NAME?</v>
      </c>
      <c r="P420" s="46" t="e">
        <f ca="1">1430*E420+435*F420+2412*G420</f>
        <v>#NAME?</v>
      </c>
      <c r="R420" s="46" t="e">
        <f ca="1"/>
        <v>#NAME?</v>
      </c>
    </row>
    <row r="421" spans="5:18">
      <c r="E421" s="46" t="e">
        <f t="array" aca="1" ref="E421:G421" ca="1">MultivarXs(3, 500, A$3:C$5, A$7:A$9, B$7:B$9)</f>
        <v>#NAME?</v>
      </c>
      <c r="F421" s="46" t="e">
        <f ca="1"/>
        <v>#NAME?</v>
      </c>
      <c r="G421" s="46" t="e">
        <f ca="1"/>
        <v>#NAME?</v>
      </c>
      <c r="P421" s="46" t="e">
        <f ca="1">1430*E421+435*F421+2412*G421</f>
        <v>#NAME?</v>
      </c>
      <c r="R421" s="46" t="e">
        <f ca="1"/>
        <v>#NAME?</v>
      </c>
    </row>
    <row r="422" spans="5:18">
      <c r="E422" s="46" t="e">
        <f t="array" aca="1" ref="E422:G422" ca="1">MultivarXs(3, 500, A$3:C$5, A$7:A$9, B$7:B$9)</f>
        <v>#NAME?</v>
      </c>
      <c r="F422" s="46" t="e">
        <f ca="1"/>
        <v>#NAME?</v>
      </c>
      <c r="G422" s="46" t="e">
        <f ca="1"/>
        <v>#NAME?</v>
      </c>
      <c r="P422" s="46" t="e">
        <f ca="1">1430*E422+435*F422+2412*G422</f>
        <v>#NAME?</v>
      </c>
      <c r="R422" s="46" t="e">
        <f ca="1"/>
        <v>#NAME?</v>
      </c>
    </row>
    <row r="423" spans="5:18">
      <c r="E423" s="46" t="e">
        <f t="array" aca="1" ref="E423:G423" ca="1">MultivarXs(3, 500, A$3:C$5, A$7:A$9, B$7:B$9)</f>
        <v>#NAME?</v>
      </c>
      <c r="F423" s="46" t="e">
        <f ca="1"/>
        <v>#NAME?</v>
      </c>
      <c r="G423" s="46" t="e">
        <f ca="1"/>
        <v>#NAME?</v>
      </c>
      <c r="P423" s="46" t="e">
        <f ca="1">1430*E423+435*F423+2412*G423</f>
        <v>#NAME?</v>
      </c>
      <c r="R423" s="46" t="e">
        <f ca="1"/>
        <v>#NAME?</v>
      </c>
    </row>
    <row r="424" spans="5:18">
      <c r="E424" s="46" t="e">
        <f t="array" aca="1" ref="E424:G424" ca="1">MultivarXs(3, 500, A$3:C$5, A$7:A$9, B$7:B$9)</f>
        <v>#NAME?</v>
      </c>
      <c r="F424" s="46" t="e">
        <f ca="1"/>
        <v>#NAME?</v>
      </c>
      <c r="G424" s="46" t="e">
        <f ca="1"/>
        <v>#NAME?</v>
      </c>
      <c r="P424" s="46" t="e">
        <f ca="1">1430*E424+435*F424+2412*G424</f>
        <v>#NAME?</v>
      </c>
      <c r="R424" s="46" t="e">
        <f ca="1"/>
        <v>#NAME?</v>
      </c>
    </row>
    <row r="425" spans="5:18">
      <c r="E425" s="46" t="e">
        <f t="array" aca="1" ref="E425:G425" ca="1">MultivarXs(3, 500, A$3:C$5, A$7:A$9, B$7:B$9)</f>
        <v>#NAME?</v>
      </c>
      <c r="F425" s="46" t="e">
        <f ca="1"/>
        <v>#NAME?</v>
      </c>
      <c r="G425" s="46" t="e">
        <f ca="1"/>
        <v>#NAME?</v>
      </c>
      <c r="P425" s="46" t="e">
        <f ca="1">1430*E425+435*F425+2412*G425</f>
        <v>#NAME?</v>
      </c>
      <c r="R425" s="46" t="e">
        <f ca="1"/>
        <v>#NAME?</v>
      </c>
    </row>
    <row r="426" spans="5:18">
      <c r="E426" s="46" t="e">
        <f t="array" aca="1" ref="E426:G426" ca="1">MultivarXs(3, 500, A$3:C$5, A$7:A$9, B$7:B$9)</f>
        <v>#NAME?</v>
      </c>
      <c r="F426" s="46" t="e">
        <f ca="1"/>
        <v>#NAME?</v>
      </c>
      <c r="G426" s="46" t="e">
        <f ca="1"/>
        <v>#NAME?</v>
      </c>
      <c r="P426" s="46" t="e">
        <f ca="1">1430*E426+435*F426+2412*G426</f>
        <v>#NAME?</v>
      </c>
      <c r="R426" s="46" t="e">
        <f ca="1"/>
        <v>#NAME?</v>
      </c>
    </row>
    <row r="427" spans="5:18">
      <c r="E427" s="46" t="e">
        <f t="array" aca="1" ref="E427:G427" ca="1">MultivarXs(3, 500, A$3:C$5, A$7:A$9, B$7:B$9)</f>
        <v>#NAME?</v>
      </c>
      <c r="F427" s="46" t="e">
        <f ca="1"/>
        <v>#NAME?</v>
      </c>
      <c r="G427" s="46" t="e">
        <f ca="1"/>
        <v>#NAME?</v>
      </c>
      <c r="P427" s="46" t="e">
        <f ca="1">1430*E427+435*F427+2412*G427</f>
        <v>#NAME?</v>
      </c>
      <c r="R427" s="46" t="e">
        <f ca="1"/>
        <v>#NAME?</v>
      </c>
    </row>
    <row r="428" spans="5:18">
      <c r="E428" s="46" t="e">
        <f t="array" aca="1" ref="E428:G428" ca="1">MultivarXs(3, 500, A$3:C$5, A$7:A$9, B$7:B$9)</f>
        <v>#NAME?</v>
      </c>
      <c r="F428" s="46" t="e">
        <f ca="1"/>
        <v>#NAME?</v>
      </c>
      <c r="G428" s="46" t="e">
        <f ca="1"/>
        <v>#NAME?</v>
      </c>
      <c r="P428" s="46" t="e">
        <f ca="1">1430*E428+435*F428+2412*G428</f>
        <v>#NAME?</v>
      </c>
      <c r="R428" s="46" t="e">
        <f ca="1"/>
        <v>#NAME?</v>
      </c>
    </row>
    <row r="429" spans="5:18">
      <c r="E429" s="46" t="e">
        <f t="array" aca="1" ref="E429:G429" ca="1">MultivarXs(3, 500, A$3:C$5, A$7:A$9, B$7:B$9)</f>
        <v>#NAME?</v>
      </c>
      <c r="F429" s="46" t="e">
        <f ca="1"/>
        <v>#NAME?</v>
      </c>
      <c r="G429" s="46" t="e">
        <f ca="1"/>
        <v>#NAME?</v>
      </c>
      <c r="P429" s="46" t="e">
        <f ca="1">1430*E429+435*F429+2412*G429</f>
        <v>#NAME?</v>
      </c>
      <c r="R429" s="46" t="e">
        <f ca="1"/>
        <v>#NAME?</v>
      </c>
    </row>
    <row r="430" spans="5:18">
      <c r="E430" s="46" t="e">
        <f t="array" aca="1" ref="E430:G430" ca="1">MultivarXs(3, 500, A$3:C$5, A$7:A$9, B$7:B$9)</f>
        <v>#NAME?</v>
      </c>
      <c r="F430" s="46" t="e">
        <f ca="1"/>
        <v>#NAME?</v>
      </c>
      <c r="G430" s="46" t="e">
        <f ca="1"/>
        <v>#NAME?</v>
      </c>
      <c r="P430" s="46" t="e">
        <f ca="1">1430*E430+435*F430+2412*G430</f>
        <v>#NAME?</v>
      </c>
      <c r="R430" s="46" t="e">
        <f ca="1"/>
        <v>#NAME?</v>
      </c>
    </row>
    <row r="431" spans="5:18">
      <c r="E431" s="46" t="e">
        <f t="array" aca="1" ref="E431:G431" ca="1">MultivarXs(3, 500, A$3:C$5, A$7:A$9, B$7:B$9)</f>
        <v>#NAME?</v>
      </c>
      <c r="F431" s="46" t="e">
        <f ca="1"/>
        <v>#NAME?</v>
      </c>
      <c r="G431" s="46" t="e">
        <f ca="1"/>
        <v>#NAME?</v>
      </c>
      <c r="P431" s="46" t="e">
        <f ca="1">1430*E431+435*F431+2412*G431</f>
        <v>#NAME?</v>
      </c>
      <c r="R431" s="46" t="e">
        <f ca="1"/>
        <v>#NAME?</v>
      </c>
    </row>
    <row r="432" spans="5:18">
      <c r="E432" s="46" t="e">
        <f t="array" aca="1" ref="E432:G432" ca="1">MultivarXs(3, 500, A$3:C$5, A$7:A$9, B$7:B$9)</f>
        <v>#NAME?</v>
      </c>
      <c r="F432" s="46" t="e">
        <f ca="1"/>
        <v>#NAME?</v>
      </c>
      <c r="G432" s="46" t="e">
        <f ca="1"/>
        <v>#NAME?</v>
      </c>
      <c r="P432" s="46" t="e">
        <f ca="1">1430*E432+435*F432+2412*G432</f>
        <v>#NAME?</v>
      </c>
      <c r="R432" s="46" t="e">
        <f ca="1"/>
        <v>#NAME?</v>
      </c>
    </row>
    <row r="433" spans="5:18">
      <c r="E433" s="46" t="e">
        <f t="array" aca="1" ref="E433:G433" ca="1">MultivarXs(3, 500, A$3:C$5, A$7:A$9, B$7:B$9)</f>
        <v>#NAME?</v>
      </c>
      <c r="F433" s="46" t="e">
        <f ca="1"/>
        <v>#NAME?</v>
      </c>
      <c r="G433" s="46" t="e">
        <f ca="1"/>
        <v>#NAME?</v>
      </c>
      <c r="P433" s="46" t="e">
        <f ca="1">1430*E433+435*F433+2412*G433</f>
        <v>#NAME?</v>
      </c>
      <c r="R433" s="46" t="e">
        <f ca="1"/>
        <v>#NAME?</v>
      </c>
    </row>
    <row r="434" spans="5:18">
      <c r="E434" s="46" t="e">
        <f t="array" aca="1" ref="E434:G434" ca="1">MultivarXs(3, 500, A$3:C$5, A$7:A$9, B$7:B$9)</f>
        <v>#NAME?</v>
      </c>
      <c r="F434" s="46" t="e">
        <f ca="1"/>
        <v>#NAME?</v>
      </c>
      <c r="G434" s="46" t="e">
        <f ca="1"/>
        <v>#NAME?</v>
      </c>
      <c r="P434" s="46" t="e">
        <f ca="1">1430*E434+435*F434+2412*G434</f>
        <v>#NAME?</v>
      </c>
      <c r="R434" s="46" t="e">
        <f ca="1"/>
        <v>#NAME?</v>
      </c>
    </row>
    <row r="435" spans="5:18">
      <c r="E435" s="46" t="e">
        <f t="array" aca="1" ref="E435:G435" ca="1">MultivarXs(3, 500, A$3:C$5, A$7:A$9, B$7:B$9)</f>
        <v>#NAME?</v>
      </c>
      <c r="F435" s="46" t="e">
        <f ca="1"/>
        <v>#NAME?</v>
      </c>
      <c r="G435" s="46" t="e">
        <f ca="1"/>
        <v>#NAME?</v>
      </c>
      <c r="P435" s="46" t="e">
        <f ca="1">1430*E435+435*F435+2412*G435</f>
        <v>#NAME?</v>
      </c>
      <c r="R435" s="46" t="e">
        <f ca="1"/>
        <v>#NAME?</v>
      </c>
    </row>
    <row r="436" spans="5:18">
      <c r="E436" s="46" t="e">
        <f t="array" aca="1" ref="E436:G436" ca="1">MultivarXs(3, 500, A$3:C$5, A$7:A$9, B$7:B$9)</f>
        <v>#NAME?</v>
      </c>
      <c r="F436" s="46" t="e">
        <f ca="1"/>
        <v>#NAME?</v>
      </c>
      <c r="G436" s="46" t="e">
        <f ca="1"/>
        <v>#NAME?</v>
      </c>
      <c r="P436" s="46" t="e">
        <f ca="1">1430*E436+435*F436+2412*G436</f>
        <v>#NAME?</v>
      </c>
      <c r="R436" s="46" t="e">
        <f ca="1"/>
        <v>#NAME?</v>
      </c>
    </row>
    <row r="437" spans="5:18">
      <c r="E437" s="46" t="e">
        <f t="array" aca="1" ref="E437:G437" ca="1">MultivarXs(3, 500, A$3:C$5, A$7:A$9, B$7:B$9)</f>
        <v>#NAME?</v>
      </c>
      <c r="F437" s="46" t="e">
        <f ca="1"/>
        <v>#NAME?</v>
      </c>
      <c r="G437" s="46" t="e">
        <f ca="1"/>
        <v>#NAME?</v>
      </c>
      <c r="P437" s="46" t="e">
        <f ca="1">1430*E437+435*F437+2412*G437</f>
        <v>#NAME?</v>
      </c>
      <c r="R437" s="46" t="e">
        <f ca="1"/>
        <v>#NAME?</v>
      </c>
    </row>
    <row r="438" spans="5:18">
      <c r="E438" s="46" t="e">
        <f t="array" aca="1" ref="E438:G438" ca="1">MultivarXs(3, 500, A$3:C$5, A$7:A$9, B$7:B$9)</f>
        <v>#NAME?</v>
      </c>
      <c r="F438" s="46" t="e">
        <f ca="1"/>
        <v>#NAME?</v>
      </c>
      <c r="G438" s="46" t="e">
        <f ca="1"/>
        <v>#NAME?</v>
      </c>
      <c r="P438" s="46" t="e">
        <f ca="1">1430*E438+435*F438+2412*G438</f>
        <v>#NAME?</v>
      </c>
      <c r="R438" s="46" t="e">
        <f ca="1"/>
        <v>#NAME?</v>
      </c>
    </row>
    <row r="439" spans="5:18">
      <c r="E439" s="46" t="e">
        <f t="array" aca="1" ref="E439:G439" ca="1">MultivarXs(3, 500, A$3:C$5, A$7:A$9, B$7:B$9)</f>
        <v>#NAME?</v>
      </c>
      <c r="F439" s="46" t="e">
        <f ca="1"/>
        <v>#NAME?</v>
      </c>
      <c r="G439" s="46" t="e">
        <f ca="1"/>
        <v>#NAME?</v>
      </c>
      <c r="P439" s="46" t="e">
        <f ca="1">1430*E439+435*F439+2412*G439</f>
        <v>#NAME?</v>
      </c>
      <c r="R439" s="46" t="e">
        <f ca="1"/>
        <v>#NAME?</v>
      </c>
    </row>
    <row r="440" spans="5:18">
      <c r="E440" s="46" t="e">
        <f t="array" aca="1" ref="E440:G440" ca="1">MultivarXs(3, 500, A$3:C$5, A$7:A$9, B$7:B$9)</f>
        <v>#NAME?</v>
      </c>
      <c r="F440" s="46" t="e">
        <f ca="1"/>
        <v>#NAME?</v>
      </c>
      <c r="G440" s="46" t="e">
        <f ca="1"/>
        <v>#NAME?</v>
      </c>
      <c r="P440" s="46" t="e">
        <f ca="1">1430*E440+435*F440+2412*G440</f>
        <v>#NAME?</v>
      </c>
      <c r="R440" s="46" t="e">
        <f ca="1"/>
        <v>#NAME?</v>
      </c>
    </row>
    <row r="441" spans="5:18">
      <c r="E441" s="46" t="e">
        <f t="array" aca="1" ref="E441:G441" ca="1">MultivarXs(3, 500, A$3:C$5, A$7:A$9, B$7:B$9)</f>
        <v>#NAME?</v>
      </c>
      <c r="F441" s="46" t="e">
        <f ca="1"/>
        <v>#NAME?</v>
      </c>
      <c r="G441" s="46" t="e">
        <f ca="1"/>
        <v>#NAME?</v>
      </c>
      <c r="P441" s="46" t="e">
        <f ca="1">1430*E441+435*F441+2412*G441</f>
        <v>#NAME?</v>
      </c>
      <c r="R441" s="46" t="e">
        <f ca="1"/>
        <v>#NAME?</v>
      </c>
    </row>
    <row r="442" spans="5:18">
      <c r="E442" s="46" t="e">
        <f t="array" aca="1" ref="E442:G442" ca="1">MultivarXs(3, 500, A$3:C$5, A$7:A$9, B$7:B$9)</f>
        <v>#NAME?</v>
      </c>
      <c r="F442" s="46" t="e">
        <f ca="1"/>
        <v>#NAME?</v>
      </c>
      <c r="G442" s="46" t="e">
        <f ca="1"/>
        <v>#NAME?</v>
      </c>
      <c r="P442" s="46" t="e">
        <f ca="1">1430*E442+435*F442+2412*G442</f>
        <v>#NAME?</v>
      </c>
      <c r="R442" s="46" t="e">
        <f ca="1"/>
        <v>#NAME?</v>
      </c>
    </row>
    <row r="443" spans="5:18">
      <c r="E443" s="46" t="e">
        <f t="array" aca="1" ref="E443:G443" ca="1">MultivarXs(3, 500, A$3:C$5, A$7:A$9, B$7:B$9)</f>
        <v>#NAME?</v>
      </c>
      <c r="F443" s="46" t="e">
        <f ca="1"/>
        <v>#NAME?</v>
      </c>
      <c r="G443" s="46" t="e">
        <f ca="1"/>
        <v>#NAME?</v>
      </c>
      <c r="P443" s="46" t="e">
        <f ca="1">1430*E443+435*F443+2412*G443</f>
        <v>#NAME?</v>
      </c>
      <c r="R443" s="46" t="e">
        <f ca="1"/>
        <v>#NAME?</v>
      </c>
    </row>
    <row r="444" spans="5:18">
      <c r="E444" s="46" t="e">
        <f t="array" aca="1" ref="E444:G444" ca="1">MultivarXs(3, 500, A$3:C$5, A$7:A$9, B$7:B$9)</f>
        <v>#NAME?</v>
      </c>
      <c r="F444" s="46" t="e">
        <f ca="1"/>
        <v>#NAME?</v>
      </c>
      <c r="G444" s="46" t="e">
        <f ca="1"/>
        <v>#NAME?</v>
      </c>
      <c r="P444" s="46" t="e">
        <f ca="1">1430*E444+435*F444+2412*G444</f>
        <v>#NAME?</v>
      </c>
      <c r="R444" s="46" t="e">
        <f ca="1"/>
        <v>#NAME?</v>
      </c>
    </row>
    <row r="445" spans="5:18">
      <c r="E445" s="46" t="e">
        <f t="array" aca="1" ref="E445:G445" ca="1">MultivarXs(3, 500, A$3:C$5, A$7:A$9, B$7:B$9)</f>
        <v>#NAME?</v>
      </c>
      <c r="F445" s="46" t="e">
        <f ca="1"/>
        <v>#NAME?</v>
      </c>
      <c r="G445" s="46" t="e">
        <f ca="1"/>
        <v>#NAME?</v>
      </c>
      <c r="P445" s="46" t="e">
        <f ca="1">1430*E445+435*F445+2412*G445</f>
        <v>#NAME?</v>
      </c>
      <c r="R445" s="46" t="e">
        <f ca="1"/>
        <v>#NAME?</v>
      </c>
    </row>
    <row r="446" spans="5:18">
      <c r="E446" s="46" t="e">
        <f t="array" aca="1" ref="E446:G446" ca="1">MultivarXs(3, 500, A$3:C$5, A$7:A$9, B$7:B$9)</f>
        <v>#NAME?</v>
      </c>
      <c r="F446" s="46" t="e">
        <f ca="1"/>
        <v>#NAME?</v>
      </c>
      <c r="G446" s="46" t="e">
        <f ca="1"/>
        <v>#NAME?</v>
      </c>
      <c r="P446" s="46" t="e">
        <f ca="1">1430*E446+435*F446+2412*G446</f>
        <v>#NAME?</v>
      </c>
      <c r="R446" s="46" t="e">
        <f ca="1"/>
        <v>#NAME?</v>
      </c>
    </row>
    <row r="447" spans="5:18">
      <c r="E447" s="46" t="e">
        <f t="array" aca="1" ref="E447:G447" ca="1">MultivarXs(3, 500, A$3:C$5, A$7:A$9, B$7:B$9)</f>
        <v>#NAME?</v>
      </c>
      <c r="F447" s="46" t="e">
        <f ca="1"/>
        <v>#NAME?</v>
      </c>
      <c r="G447" s="46" t="e">
        <f ca="1"/>
        <v>#NAME?</v>
      </c>
      <c r="P447" s="46" t="e">
        <f ca="1">1430*E447+435*F447+2412*G447</f>
        <v>#NAME?</v>
      </c>
      <c r="R447" s="46" t="e">
        <f ca="1"/>
        <v>#NAME?</v>
      </c>
    </row>
    <row r="448" spans="5:18">
      <c r="E448" s="46" t="e">
        <f t="array" aca="1" ref="E448:G448" ca="1">MultivarXs(3, 500, A$3:C$5, A$7:A$9, B$7:B$9)</f>
        <v>#NAME?</v>
      </c>
      <c r="F448" s="46" t="e">
        <f ca="1"/>
        <v>#NAME?</v>
      </c>
      <c r="G448" s="46" t="e">
        <f ca="1"/>
        <v>#NAME?</v>
      </c>
      <c r="P448" s="46" t="e">
        <f ca="1">1430*E448+435*F448+2412*G448</f>
        <v>#NAME?</v>
      </c>
      <c r="R448" s="46" t="e">
        <f ca="1"/>
        <v>#NAME?</v>
      </c>
    </row>
    <row r="449" spans="5:18">
      <c r="E449" s="46" t="e">
        <f t="array" aca="1" ref="E449:G449" ca="1">MultivarXs(3, 500, A$3:C$5, A$7:A$9, B$7:B$9)</f>
        <v>#NAME?</v>
      </c>
      <c r="F449" s="46" t="e">
        <f ca="1"/>
        <v>#NAME?</v>
      </c>
      <c r="G449" s="46" t="e">
        <f ca="1"/>
        <v>#NAME?</v>
      </c>
      <c r="P449" s="46" t="e">
        <f ca="1">1430*E449+435*F449+2412*G449</f>
        <v>#NAME?</v>
      </c>
      <c r="R449" s="46" t="e">
        <f ca="1"/>
        <v>#NAME?</v>
      </c>
    </row>
    <row r="450" spans="5:18">
      <c r="E450" s="46" t="e">
        <f t="array" aca="1" ref="E450:G450" ca="1">MultivarXs(3, 500, A$3:C$5, A$7:A$9, B$7:B$9)</f>
        <v>#NAME?</v>
      </c>
      <c r="F450" s="46" t="e">
        <f ca="1"/>
        <v>#NAME?</v>
      </c>
      <c r="G450" s="46" t="e">
        <f ca="1"/>
        <v>#NAME?</v>
      </c>
      <c r="P450" s="46" t="e">
        <f ca="1">1430*E450+435*F450+2412*G450</f>
        <v>#NAME?</v>
      </c>
      <c r="R450" s="46" t="e">
        <f ca="1"/>
        <v>#NAME?</v>
      </c>
    </row>
    <row r="451" spans="5:18">
      <c r="E451" s="46" t="e">
        <f t="array" aca="1" ref="E451:G451" ca="1">MultivarXs(3, 500, A$3:C$5, A$7:A$9, B$7:B$9)</f>
        <v>#NAME?</v>
      </c>
      <c r="F451" s="46" t="e">
        <f ca="1"/>
        <v>#NAME?</v>
      </c>
      <c r="G451" s="46" t="e">
        <f ca="1"/>
        <v>#NAME?</v>
      </c>
      <c r="P451" s="46" t="e">
        <f ca="1">1430*E451+435*F451+2412*G451</f>
        <v>#NAME?</v>
      </c>
      <c r="R451" s="46" t="e">
        <f ca="1"/>
        <v>#NAME?</v>
      </c>
    </row>
    <row r="452" spans="5:18">
      <c r="E452" s="46" t="e">
        <f t="array" aca="1" ref="E452:G452" ca="1">MultivarXs(3, 500, A$3:C$5, A$7:A$9, B$7:B$9)</f>
        <v>#NAME?</v>
      </c>
      <c r="F452" s="46" t="e">
        <f ca="1"/>
        <v>#NAME?</v>
      </c>
      <c r="G452" s="46" t="e">
        <f ca="1"/>
        <v>#NAME?</v>
      </c>
      <c r="P452" s="46" t="e">
        <f ca="1">1430*E452+435*F452+2412*G452</f>
        <v>#NAME?</v>
      </c>
      <c r="R452" s="46" t="e">
        <f ca="1"/>
        <v>#NAME?</v>
      </c>
    </row>
    <row r="453" spans="5:18">
      <c r="E453" s="46" t="e">
        <f t="array" aca="1" ref="E453:G453" ca="1">MultivarXs(3, 500, A$3:C$5, A$7:A$9, B$7:B$9)</f>
        <v>#NAME?</v>
      </c>
      <c r="F453" s="46" t="e">
        <f ca="1"/>
        <v>#NAME?</v>
      </c>
      <c r="G453" s="46" t="e">
        <f ca="1"/>
        <v>#NAME?</v>
      </c>
      <c r="P453" s="46" t="e">
        <f ca="1">1430*E453+435*F453+2412*G453</f>
        <v>#NAME?</v>
      </c>
      <c r="R453" s="46" t="e">
        <f ca="1"/>
        <v>#NAME?</v>
      </c>
    </row>
    <row r="454" spans="5:18">
      <c r="E454" s="46" t="e">
        <f t="array" aca="1" ref="E454:G454" ca="1">MultivarXs(3, 500, A$3:C$5, A$7:A$9, B$7:B$9)</f>
        <v>#NAME?</v>
      </c>
      <c r="F454" s="46" t="e">
        <f ca="1"/>
        <v>#NAME?</v>
      </c>
      <c r="G454" s="46" t="e">
        <f ca="1"/>
        <v>#NAME?</v>
      </c>
      <c r="P454" s="46" t="e">
        <f ca="1">1430*E454+435*F454+2412*G454</f>
        <v>#NAME?</v>
      </c>
      <c r="R454" s="46" t="e">
        <f ca="1"/>
        <v>#NAME?</v>
      </c>
    </row>
    <row r="455" spans="5:18">
      <c r="E455" s="46" t="e">
        <f t="array" aca="1" ref="E455:G455" ca="1">MultivarXs(3, 500, A$3:C$5, A$7:A$9, B$7:B$9)</f>
        <v>#NAME?</v>
      </c>
      <c r="F455" s="46" t="e">
        <f ca="1"/>
        <v>#NAME?</v>
      </c>
      <c r="G455" s="46" t="e">
        <f ca="1"/>
        <v>#NAME?</v>
      </c>
      <c r="P455" s="46" t="e">
        <f ca="1">1430*E455+435*F455+2412*G455</f>
        <v>#NAME?</v>
      </c>
      <c r="R455" s="46" t="e">
        <f ca="1"/>
        <v>#NAME?</v>
      </c>
    </row>
    <row r="456" spans="5:18">
      <c r="E456" s="46" t="e">
        <f t="array" aca="1" ref="E456:G456" ca="1">MultivarXs(3, 500, A$3:C$5, A$7:A$9, B$7:B$9)</f>
        <v>#NAME?</v>
      </c>
      <c r="F456" s="46" t="e">
        <f ca="1"/>
        <v>#NAME?</v>
      </c>
      <c r="G456" s="46" t="e">
        <f ca="1"/>
        <v>#NAME?</v>
      </c>
      <c r="P456" s="46" t="e">
        <f ca="1">1430*E456+435*F456+2412*G456</f>
        <v>#NAME?</v>
      </c>
      <c r="R456" s="46" t="e">
        <f ca="1"/>
        <v>#NAME?</v>
      </c>
    </row>
    <row r="457" spans="5:18">
      <c r="E457" s="46" t="e">
        <f t="array" aca="1" ref="E457:G457" ca="1">MultivarXs(3, 500, A$3:C$5, A$7:A$9, B$7:B$9)</f>
        <v>#NAME?</v>
      </c>
      <c r="F457" s="46" t="e">
        <f ca="1"/>
        <v>#NAME?</v>
      </c>
      <c r="G457" s="46" t="e">
        <f ca="1"/>
        <v>#NAME?</v>
      </c>
      <c r="P457" s="46" t="e">
        <f ca="1">1430*E457+435*F457+2412*G457</f>
        <v>#NAME?</v>
      </c>
      <c r="R457" s="46" t="e">
        <f ca="1"/>
        <v>#NAME?</v>
      </c>
    </row>
    <row r="458" spans="5:18">
      <c r="E458" s="46" t="e">
        <f t="array" aca="1" ref="E458:G458" ca="1">MultivarXs(3, 500, A$3:C$5, A$7:A$9, B$7:B$9)</f>
        <v>#NAME?</v>
      </c>
      <c r="F458" s="46" t="e">
        <f ca="1"/>
        <v>#NAME?</v>
      </c>
      <c r="G458" s="46" t="e">
        <f ca="1"/>
        <v>#NAME?</v>
      </c>
      <c r="P458" s="46" t="e">
        <f ca="1">1430*E458+435*F458+2412*G458</f>
        <v>#NAME?</v>
      </c>
      <c r="R458" s="46" t="e">
        <f ca="1"/>
        <v>#NAME?</v>
      </c>
    </row>
    <row r="459" spans="5:18">
      <c r="E459" s="46" t="e">
        <f t="array" aca="1" ref="E459:G459" ca="1">MultivarXs(3, 500, A$3:C$5, A$7:A$9, B$7:B$9)</f>
        <v>#NAME?</v>
      </c>
      <c r="F459" s="46" t="e">
        <f ca="1"/>
        <v>#NAME?</v>
      </c>
      <c r="G459" s="46" t="e">
        <f ca="1"/>
        <v>#NAME?</v>
      </c>
      <c r="P459" s="46" t="e">
        <f ca="1">1430*E459+435*F459+2412*G459</f>
        <v>#NAME?</v>
      </c>
      <c r="R459" s="46" t="e">
        <f ca="1"/>
        <v>#NAME?</v>
      </c>
    </row>
    <row r="460" spans="5:18">
      <c r="E460" s="46" t="e">
        <f t="array" aca="1" ref="E460:G460" ca="1">MultivarXs(3, 500, A$3:C$5, A$7:A$9, B$7:B$9)</f>
        <v>#NAME?</v>
      </c>
      <c r="F460" s="46" t="e">
        <f ca="1"/>
        <v>#NAME?</v>
      </c>
      <c r="G460" s="46" t="e">
        <f ca="1"/>
        <v>#NAME?</v>
      </c>
      <c r="P460" s="46" t="e">
        <f ca="1">1430*E460+435*F460+2412*G460</f>
        <v>#NAME?</v>
      </c>
      <c r="R460" s="46" t="e">
        <f ca="1"/>
        <v>#NAME?</v>
      </c>
    </row>
    <row r="461" spans="5:18">
      <c r="E461" s="46" t="e">
        <f t="array" aca="1" ref="E461:G461" ca="1">MultivarXs(3, 500, A$3:C$5, A$7:A$9, B$7:B$9)</f>
        <v>#NAME?</v>
      </c>
      <c r="F461" s="46" t="e">
        <f ca="1"/>
        <v>#NAME?</v>
      </c>
      <c r="G461" s="46" t="e">
        <f ca="1"/>
        <v>#NAME?</v>
      </c>
      <c r="P461" s="46" t="e">
        <f ca="1">1430*E461+435*F461+2412*G461</f>
        <v>#NAME?</v>
      </c>
      <c r="R461" s="46" t="e">
        <f ca="1"/>
        <v>#NAME?</v>
      </c>
    </row>
    <row r="462" spans="5:18">
      <c r="E462" s="46" t="e">
        <f t="array" aca="1" ref="E462:G462" ca="1">MultivarXs(3, 500, A$3:C$5, A$7:A$9, B$7:B$9)</f>
        <v>#NAME?</v>
      </c>
      <c r="F462" s="46" t="e">
        <f ca="1"/>
        <v>#NAME?</v>
      </c>
      <c r="G462" s="46" t="e">
        <f ca="1"/>
        <v>#NAME?</v>
      </c>
      <c r="P462" s="46" t="e">
        <f ca="1">1430*E462+435*F462+2412*G462</f>
        <v>#NAME?</v>
      </c>
      <c r="R462" s="46" t="e">
        <f ca="1"/>
        <v>#NAME?</v>
      </c>
    </row>
    <row r="463" spans="5:18">
      <c r="E463" s="46" t="e">
        <f t="array" aca="1" ref="E463:G463" ca="1">MultivarXs(3, 500, A$3:C$5, A$7:A$9, B$7:B$9)</f>
        <v>#NAME?</v>
      </c>
      <c r="F463" s="46" t="e">
        <f ca="1"/>
        <v>#NAME?</v>
      </c>
      <c r="G463" s="46" t="e">
        <f ca="1"/>
        <v>#NAME?</v>
      </c>
      <c r="P463" s="46" t="e">
        <f ca="1">1430*E463+435*F463+2412*G463</f>
        <v>#NAME?</v>
      </c>
      <c r="R463" s="46" t="e">
        <f ca="1"/>
        <v>#NAME?</v>
      </c>
    </row>
    <row r="464" spans="5:18">
      <c r="E464" s="46" t="e">
        <f t="array" aca="1" ref="E464:G464" ca="1">MultivarXs(3, 500, A$3:C$5, A$7:A$9, B$7:B$9)</f>
        <v>#NAME?</v>
      </c>
      <c r="F464" s="46" t="e">
        <f ca="1"/>
        <v>#NAME?</v>
      </c>
      <c r="G464" s="46" t="e">
        <f ca="1"/>
        <v>#NAME?</v>
      </c>
      <c r="P464" s="46" t="e">
        <f ca="1">1430*E464+435*F464+2412*G464</f>
        <v>#NAME?</v>
      </c>
      <c r="R464" s="46" t="e">
        <f ca="1"/>
        <v>#NAME?</v>
      </c>
    </row>
    <row r="465" spans="5:18">
      <c r="E465" s="46" t="e">
        <f t="array" aca="1" ref="E465:G465" ca="1">MultivarXs(3, 500, A$3:C$5, A$7:A$9, B$7:B$9)</f>
        <v>#NAME?</v>
      </c>
      <c r="F465" s="46" t="e">
        <f ca="1"/>
        <v>#NAME?</v>
      </c>
      <c r="G465" s="46" t="e">
        <f ca="1"/>
        <v>#NAME?</v>
      </c>
      <c r="P465" s="46" t="e">
        <f ca="1">1430*E465+435*F465+2412*G465</f>
        <v>#NAME?</v>
      </c>
      <c r="R465" s="46" t="e">
        <f ca="1"/>
        <v>#NAME?</v>
      </c>
    </row>
    <row r="466" spans="5:18">
      <c r="E466" s="46" t="e">
        <f t="array" aca="1" ref="E466:G466" ca="1">MultivarXs(3, 500, A$3:C$5, A$7:A$9, B$7:B$9)</f>
        <v>#NAME?</v>
      </c>
      <c r="F466" s="46" t="e">
        <f ca="1"/>
        <v>#NAME?</v>
      </c>
      <c r="G466" s="46" t="e">
        <f ca="1"/>
        <v>#NAME?</v>
      </c>
      <c r="P466" s="46" t="e">
        <f ca="1">1430*E466+435*F466+2412*G466</f>
        <v>#NAME?</v>
      </c>
      <c r="R466" s="46" t="e">
        <f ca="1"/>
        <v>#NAME?</v>
      </c>
    </row>
    <row r="467" spans="5:18">
      <c r="E467" s="46" t="e">
        <f t="array" aca="1" ref="E467:G467" ca="1">MultivarXs(3, 500, A$3:C$5, A$7:A$9, B$7:B$9)</f>
        <v>#NAME?</v>
      </c>
      <c r="F467" s="46" t="e">
        <f ca="1"/>
        <v>#NAME?</v>
      </c>
      <c r="G467" s="46" t="e">
        <f ca="1"/>
        <v>#NAME?</v>
      </c>
      <c r="P467" s="46" t="e">
        <f ca="1">1430*E467+435*F467+2412*G467</f>
        <v>#NAME?</v>
      </c>
      <c r="R467" s="46" t="e">
        <f ca="1"/>
        <v>#NAME?</v>
      </c>
    </row>
    <row r="468" spans="5:18">
      <c r="E468" s="46" t="e">
        <f t="array" aca="1" ref="E468:G468" ca="1">MultivarXs(3, 500, A$3:C$5, A$7:A$9, B$7:B$9)</f>
        <v>#NAME?</v>
      </c>
      <c r="F468" s="46" t="e">
        <f ca="1"/>
        <v>#NAME?</v>
      </c>
      <c r="G468" s="46" t="e">
        <f ca="1"/>
        <v>#NAME?</v>
      </c>
      <c r="P468" s="46" t="e">
        <f ca="1">1430*E468+435*F468+2412*G468</f>
        <v>#NAME?</v>
      </c>
      <c r="R468" s="46" t="e">
        <f ca="1"/>
        <v>#NAME?</v>
      </c>
    </row>
    <row r="469" spans="5:18">
      <c r="E469" s="46" t="e">
        <f t="array" aca="1" ref="E469:G469" ca="1">MultivarXs(3, 500, A$3:C$5, A$7:A$9, B$7:B$9)</f>
        <v>#NAME?</v>
      </c>
      <c r="F469" s="46" t="e">
        <f ca="1"/>
        <v>#NAME?</v>
      </c>
      <c r="G469" s="46" t="e">
        <f ca="1"/>
        <v>#NAME?</v>
      </c>
      <c r="P469" s="46" t="e">
        <f ca="1">1430*E469+435*F469+2412*G469</f>
        <v>#NAME?</v>
      </c>
      <c r="R469" s="46" t="e">
        <f ca="1"/>
        <v>#NAME?</v>
      </c>
    </row>
    <row r="470" spans="5:18">
      <c r="E470" s="46" t="e">
        <f t="array" aca="1" ref="E470:G470" ca="1">MultivarXs(3, 500, A$3:C$5, A$7:A$9, B$7:B$9)</f>
        <v>#NAME?</v>
      </c>
      <c r="F470" s="46" t="e">
        <f ca="1"/>
        <v>#NAME?</v>
      </c>
      <c r="G470" s="46" t="e">
        <f ca="1"/>
        <v>#NAME?</v>
      </c>
      <c r="P470" s="46" t="e">
        <f ca="1">1430*E470+435*F470+2412*G470</f>
        <v>#NAME?</v>
      </c>
      <c r="R470" s="46" t="e">
        <f ca="1"/>
        <v>#NAME?</v>
      </c>
    </row>
    <row r="471" spans="5:18">
      <c r="E471" s="46" t="e">
        <f t="array" aca="1" ref="E471:G471" ca="1">MultivarXs(3, 500, A$3:C$5, A$7:A$9, B$7:B$9)</f>
        <v>#NAME?</v>
      </c>
      <c r="F471" s="46" t="e">
        <f ca="1"/>
        <v>#NAME?</v>
      </c>
      <c r="G471" s="46" t="e">
        <f ca="1"/>
        <v>#NAME?</v>
      </c>
      <c r="P471" s="46" t="e">
        <f ca="1">1430*E471+435*F471+2412*G471</f>
        <v>#NAME?</v>
      </c>
      <c r="R471" s="46" t="e">
        <f ca="1"/>
        <v>#NAME?</v>
      </c>
    </row>
    <row r="472" spans="5:18">
      <c r="E472" s="46" t="e">
        <f t="array" aca="1" ref="E472:G472" ca="1">MultivarXs(3, 500, A$3:C$5, A$7:A$9, B$7:B$9)</f>
        <v>#NAME?</v>
      </c>
      <c r="F472" s="46" t="e">
        <f ca="1"/>
        <v>#NAME?</v>
      </c>
      <c r="G472" s="46" t="e">
        <f ca="1"/>
        <v>#NAME?</v>
      </c>
      <c r="P472" s="46" t="e">
        <f ca="1">1430*E472+435*F472+2412*G472</f>
        <v>#NAME?</v>
      </c>
      <c r="R472" s="46" t="e">
        <f ca="1"/>
        <v>#NAME?</v>
      </c>
    </row>
    <row r="473" spans="5:18">
      <c r="E473" s="46" t="e">
        <f t="array" aca="1" ref="E473:G473" ca="1">MultivarXs(3, 500, A$3:C$5, A$7:A$9, B$7:B$9)</f>
        <v>#NAME?</v>
      </c>
      <c r="F473" s="46" t="e">
        <f ca="1"/>
        <v>#NAME?</v>
      </c>
      <c r="G473" s="46" t="e">
        <f ca="1"/>
        <v>#NAME?</v>
      </c>
      <c r="P473" s="46" t="e">
        <f ca="1">1430*E473+435*F473+2412*G473</f>
        <v>#NAME?</v>
      </c>
      <c r="R473" s="46" t="e">
        <f ca="1"/>
        <v>#NAME?</v>
      </c>
    </row>
    <row r="474" spans="5:18">
      <c r="E474" s="46" t="e">
        <f t="array" aca="1" ref="E474:G474" ca="1">MultivarXs(3, 500, A$3:C$5, A$7:A$9, B$7:B$9)</f>
        <v>#NAME?</v>
      </c>
      <c r="F474" s="46" t="e">
        <f ca="1"/>
        <v>#NAME?</v>
      </c>
      <c r="G474" s="46" t="e">
        <f ca="1"/>
        <v>#NAME?</v>
      </c>
      <c r="P474" s="46" t="e">
        <f ca="1">1430*E474+435*F474+2412*G474</f>
        <v>#NAME?</v>
      </c>
      <c r="R474" s="46" t="e">
        <f ca="1"/>
        <v>#NAME?</v>
      </c>
    </row>
    <row r="475" spans="5:18">
      <c r="E475" s="46" t="e">
        <f t="array" aca="1" ref="E475:G475" ca="1">MultivarXs(3, 500, A$3:C$5, A$7:A$9, B$7:B$9)</f>
        <v>#NAME?</v>
      </c>
      <c r="F475" s="46" t="e">
        <f ca="1"/>
        <v>#NAME?</v>
      </c>
      <c r="G475" s="46" t="e">
        <f ca="1"/>
        <v>#NAME?</v>
      </c>
      <c r="P475" s="46" t="e">
        <f ca="1">1430*E475+435*F475+2412*G475</f>
        <v>#NAME?</v>
      </c>
      <c r="R475" s="46" t="e">
        <f ca="1"/>
        <v>#NAME?</v>
      </c>
    </row>
    <row r="476" spans="5:18">
      <c r="E476" s="46" t="e">
        <f t="array" aca="1" ref="E476:G476" ca="1">MultivarXs(3, 500, A$3:C$5, A$7:A$9, B$7:B$9)</f>
        <v>#NAME?</v>
      </c>
      <c r="F476" s="46" t="e">
        <f ca="1"/>
        <v>#NAME?</v>
      </c>
      <c r="G476" s="46" t="e">
        <f ca="1"/>
        <v>#NAME?</v>
      </c>
      <c r="P476" s="46" t="e">
        <f ca="1">1430*E476+435*F476+2412*G476</f>
        <v>#NAME?</v>
      </c>
      <c r="R476" s="46" t="e">
        <f ca="1"/>
        <v>#NAME?</v>
      </c>
    </row>
    <row r="477" spans="5:18">
      <c r="E477" s="46" t="e">
        <f t="array" aca="1" ref="E477:G477" ca="1">MultivarXs(3, 500, A$3:C$5, A$7:A$9, B$7:B$9)</f>
        <v>#NAME?</v>
      </c>
      <c r="F477" s="46" t="e">
        <f ca="1"/>
        <v>#NAME?</v>
      </c>
      <c r="G477" s="46" t="e">
        <f ca="1"/>
        <v>#NAME?</v>
      </c>
      <c r="P477" s="46" t="e">
        <f ca="1">1430*E477+435*F477+2412*G477</f>
        <v>#NAME?</v>
      </c>
      <c r="R477" s="46" t="e">
        <f ca="1"/>
        <v>#NAME?</v>
      </c>
    </row>
    <row r="478" spans="5:18">
      <c r="E478" s="46" t="e">
        <f t="array" aca="1" ref="E478:G478" ca="1">MultivarXs(3, 500, A$3:C$5, A$7:A$9, B$7:B$9)</f>
        <v>#NAME?</v>
      </c>
      <c r="F478" s="46" t="e">
        <f ca="1"/>
        <v>#NAME?</v>
      </c>
      <c r="G478" s="46" t="e">
        <f ca="1"/>
        <v>#NAME?</v>
      </c>
      <c r="P478" s="46" t="e">
        <f ca="1">1430*E478+435*F478+2412*G478</f>
        <v>#NAME?</v>
      </c>
      <c r="R478" s="46" t="e">
        <f ca="1"/>
        <v>#NAME?</v>
      </c>
    </row>
    <row r="479" spans="5:18">
      <c r="E479" s="46" t="e">
        <f t="array" aca="1" ref="E479:G479" ca="1">MultivarXs(3, 500, A$3:C$5, A$7:A$9, B$7:B$9)</f>
        <v>#NAME?</v>
      </c>
      <c r="F479" s="46" t="e">
        <f ca="1"/>
        <v>#NAME?</v>
      </c>
      <c r="G479" s="46" t="e">
        <f ca="1"/>
        <v>#NAME?</v>
      </c>
      <c r="P479" s="46" t="e">
        <f ca="1">1430*E479+435*F479+2412*G479</f>
        <v>#NAME?</v>
      </c>
      <c r="R479" s="46" t="e">
        <f ca="1"/>
        <v>#NAME?</v>
      </c>
    </row>
    <row r="480" spans="5:18">
      <c r="E480" s="46" t="e">
        <f t="array" aca="1" ref="E480:G480" ca="1">MultivarXs(3, 500, A$3:C$5, A$7:A$9, B$7:B$9)</f>
        <v>#NAME?</v>
      </c>
      <c r="F480" s="46" t="e">
        <f ca="1"/>
        <v>#NAME?</v>
      </c>
      <c r="G480" s="46" t="e">
        <f ca="1"/>
        <v>#NAME?</v>
      </c>
      <c r="P480" s="46" t="e">
        <f ca="1">1430*E480+435*F480+2412*G480</f>
        <v>#NAME?</v>
      </c>
      <c r="R480" s="46" t="e">
        <f ca="1"/>
        <v>#NAME?</v>
      </c>
    </row>
    <row r="481" spans="5:18">
      <c r="E481" s="46" t="e">
        <f t="array" aca="1" ref="E481:G481" ca="1">MultivarXs(3, 500, A$3:C$5, A$7:A$9, B$7:B$9)</f>
        <v>#NAME?</v>
      </c>
      <c r="F481" s="46" t="e">
        <f ca="1"/>
        <v>#NAME?</v>
      </c>
      <c r="G481" s="46" t="e">
        <f ca="1"/>
        <v>#NAME?</v>
      </c>
      <c r="P481" s="46" t="e">
        <f ca="1">1430*E481+435*F481+2412*G481</f>
        <v>#NAME?</v>
      </c>
      <c r="R481" s="46" t="e">
        <f ca="1"/>
        <v>#NAME?</v>
      </c>
    </row>
    <row r="482" spans="5:18">
      <c r="E482" s="46" t="e">
        <f t="array" aca="1" ref="E482:G482" ca="1">MultivarXs(3, 500, A$3:C$5, A$7:A$9, B$7:B$9)</f>
        <v>#NAME?</v>
      </c>
      <c r="F482" s="46" t="e">
        <f ca="1"/>
        <v>#NAME?</v>
      </c>
      <c r="G482" s="46" t="e">
        <f ca="1"/>
        <v>#NAME?</v>
      </c>
      <c r="P482" s="46" t="e">
        <f ca="1">1430*E482+435*F482+2412*G482</f>
        <v>#NAME?</v>
      </c>
      <c r="R482" s="46" t="e">
        <f ca="1"/>
        <v>#NAME?</v>
      </c>
    </row>
    <row r="483" spans="5:18">
      <c r="E483" s="46" t="e">
        <f t="array" aca="1" ref="E483:G483" ca="1">MultivarXs(3, 500, A$3:C$5, A$7:A$9, B$7:B$9)</f>
        <v>#NAME?</v>
      </c>
      <c r="F483" s="46" t="e">
        <f ca="1"/>
        <v>#NAME?</v>
      </c>
      <c r="G483" s="46" t="e">
        <f ca="1"/>
        <v>#NAME?</v>
      </c>
      <c r="P483" s="46" t="e">
        <f ca="1">1430*E483+435*F483+2412*G483</f>
        <v>#NAME?</v>
      </c>
      <c r="R483" s="46" t="e">
        <f ca="1"/>
        <v>#NAME?</v>
      </c>
    </row>
    <row r="484" spans="5:18">
      <c r="E484" s="46" t="e">
        <f t="array" aca="1" ref="E484:G484" ca="1">MultivarXs(3, 500, A$3:C$5, A$7:A$9, B$7:B$9)</f>
        <v>#NAME?</v>
      </c>
      <c r="F484" s="46" t="e">
        <f ca="1"/>
        <v>#NAME?</v>
      </c>
      <c r="G484" s="46" t="e">
        <f ca="1"/>
        <v>#NAME?</v>
      </c>
      <c r="P484" s="46" t="e">
        <f ca="1">1430*E484+435*F484+2412*G484</f>
        <v>#NAME?</v>
      </c>
      <c r="R484" s="46" t="e">
        <f ca="1"/>
        <v>#NAME?</v>
      </c>
    </row>
    <row r="485" spans="5:18">
      <c r="E485" s="46" t="e">
        <f t="array" aca="1" ref="E485:G485" ca="1">MultivarXs(3, 500, A$3:C$5, A$7:A$9, B$7:B$9)</f>
        <v>#NAME?</v>
      </c>
      <c r="F485" s="46" t="e">
        <f ca="1"/>
        <v>#NAME?</v>
      </c>
      <c r="G485" s="46" t="e">
        <f ca="1"/>
        <v>#NAME?</v>
      </c>
      <c r="P485" s="46" t="e">
        <f ca="1">1430*E485+435*F485+2412*G485</f>
        <v>#NAME?</v>
      </c>
      <c r="R485" s="46" t="e">
        <f ca="1"/>
        <v>#NAME?</v>
      </c>
    </row>
    <row r="486" spans="5:18">
      <c r="E486" s="46" t="e">
        <f t="array" aca="1" ref="E486:G486" ca="1">MultivarXs(3, 500, A$3:C$5, A$7:A$9, B$7:B$9)</f>
        <v>#NAME?</v>
      </c>
      <c r="F486" s="46" t="e">
        <f ca="1"/>
        <v>#NAME?</v>
      </c>
      <c r="G486" s="46" t="e">
        <f ca="1"/>
        <v>#NAME?</v>
      </c>
      <c r="P486" s="46" t="e">
        <f ca="1">1430*E486+435*F486+2412*G486</f>
        <v>#NAME?</v>
      </c>
      <c r="R486" s="46" t="e">
        <f ca="1"/>
        <v>#NAME?</v>
      </c>
    </row>
    <row r="487" spans="5:18">
      <c r="E487" s="46" t="e">
        <f t="array" aca="1" ref="E487:G487" ca="1">MultivarXs(3, 500, A$3:C$5, A$7:A$9, B$7:B$9)</f>
        <v>#NAME?</v>
      </c>
      <c r="F487" s="46" t="e">
        <f ca="1"/>
        <v>#NAME?</v>
      </c>
      <c r="G487" s="46" t="e">
        <f ca="1"/>
        <v>#NAME?</v>
      </c>
      <c r="P487" s="46" t="e">
        <f ca="1">1430*E487+435*F487+2412*G487</f>
        <v>#NAME?</v>
      </c>
      <c r="R487" s="46" t="e">
        <f ca="1"/>
        <v>#NAME?</v>
      </c>
    </row>
    <row r="488" spans="5:18">
      <c r="E488" s="46" t="e">
        <f t="array" aca="1" ref="E488:G488" ca="1">MultivarXs(3, 500, A$3:C$5, A$7:A$9, B$7:B$9)</f>
        <v>#NAME?</v>
      </c>
      <c r="F488" s="46" t="e">
        <f ca="1"/>
        <v>#NAME?</v>
      </c>
      <c r="G488" s="46" t="e">
        <f ca="1"/>
        <v>#NAME?</v>
      </c>
      <c r="P488" s="46" t="e">
        <f ca="1">1430*E488+435*F488+2412*G488</f>
        <v>#NAME?</v>
      </c>
      <c r="R488" s="46" t="e">
        <f ca="1"/>
        <v>#NAME?</v>
      </c>
    </row>
    <row r="489" spans="5:18">
      <c r="E489" s="46" t="e">
        <f t="array" aca="1" ref="E489:G489" ca="1">MultivarXs(3, 500, A$3:C$5, A$7:A$9, B$7:B$9)</f>
        <v>#NAME?</v>
      </c>
      <c r="F489" s="46" t="e">
        <f ca="1"/>
        <v>#NAME?</v>
      </c>
      <c r="G489" s="46" t="e">
        <f ca="1"/>
        <v>#NAME?</v>
      </c>
      <c r="P489" s="46" t="e">
        <f ca="1">1430*E489+435*F489+2412*G489</f>
        <v>#NAME?</v>
      </c>
      <c r="R489" s="46" t="e">
        <f ca="1"/>
        <v>#NAME?</v>
      </c>
    </row>
    <row r="490" spans="5:18">
      <c r="E490" s="46" t="e">
        <f t="array" aca="1" ref="E490:G490" ca="1">MultivarXs(3, 500, A$3:C$5, A$7:A$9, B$7:B$9)</f>
        <v>#NAME?</v>
      </c>
      <c r="F490" s="46" t="e">
        <f ca="1"/>
        <v>#NAME?</v>
      </c>
      <c r="G490" s="46" t="e">
        <f ca="1"/>
        <v>#NAME?</v>
      </c>
      <c r="P490" s="46" t="e">
        <f ca="1">1430*E490+435*F490+2412*G490</f>
        <v>#NAME?</v>
      </c>
      <c r="R490" s="46" t="e">
        <f ca="1"/>
        <v>#NAME?</v>
      </c>
    </row>
    <row r="491" spans="5:18">
      <c r="E491" s="46" t="e">
        <f t="array" aca="1" ref="E491:G491" ca="1">MultivarXs(3, 500, A$3:C$5, A$7:A$9, B$7:B$9)</f>
        <v>#NAME?</v>
      </c>
      <c r="F491" s="46" t="e">
        <f ca="1"/>
        <v>#NAME?</v>
      </c>
      <c r="G491" s="46" t="e">
        <f ca="1"/>
        <v>#NAME?</v>
      </c>
      <c r="P491" s="46" t="e">
        <f ca="1">1430*E491+435*F491+2412*G491</f>
        <v>#NAME?</v>
      </c>
      <c r="R491" s="46" t="e">
        <f ca="1"/>
        <v>#NAME?</v>
      </c>
    </row>
    <row r="492" spans="5:18">
      <c r="E492" s="46" t="e">
        <f t="array" aca="1" ref="E492:G492" ca="1">MultivarXs(3, 500, A$3:C$5, A$7:A$9, B$7:B$9)</f>
        <v>#NAME?</v>
      </c>
      <c r="F492" s="46" t="e">
        <f ca="1"/>
        <v>#NAME?</v>
      </c>
      <c r="G492" s="46" t="e">
        <f ca="1"/>
        <v>#NAME?</v>
      </c>
      <c r="P492" s="46" t="e">
        <f ca="1">1430*E492+435*F492+2412*G492</f>
        <v>#NAME?</v>
      </c>
      <c r="R492" s="46" t="e">
        <f ca="1"/>
        <v>#NAME?</v>
      </c>
    </row>
    <row r="493" spans="5:18">
      <c r="E493" s="46" t="e">
        <f t="array" aca="1" ref="E493:G493" ca="1">MultivarXs(3, 500, A$3:C$5, A$7:A$9, B$7:B$9)</f>
        <v>#NAME?</v>
      </c>
      <c r="F493" s="46" t="e">
        <f ca="1"/>
        <v>#NAME?</v>
      </c>
      <c r="G493" s="46" t="e">
        <f ca="1"/>
        <v>#NAME?</v>
      </c>
      <c r="P493" s="46" t="e">
        <f ca="1">1430*E493+435*F493+2412*G493</f>
        <v>#NAME?</v>
      </c>
      <c r="R493" s="46" t="e">
        <f ca="1"/>
        <v>#NAME?</v>
      </c>
    </row>
    <row r="494" spans="5:18">
      <c r="E494" s="46" t="e">
        <f t="array" aca="1" ref="E494:G494" ca="1">MultivarXs(3, 500, A$3:C$5, A$7:A$9, B$7:B$9)</f>
        <v>#NAME?</v>
      </c>
      <c r="F494" s="46" t="e">
        <f ca="1"/>
        <v>#NAME?</v>
      </c>
      <c r="G494" s="46" t="e">
        <f ca="1"/>
        <v>#NAME?</v>
      </c>
      <c r="P494" s="46" t="e">
        <f ca="1">1430*E494+435*F494+2412*G494</f>
        <v>#NAME?</v>
      </c>
      <c r="R494" s="46" t="e">
        <f ca="1"/>
        <v>#NAME?</v>
      </c>
    </row>
    <row r="495" spans="5:18">
      <c r="E495" s="46" t="e">
        <f t="array" aca="1" ref="E495:G495" ca="1">MultivarXs(3, 500, A$3:C$5, A$7:A$9, B$7:B$9)</f>
        <v>#NAME?</v>
      </c>
      <c r="F495" s="46" t="e">
        <f ca="1"/>
        <v>#NAME?</v>
      </c>
      <c r="G495" s="46" t="e">
        <f ca="1"/>
        <v>#NAME?</v>
      </c>
      <c r="P495" s="46" t="e">
        <f ca="1">1430*E495+435*F495+2412*G495</f>
        <v>#NAME?</v>
      </c>
      <c r="R495" s="46" t="e">
        <f ca="1"/>
        <v>#NAME?</v>
      </c>
    </row>
    <row r="496" spans="5:18">
      <c r="E496" s="46" t="e">
        <f t="array" aca="1" ref="E496:G496" ca="1">MultivarXs(3, 500, A$3:C$5, A$7:A$9, B$7:B$9)</f>
        <v>#NAME?</v>
      </c>
      <c r="F496" s="46" t="e">
        <f ca="1"/>
        <v>#NAME?</v>
      </c>
      <c r="G496" s="46" t="e">
        <f ca="1"/>
        <v>#NAME?</v>
      </c>
      <c r="P496" s="46" t="e">
        <f ca="1">1430*E496+435*F496+2412*G496</f>
        <v>#NAME?</v>
      </c>
      <c r="R496" s="46" t="e">
        <f ca="1"/>
        <v>#NAME?</v>
      </c>
    </row>
    <row r="497" spans="5:18">
      <c r="E497" s="46" t="e">
        <f t="array" aca="1" ref="E497:G497" ca="1">MultivarXs(3, 500, A$3:C$5, A$7:A$9, B$7:B$9)</f>
        <v>#NAME?</v>
      </c>
      <c r="F497" s="46" t="e">
        <f ca="1"/>
        <v>#NAME?</v>
      </c>
      <c r="G497" s="46" t="e">
        <f ca="1"/>
        <v>#NAME?</v>
      </c>
      <c r="P497" s="46" t="e">
        <f ca="1">1430*E497+435*F497+2412*G497</f>
        <v>#NAME?</v>
      </c>
      <c r="R497" s="46" t="e">
        <f ca="1"/>
        <v>#NAME?</v>
      </c>
    </row>
    <row r="498" spans="5:18">
      <c r="E498" s="46" t="e">
        <f t="array" aca="1" ref="E498:G498" ca="1">MultivarXs(3, 500, A$3:C$5, A$7:A$9, B$7:B$9)</f>
        <v>#NAME?</v>
      </c>
      <c r="F498" s="46" t="e">
        <f ca="1"/>
        <v>#NAME?</v>
      </c>
      <c r="G498" s="46" t="e">
        <f ca="1"/>
        <v>#NAME?</v>
      </c>
      <c r="P498" s="46" t="e">
        <f ca="1">1430*E498+435*F498+2412*G498</f>
        <v>#NAME?</v>
      </c>
      <c r="R498" s="46" t="e">
        <f ca="1"/>
        <v>#NAME?</v>
      </c>
    </row>
    <row r="499" spans="5:18">
      <c r="E499" s="46" t="e">
        <f t="array" aca="1" ref="E499:G499" ca="1">MultivarXs(3, 500, A$3:C$5, A$7:A$9, B$7:B$9)</f>
        <v>#NAME?</v>
      </c>
      <c r="F499" s="46" t="e">
        <f ca="1"/>
        <v>#NAME?</v>
      </c>
      <c r="G499" s="46" t="e">
        <f ca="1"/>
        <v>#NAME?</v>
      </c>
      <c r="P499" s="46" t="e">
        <f ca="1">1430*E499+435*F499+2412*G499</f>
        <v>#NAME?</v>
      </c>
      <c r="R499" s="46" t="e">
        <f ca="1"/>
        <v>#NAME?</v>
      </c>
    </row>
    <row r="500" spans="5:18">
      <c r="E500" s="46" t="e">
        <f t="array" aca="1" ref="E500:G500" ca="1">MultivarXs(3, 500, A$3:C$5, A$7:A$9, B$7:B$9)</f>
        <v>#NAME?</v>
      </c>
      <c r="F500" s="46" t="e">
        <f ca="1"/>
        <v>#NAME?</v>
      </c>
      <c r="G500" s="46" t="e">
        <f ca="1"/>
        <v>#NAME?</v>
      </c>
      <c r="P500" s="46" t="e">
        <f ca="1">1430*E500+435*F500+2412*G500</f>
        <v>#NAME?</v>
      </c>
      <c r="R500" s="46" t="e">
        <f ca="1"/>
        <v>#NAME?</v>
      </c>
    </row>
    <row r="501" spans="5:18">
      <c r="E501" s="46" t="e">
        <f t="array" aca="1" ref="E501:G501" ca="1">MultivarXs(3, 500, A$3:C$5, A$7:A$9, B$7:B$9)</f>
        <v>#NAME?</v>
      </c>
      <c r="F501" s="46" t="e">
        <f ca="1"/>
        <v>#NAME?</v>
      </c>
      <c r="G501" s="46" t="e">
        <f ca="1"/>
        <v>#NAME?</v>
      </c>
      <c r="P501" s="46" t="e">
        <f ca="1">1430*E501+435*F501+2412*G501</f>
        <v>#NAME?</v>
      </c>
      <c r="R501" s="46" t="e">
        <f ca="1"/>
        <v>#NAME?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2:C2"/>
    <mergeCell ref="I16:K16"/>
    <mergeCell ref="K4:M4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Question_1</vt:lpstr>
      <vt:lpstr>Question_2</vt:lpstr>
      <vt:lpstr>Question_3</vt:lpstr>
      <vt:lpstr>Question_4</vt:lpstr>
      <vt:lpstr>Question_5</vt:lpstr>
      <vt:lpstr>GBM_Apple</vt:lpstr>
      <vt:lpstr>GBM_Tesla</vt:lpstr>
      <vt:lpstr>GBM_Multi</vt:lpstr>
      <vt:lpstr>Chart_Apple</vt:lpstr>
      <vt:lpstr>Chart_Tesla</vt:lpstr>
      <vt:lpstr>GBM_Tesla!dt</vt:lpstr>
      <vt:lpstr>dt</vt:lpstr>
      <vt:lpstr>GBM_Tesla!Mu</vt:lpstr>
      <vt:lpstr>Mu</vt:lpstr>
      <vt:lpstr>GBM_Apple!Print_Area</vt:lpstr>
      <vt:lpstr>GBM_Tesla!Print_Area</vt:lpstr>
      <vt:lpstr>GBM_Tesla!Sigma</vt:lpstr>
      <vt:lpstr>Sigma</vt:lpstr>
      <vt:lpstr>GBM_Tesla!Szero</vt:lpstr>
      <vt:lpstr>Szero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Jahaan</dc:creator>
  <cp:lastModifiedBy>Jahaan</cp:lastModifiedBy>
  <dcterms:created xsi:type="dcterms:W3CDTF">2015-06-05T18:17:20Z</dcterms:created>
  <dcterms:modified xsi:type="dcterms:W3CDTF">2022-04-09T01:41:59Z</dcterms:modified>
</cp:coreProperties>
</file>