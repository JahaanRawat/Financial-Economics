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mc:AlternateContent xmlns:mc="http://schemas.openxmlformats.org/markup-compatibility/2006">
    <mc:Choice Requires="x15">
      <x15ac:absPath xmlns:x15ac="http://schemas.microsoft.com/office/spreadsheetml/2010/11/ac" url="C:\Users\Jahaan\Desktop\Jahaan Rawat Assignment 1\"/>
    </mc:Choice>
  </mc:AlternateContent>
  <xr:revisionPtr revIDLastSave="0" documentId="13_ncr:1_{4FB668B6-B752-4CA1-9806-3C9C1ECB445B}" xr6:coauthVersionLast="47" xr6:coauthVersionMax="47" xr10:uidLastSave="{00000000-0000-0000-0000-000000000000}"/>
  <bookViews>
    <workbookView xWindow="-120" yWindow="480" windowWidth="29040" windowHeight="15840" activeTab="2" xr2:uid="{00000000-000D-0000-FFFF-FFFF00000000}"/>
  </bookViews>
  <sheets>
    <sheet name="Q1_1" sheetId="1" r:id="rId1"/>
    <sheet name="Q1_2" sheetId="2" r:id="rId2"/>
    <sheet name="Q1_3" sheetId="3" r:id="rId3"/>
    <sheet name="Q1_4" sheetId="5" r:id="rId4"/>
    <sheet name="Q2" sheetId="6" r:id="rId5"/>
    <sheet name="Q3" sheetId="7" r:id="rId6"/>
    <sheet name="Q4"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9" i="7" l="1"/>
  <c r="K2" i="7"/>
  <c r="K3" i="7"/>
  <c r="L3" i="7" s="1"/>
  <c r="K4" i="7"/>
  <c r="L4" i="7" s="1"/>
  <c r="K5" i="7"/>
  <c r="L5" i="7" s="1"/>
  <c r="K6" i="7"/>
  <c r="K7" i="7"/>
  <c r="K8" i="7"/>
  <c r="L7" i="7"/>
  <c r="L9" i="7"/>
  <c r="B1" i="8"/>
  <c r="E19" i="8"/>
  <c r="H17" i="8"/>
  <c r="H16" i="8"/>
  <c r="H15" i="8"/>
  <c r="H14" i="8"/>
  <c r="H13" i="8"/>
  <c r="H12" i="8"/>
  <c r="H11" i="8"/>
  <c r="H10" i="8"/>
  <c r="H9" i="8"/>
  <c r="H8" i="8"/>
  <c r="H7" i="8"/>
  <c r="H4" i="8"/>
  <c r="H5" i="8"/>
  <c r="H6" i="8"/>
  <c r="H3" i="8"/>
  <c r="L6" i="7"/>
  <c r="I2" i="7"/>
  <c r="F2" i="7"/>
  <c r="L8" i="7"/>
  <c r="J15" i="7"/>
  <c r="J16" i="7" s="1"/>
  <c r="J17" i="7" s="1"/>
  <c r="J18" i="7" s="1"/>
  <c r="J19" i="7" s="1"/>
  <c r="J20" i="7" s="1"/>
  <c r="J21" i="7" s="1"/>
  <c r="J22" i="7" s="1"/>
  <c r="J23" i="7" s="1"/>
  <c r="J24" i="7" s="1"/>
  <c r="J25" i="7" s="1"/>
  <c r="J26" i="7" s="1"/>
  <c r="J27" i="7" s="1"/>
  <c r="J28" i="7" s="1"/>
  <c r="J29" i="7" s="1"/>
  <c r="J30" i="7" s="1"/>
  <c r="J31" i="7" s="1"/>
  <c r="J32" i="7" s="1"/>
  <c r="J33" i="7" s="1"/>
  <c r="J34" i="7" s="1"/>
  <c r="K34" i="7" s="1"/>
  <c r="F15" i="7"/>
  <c r="R7" i="5"/>
  <c r="R8" i="5"/>
  <c r="R9" i="5"/>
  <c r="R10" i="5"/>
  <c r="R11" i="5"/>
  <c r="R12" i="5"/>
  <c r="R6" i="5"/>
  <c r="Q7" i="5"/>
  <c r="Q8" i="5"/>
  <c r="Q9" i="5"/>
  <c r="Q10" i="5"/>
  <c r="Q11" i="5"/>
  <c r="Q12" i="5"/>
  <c r="Q6" i="5"/>
  <c r="I46" i="6"/>
  <c r="J46" i="6"/>
  <c r="K46" i="6"/>
  <c r="L46" i="6"/>
  <c r="M46" i="6"/>
  <c r="H46" i="6"/>
  <c r="B47"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2" i="6"/>
  <c r="B44" i="6"/>
  <c r="E41" i="6"/>
  <c r="E38" i="6"/>
  <c r="E35" i="6"/>
  <c r="E32" i="6"/>
  <c r="E29" i="6"/>
  <c r="E26" i="6"/>
  <c r="E23" i="6"/>
  <c r="E20" i="6"/>
  <c r="E17" i="6"/>
  <c r="E14" i="6"/>
  <c r="E11" i="6"/>
  <c r="E8" i="6"/>
  <c r="E5" i="6"/>
  <c r="E2" i="6"/>
  <c r="C41" i="6" a="1"/>
  <c r="C41" i="6" s="1"/>
  <c r="C40" i="6" a="1"/>
  <c r="C40" i="6" s="1"/>
  <c r="C39" i="6" a="1"/>
  <c r="C39" i="6" s="1"/>
  <c r="C38" i="6" a="1"/>
  <c r="C38" i="6" s="1"/>
  <c r="C37" i="6" a="1"/>
  <c r="C37" i="6" s="1"/>
  <c r="C36" i="6" a="1"/>
  <c r="C36" i="6" s="1"/>
  <c r="C35" i="6" a="1"/>
  <c r="C35" i="6" s="1"/>
  <c r="C34" i="6" a="1"/>
  <c r="C34" i="6" s="1"/>
  <c r="C33" i="6" a="1"/>
  <c r="C33" i="6" s="1"/>
  <c r="B18" i="5"/>
  <c r="B29" i="5" s="1"/>
  <c r="P5" i="1"/>
  <c r="P4" i="1"/>
  <c r="S8" i="1" s="1"/>
  <c r="Q8" i="3"/>
  <c r="S8" i="3" s="1"/>
  <c r="P8" i="3"/>
  <c r="Q7" i="3"/>
  <c r="S7" i="3" s="1"/>
  <c r="P7" i="3"/>
  <c r="Q6" i="3"/>
  <c r="S6" i="3" s="1"/>
  <c r="P6" i="3"/>
  <c r="Q5" i="3"/>
  <c r="S5" i="3" s="1"/>
  <c r="P5" i="3"/>
  <c r="P4" i="3"/>
  <c r="Q8" i="2"/>
  <c r="S8" i="2" s="1"/>
  <c r="P8" i="2"/>
  <c r="Q7" i="2"/>
  <c r="S7" i="2" s="1"/>
  <c r="P7" i="2"/>
  <c r="Q6" i="2"/>
  <c r="S6" i="2" s="1"/>
  <c r="P6" i="2"/>
  <c r="Q5" i="2"/>
  <c r="S5" i="2" s="1"/>
  <c r="P5" i="2"/>
  <c r="P4" i="2"/>
  <c r="M576" i="2"/>
  <c r="K576" i="2"/>
  <c r="I576" i="2"/>
  <c r="G576" i="2"/>
  <c r="M575" i="2"/>
  <c r="K575" i="2"/>
  <c r="I575" i="2"/>
  <c r="G575" i="2"/>
  <c r="M574" i="2"/>
  <c r="K574" i="2"/>
  <c r="I574" i="2"/>
  <c r="G574" i="2"/>
  <c r="M573" i="2"/>
  <c r="K573" i="2"/>
  <c r="I573" i="2"/>
  <c r="G573" i="2"/>
  <c r="M572" i="2"/>
  <c r="K572" i="2"/>
  <c r="I572" i="2"/>
  <c r="G572" i="2"/>
  <c r="M571" i="2"/>
  <c r="K571" i="2"/>
  <c r="I571" i="2"/>
  <c r="G571" i="2"/>
  <c r="M570" i="2"/>
  <c r="K570" i="2"/>
  <c r="I570" i="2"/>
  <c r="G570" i="2"/>
  <c r="M569" i="2"/>
  <c r="K569" i="2"/>
  <c r="I569" i="2"/>
  <c r="G569" i="2"/>
  <c r="M568" i="2"/>
  <c r="K568" i="2"/>
  <c r="I568" i="2"/>
  <c r="G568" i="2"/>
  <c r="M567" i="2"/>
  <c r="K567" i="2"/>
  <c r="I567" i="2"/>
  <c r="G567" i="2"/>
  <c r="M566" i="2"/>
  <c r="K566" i="2"/>
  <c r="I566" i="2"/>
  <c r="G566" i="2"/>
  <c r="M565" i="2"/>
  <c r="K565" i="2"/>
  <c r="I565" i="2"/>
  <c r="G565" i="2"/>
  <c r="M564" i="2"/>
  <c r="K564" i="2"/>
  <c r="I564" i="2"/>
  <c r="G564" i="2"/>
  <c r="M563" i="2"/>
  <c r="K563" i="2"/>
  <c r="I563" i="2"/>
  <c r="G563" i="2"/>
  <c r="M562" i="2"/>
  <c r="K562" i="2"/>
  <c r="I562" i="2"/>
  <c r="G562" i="2"/>
  <c r="M561" i="2"/>
  <c r="K561" i="2"/>
  <c r="I561" i="2"/>
  <c r="G561" i="2"/>
  <c r="M560" i="2"/>
  <c r="K560" i="2"/>
  <c r="I560" i="2"/>
  <c r="G560" i="2"/>
  <c r="M559" i="2"/>
  <c r="K559" i="2"/>
  <c r="I559" i="2"/>
  <c r="G559" i="2"/>
  <c r="M558" i="2"/>
  <c r="K558" i="2"/>
  <c r="I558" i="2"/>
  <c r="G558" i="2"/>
  <c r="M557" i="2"/>
  <c r="K557" i="2"/>
  <c r="I557" i="2"/>
  <c r="G557" i="2"/>
  <c r="M556" i="2"/>
  <c r="K556" i="2"/>
  <c r="I556" i="2"/>
  <c r="G556" i="2"/>
  <c r="M555" i="2"/>
  <c r="K555" i="2"/>
  <c r="I555" i="2"/>
  <c r="G555" i="2"/>
  <c r="M554" i="2"/>
  <c r="K554" i="2"/>
  <c r="I554" i="2"/>
  <c r="G554" i="2"/>
  <c r="M553" i="2"/>
  <c r="K553" i="2"/>
  <c r="I553" i="2"/>
  <c r="G553" i="2"/>
  <c r="M552" i="2"/>
  <c r="K552" i="2"/>
  <c r="I552" i="2"/>
  <c r="G552" i="2"/>
  <c r="M551" i="2"/>
  <c r="K551" i="2"/>
  <c r="I551" i="2"/>
  <c r="G551" i="2"/>
  <c r="M550" i="2"/>
  <c r="K550" i="2"/>
  <c r="I550" i="2"/>
  <c r="G550" i="2"/>
  <c r="M549" i="2"/>
  <c r="K549" i="2"/>
  <c r="I549" i="2"/>
  <c r="G549" i="2"/>
  <c r="M548" i="2"/>
  <c r="K548" i="2"/>
  <c r="I548" i="2"/>
  <c r="G548" i="2"/>
  <c r="M547" i="2"/>
  <c r="K547" i="2"/>
  <c r="I547" i="2"/>
  <c r="G547" i="2"/>
  <c r="M546" i="2"/>
  <c r="K546" i="2"/>
  <c r="I546" i="2"/>
  <c r="G546" i="2"/>
  <c r="M545" i="2"/>
  <c r="K545" i="2"/>
  <c r="I545" i="2"/>
  <c r="G545" i="2"/>
  <c r="M544" i="2"/>
  <c r="K544" i="2"/>
  <c r="I544" i="2"/>
  <c r="G544" i="2"/>
  <c r="M543" i="2"/>
  <c r="K543" i="2"/>
  <c r="I543" i="2"/>
  <c r="G543" i="2"/>
  <c r="M542" i="2"/>
  <c r="K542" i="2"/>
  <c r="I542" i="2"/>
  <c r="G542" i="2"/>
  <c r="M541" i="2"/>
  <c r="K541" i="2"/>
  <c r="I541" i="2"/>
  <c r="G541" i="2"/>
  <c r="M540" i="2"/>
  <c r="K540" i="2"/>
  <c r="I540" i="2"/>
  <c r="G540" i="2"/>
  <c r="M539" i="2"/>
  <c r="K539" i="2"/>
  <c r="I539" i="2"/>
  <c r="G539" i="2"/>
  <c r="M538" i="2"/>
  <c r="K538" i="2"/>
  <c r="I538" i="2"/>
  <c r="G538" i="2"/>
  <c r="M537" i="2"/>
  <c r="K537" i="2"/>
  <c r="I537" i="2"/>
  <c r="G537" i="2"/>
  <c r="M536" i="2"/>
  <c r="K536" i="2"/>
  <c r="I536" i="2"/>
  <c r="G536" i="2"/>
  <c r="M535" i="2"/>
  <c r="K535" i="2"/>
  <c r="I535" i="2"/>
  <c r="G535" i="2"/>
  <c r="M534" i="2"/>
  <c r="K534" i="2"/>
  <c r="I534" i="2"/>
  <c r="G534" i="2"/>
  <c r="M533" i="2"/>
  <c r="K533" i="2"/>
  <c r="I533" i="2"/>
  <c r="G533" i="2"/>
  <c r="M532" i="2"/>
  <c r="K532" i="2"/>
  <c r="I532" i="2"/>
  <c r="G532" i="2"/>
  <c r="M531" i="2"/>
  <c r="K531" i="2"/>
  <c r="I531" i="2"/>
  <c r="G531" i="2"/>
  <c r="M530" i="2"/>
  <c r="K530" i="2"/>
  <c r="I530" i="2"/>
  <c r="G530" i="2"/>
  <c r="M529" i="2"/>
  <c r="K529" i="2"/>
  <c r="I529" i="2"/>
  <c r="G529" i="2"/>
  <c r="M528" i="2"/>
  <c r="K528" i="2"/>
  <c r="I528" i="2"/>
  <c r="G528" i="2"/>
  <c r="M527" i="2"/>
  <c r="K527" i="2"/>
  <c r="I527" i="2"/>
  <c r="G527" i="2"/>
  <c r="M526" i="2"/>
  <c r="K526" i="2"/>
  <c r="I526" i="2"/>
  <c r="G526" i="2"/>
  <c r="M525" i="2"/>
  <c r="K525" i="2"/>
  <c r="I525" i="2"/>
  <c r="G525" i="2"/>
  <c r="M524" i="2"/>
  <c r="K524" i="2"/>
  <c r="I524" i="2"/>
  <c r="G524" i="2"/>
  <c r="M523" i="2"/>
  <c r="K523" i="2"/>
  <c r="I523" i="2"/>
  <c r="G523" i="2"/>
  <c r="M522" i="2"/>
  <c r="K522" i="2"/>
  <c r="I522" i="2"/>
  <c r="G522" i="2"/>
  <c r="M521" i="2"/>
  <c r="K521" i="2"/>
  <c r="I521" i="2"/>
  <c r="G521" i="2"/>
  <c r="M520" i="2"/>
  <c r="K520" i="2"/>
  <c r="I520" i="2"/>
  <c r="G520" i="2"/>
  <c r="M519" i="2"/>
  <c r="K519" i="2"/>
  <c r="I519" i="2"/>
  <c r="G519" i="2"/>
  <c r="M518" i="2"/>
  <c r="K518" i="2"/>
  <c r="I518" i="2"/>
  <c r="G518" i="2"/>
  <c r="M517" i="2"/>
  <c r="K517" i="2"/>
  <c r="I517" i="2"/>
  <c r="G517" i="2"/>
  <c r="M516" i="2"/>
  <c r="K516" i="2"/>
  <c r="I516" i="2"/>
  <c r="G516" i="2"/>
  <c r="M515" i="2"/>
  <c r="K515" i="2"/>
  <c r="I515" i="2"/>
  <c r="G515" i="2"/>
  <c r="M514" i="2"/>
  <c r="K514" i="2"/>
  <c r="I514" i="2"/>
  <c r="G514" i="2"/>
  <c r="M513" i="2"/>
  <c r="K513" i="2"/>
  <c r="I513" i="2"/>
  <c r="G513" i="2"/>
  <c r="M512" i="2"/>
  <c r="K512" i="2"/>
  <c r="I512" i="2"/>
  <c r="G512" i="2"/>
  <c r="M511" i="2"/>
  <c r="K511" i="2"/>
  <c r="I511" i="2"/>
  <c r="G511" i="2"/>
  <c r="M510" i="2"/>
  <c r="K510" i="2"/>
  <c r="I510" i="2"/>
  <c r="G510" i="2"/>
  <c r="M509" i="2"/>
  <c r="K509" i="2"/>
  <c r="I509" i="2"/>
  <c r="G509" i="2"/>
  <c r="M508" i="2"/>
  <c r="K508" i="2"/>
  <c r="I508" i="2"/>
  <c r="G508" i="2"/>
  <c r="M507" i="2"/>
  <c r="K507" i="2"/>
  <c r="I507" i="2"/>
  <c r="G507" i="2"/>
  <c r="M506" i="2"/>
  <c r="K506" i="2"/>
  <c r="I506" i="2"/>
  <c r="G506" i="2"/>
  <c r="M505" i="2"/>
  <c r="K505" i="2"/>
  <c r="I505" i="2"/>
  <c r="G505" i="2"/>
  <c r="M504" i="2"/>
  <c r="K504" i="2"/>
  <c r="I504" i="2"/>
  <c r="G504" i="2"/>
  <c r="M503" i="2"/>
  <c r="K503" i="2"/>
  <c r="I503" i="2"/>
  <c r="G503" i="2"/>
  <c r="M502" i="2"/>
  <c r="K502" i="2"/>
  <c r="I502" i="2"/>
  <c r="G502" i="2"/>
  <c r="M501" i="2"/>
  <c r="K501" i="2"/>
  <c r="I501" i="2"/>
  <c r="G501" i="2"/>
  <c r="M500" i="2"/>
  <c r="K500" i="2"/>
  <c r="I500" i="2"/>
  <c r="G500" i="2"/>
  <c r="M499" i="2"/>
  <c r="K499" i="2"/>
  <c r="I499" i="2"/>
  <c r="G499" i="2"/>
  <c r="M498" i="2"/>
  <c r="K498" i="2"/>
  <c r="I498" i="2"/>
  <c r="G498" i="2"/>
  <c r="M497" i="2"/>
  <c r="K497" i="2"/>
  <c r="I497" i="2"/>
  <c r="G497" i="2"/>
  <c r="M496" i="2"/>
  <c r="K496" i="2"/>
  <c r="I496" i="2"/>
  <c r="G496" i="2"/>
  <c r="M495" i="2"/>
  <c r="K495" i="2"/>
  <c r="I495" i="2"/>
  <c r="G495" i="2"/>
  <c r="M494" i="2"/>
  <c r="K494" i="2"/>
  <c r="I494" i="2"/>
  <c r="G494" i="2"/>
  <c r="M493" i="2"/>
  <c r="K493" i="2"/>
  <c r="I493" i="2"/>
  <c r="G493" i="2"/>
  <c r="M492" i="2"/>
  <c r="K492" i="2"/>
  <c r="I492" i="2"/>
  <c r="G492" i="2"/>
  <c r="M491" i="2"/>
  <c r="K491" i="2"/>
  <c r="I491" i="2"/>
  <c r="G491" i="2"/>
  <c r="M490" i="2"/>
  <c r="K490" i="2"/>
  <c r="I490" i="2"/>
  <c r="G490" i="2"/>
  <c r="M489" i="2"/>
  <c r="K489" i="2"/>
  <c r="I489" i="2"/>
  <c r="G489" i="2"/>
  <c r="M488" i="2"/>
  <c r="K488" i="2"/>
  <c r="I488" i="2"/>
  <c r="G488" i="2"/>
  <c r="M487" i="2"/>
  <c r="K487" i="2"/>
  <c r="I487" i="2"/>
  <c r="G487" i="2"/>
  <c r="M486" i="2"/>
  <c r="K486" i="2"/>
  <c r="I486" i="2"/>
  <c r="G486" i="2"/>
  <c r="M485" i="2"/>
  <c r="K485" i="2"/>
  <c r="I485" i="2"/>
  <c r="G485" i="2"/>
  <c r="M484" i="2"/>
  <c r="K484" i="2"/>
  <c r="I484" i="2"/>
  <c r="G484" i="2"/>
  <c r="M483" i="2"/>
  <c r="K483" i="2"/>
  <c r="I483" i="2"/>
  <c r="G483" i="2"/>
  <c r="M482" i="2"/>
  <c r="K482" i="2"/>
  <c r="I482" i="2"/>
  <c r="G482" i="2"/>
  <c r="M481" i="2"/>
  <c r="K481" i="2"/>
  <c r="I481" i="2"/>
  <c r="G481" i="2"/>
  <c r="M480" i="2"/>
  <c r="K480" i="2"/>
  <c r="I480" i="2"/>
  <c r="G480" i="2"/>
  <c r="M479" i="2"/>
  <c r="K479" i="2"/>
  <c r="I479" i="2"/>
  <c r="G479" i="2"/>
  <c r="M478" i="2"/>
  <c r="K478" i="2"/>
  <c r="I478" i="2"/>
  <c r="G478" i="2"/>
  <c r="M477" i="2"/>
  <c r="K477" i="2"/>
  <c r="I477" i="2"/>
  <c r="G477" i="2"/>
  <c r="M476" i="2"/>
  <c r="K476" i="2"/>
  <c r="I476" i="2"/>
  <c r="G476" i="2"/>
  <c r="M475" i="2"/>
  <c r="K475" i="2"/>
  <c r="I475" i="2"/>
  <c r="G475" i="2"/>
  <c r="M474" i="2"/>
  <c r="K474" i="2"/>
  <c r="I474" i="2"/>
  <c r="G474" i="2"/>
  <c r="M473" i="2"/>
  <c r="K473" i="2"/>
  <c r="I473" i="2"/>
  <c r="G473" i="2"/>
  <c r="M472" i="2"/>
  <c r="K472" i="2"/>
  <c r="I472" i="2"/>
  <c r="G472" i="2"/>
  <c r="M471" i="2"/>
  <c r="K471" i="2"/>
  <c r="I471" i="2"/>
  <c r="G471" i="2"/>
  <c r="M470" i="2"/>
  <c r="K470" i="2"/>
  <c r="I470" i="2"/>
  <c r="G470" i="2"/>
  <c r="M469" i="2"/>
  <c r="K469" i="2"/>
  <c r="I469" i="2"/>
  <c r="G469" i="2"/>
  <c r="M468" i="2"/>
  <c r="K468" i="2"/>
  <c r="I468" i="2"/>
  <c r="G468" i="2"/>
  <c r="M467" i="2"/>
  <c r="K467" i="2"/>
  <c r="I467" i="2"/>
  <c r="G467" i="2"/>
  <c r="M466" i="2"/>
  <c r="K466" i="2"/>
  <c r="I466" i="2"/>
  <c r="G466" i="2"/>
  <c r="M465" i="2"/>
  <c r="K465" i="2"/>
  <c r="I465" i="2"/>
  <c r="G465" i="2"/>
  <c r="M464" i="2"/>
  <c r="K464" i="2"/>
  <c r="I464" i="2"/>
  <c r="G464" i="2"/>
  <c r="M463" i="2"/>
  <c r="K463" i="2"/>
  <c r="I463" i="2"/>
  <c r="G463" i="2"/>
  <c r="M462" i="2"/>
  <c r="K462" i="2"/>
  <c r="I462" i="2"/>
  <c r="G462" i="2"/>
  <c r="M461" i="2"/>
  <c r="K461" i="2"/>
  <c r="I461" i="2"/>
  <c r="G461" i="2"/>
  <c r="M460" i="2"/>
  <c r="K460" i="2"/>
  <c r="I460" i="2"/>
  <c r="G460" i="2"/>
  <c r="M459" i="2"/>
  <c r="K459" i="2"/>
  <c r="I459" i="2"/>
  <c r="G459" i="2"/>
  <c r="M458" i="2"/>
  <c r="K458" i="2"/>
  <c r="I458" i="2"/>
  <c r="G458" i="2"/>
  <c r="M457" i="2"/>
  <c r="K457" i="2"/>
  <c r="I457" i="2"/>
  <c r="G457" i="2"/>
  <c r="M456" i="2"/>
  <c r="K456" i="2"/>
  <c r="I456" i="2"/>
  <c r="G456" i="2"/>
  <c r="M455" i="2"/>
  <c r="K455" i="2"/>
  <c r="I455" i="2"/>
  <c r="G455" i="2"/>
  <c r="M454" i="2"/>
  <c r="K454" i="2"/>
  <c r="I454" i="2"/>
  <c r="G454" i="2"/>
  <c r="M453" i="2"/>
  <c r="K453" i="2"/>
  <c r="I453" i="2"/>
  <c r="G453" i="2"/>
  <c r="M452" i="2"/>
  <c r="K452" i="2"/>
  <c r="I452" i="2"/>
  <c r="G452" i="2"/>
  <c r="M451" i="2"/>
  <c r="K451" i="2"/>
  <c r="I451" i="2"/>
  <c r="G451" i="2"/>
  <c r="M450" i="2"/>
  <c r="K450" i="2"/>
  <c r="I450" i="2"/>
  <c r="G450" i="2"/>
  <c r="M449" i="2"/>
  <c r="K449" i="2"/>
  <c r="I449" i="2"/>
  <c r="G449" i="2"/>
  <c r="M448" i="2"/>
  <c r="K448" i="2"/>
  <c r="I448" i="2"/>
  <c r="G448" i="2"/>
  <c r="M447" i="2"/>
  <c r="K447" i="2"/>
  <c r="I447" i="2"/>
  <c r="G447" i="2"/>
  <c r="M446" i="2"/>
  <c r="K446" i="2"/>
  <c r="I446" i="2"/>
  <c r="G446" i="2"/>
  <c r="M445" i="2"/>
  <c r="K445" i="2"/>
  <c r="I445" i="2"/>
  <c r="G445" i="2"/>
  <c r="M444" i="2"/>
  <c r="K444" i="2"/>
  <c r="I444" i="2"/>
  <c r="G444" i="2"/>
  <c r="M443" i="2"/>
  <c r="K443" i="2"/>
  <c r="I443" i="2"/>
  <c r="G443" i="2"/>
  <c r="M442" i="2"/>
  <c r="K442" i="2"/>
  <c r="I442" i="2"/>
  <c r="G442" i="2"/>
  <c r="M441" i="2"/>
  <c r="K441" i="2"/>
  <c r="I441" i="2"/>
  <c r="G441" i="2"/>
  <c r="M440" i="2"/>
  <c r="K440" i="2"/>
  <c r="I440" i="2"/>
  <c r="G440" i="2"/>
  <c r="M439" i="2"/>
  <c r="K439" i="2"/>
  <c r="I439" i="2"/>
  <c r="G439" i="2"/>
  <c r="M438" i="2"/>
  <c r="K438" i="2"/>
  <c r="I438" i="2"/>
  <c r="G438" i="2"/>
  <c r="M437" i="2"/>
  <c r="K437" i="2"/>
  <c r="I437" i="2"/>
  <c r="G437" i="2"/>
  <c r="M436" i="2"/>
  <c r="K436" i="2"/>
  <c r="I436" i="2"/>
  <c r="G436" i="2"/>
  <c r="M435" i="2"/>
  <c r="K435" i="2"/>
  <c r="I435" i="2"/>
  <c r="G435" i="2"/>
  <c r="M434" i="2"/>
  <c r="K434" i="2"/>
  <c r="I434" i="2"/>
  <c r="G434" i="2"/>
  <c r="M433" i="2"/>
  <c r="K433" i="2"/>
  <c r="I433" i="2"/>
  <c r="G433" i="2"/>
  <c r="M432" i="2"/>
  <c r="K432" i="2"/>
  <c r="I432" i="2"/>
  <c r="G432" i="2"/>
  <c r="M431" i="2"/>
  <c r="K431" i="2"/>
  <c r="I431" i="2"/>
  <c r="G431" i="2"/>
  <c r="M430" i="2"/>
  <c r="K430" i="2"/>
  <c r="I430" i="2"/>
  <c r="G430" i="2"/>
  <c r="M429" i="2"/>
  <c r="K429" i="2"/>
  <c r="I429" i="2"/>
  <c r="G429" i="2"/>
  <c r="M428" i="2"/>
  <c r="K428" i="2"/>
  <c r="I428" i="2"/>
  <c r="G428" i="2"/>
  <c r="M427" i="2"/>
  <c r="K427" i="2"/>
  <c r="I427" i="2"/>
  <c r="G427" i="2"/>
  <c r="M426" i="2"/>
  <c r="K426" i="2"/>
  <c r="I426" i="2"/>
  <c r="G426" i="2"/>
  <c r="M425" i="2"/>
  <c r="K425" i="2"/>
  <c r="I425" i="2"/>
  <c r="G425" i="2"/>
  <c r="M424" i="2"/>
  <c r="K424" i="2"/>
  <c r="I424" i="2"/>
  <c r="G424" i="2"/>
  <c r="M423" i="2"/>
  <c r="K423" i="2"/>
  <c r="I423" i="2"/>
  <c r="G423" i="2"/>
  <c r="M422" i="2"/>
  <c r="K422" i="2"/>
  <c r="I422" i="2"/>
  <c r="G422" i="2"/>
  <c r="M421" i="2"/>
  <c r="K421" i="2"/>
  <c r="I421" i="2"/>
  <c r="G421" i="2"/>
  <c r="M420" i="2"/>
  <c r="K420" i="2"/>
  <c r="I420" i="2"/>
  <c r="G420" i="2"/>
  <c r="M419" i="2"/>
  <c r="K419" i="2"/>
  <c r="I419" i="2"/>
  <c r="G419" i="2"/>
  <c r="M418" i="2"/>
  <c r="K418" i="2"/>
  <c r="I418" i="2"/>
  <c r="G418" i="2"/>
  <c r="M417" i="2"/>
  <c r="K417" i="2"/>
  <c r="I417" i="2"/>
  <c r="G417" i="2"/>
  <c r="M416" i="2"/>
  <c r="K416" i="2"/>
  <c r="I416" i="2"/>
  <c r="G416" i="2"/>
  <c r="M415" i="2"/>
  <c r="K415" i="2"/>
  <c r="I415" i="2"/>
  <c r="G415" i="2"/>
  <c r="M414" i="2"/>
  <c r="K414" i="2"/>
  <c r="I414" i="2"/>
  <c r="G414" i="2"/>
  <c r="M413" i="2"/>
  <c r="K413" i="2"/>
  <c r="I413" i="2"/>
  <c r="G413" i="2"/>
  <c r="M412" i="2"/>
  <c r="K412" i="2"/>
  <c r="I412" i="2"/>
  <c r="G412" i="2"/>
  <c r="M411" i="2"/>
  <c r="K411" i="2"/>
  <c r="I411" i="2"/>
  <c r="G411" i="2"/>
  <c r="M410" i="2"/>
  <c r="K410" i="2"/>
  <c r="I410" i="2"/>
  <c r="G410" i="2"/>
  <c r="M409" i="2"/>
  <c r="K409" i="2"/>
  <c r="I409" i="2"/>
  <c r="G409" i="2"/>
  <c r="M408" i="2"/>
  <c r="K408" i="2"/>
  <c r="I408" i="2"/>
  <c r="G408" i="2"/>
  <c r="M407" i="2"/>
  <c r="K407" i="2"/>
  <c r="I407" i="2"/>
  <c r="G407" i="2"/>
  <c r="M406" i="2"/>
  <c r="K406" i="2"/>
  <c r="I406" i="2"/>
  <c r="G406" i="2"/>
  <c r="M405" i="2"/>
  <c r="K405" i="2"/>
  <c r="I405" i="2"/>
  <c r="G405" i="2"/>
  <c r="M404" i="2"/>
  <c r="K404" i="2"/>
  <c r="I404" i="2"/>
  <c r="G404" i="2"/>
  <c r="M403" i="2"/>
  <c r="K403" i="2"/>
  <c r="I403" i="2"/>
  <c r="G403" i="2"/>
  <c r="M402" i="2"/>
  <c r="K402" i="2"/>
  <c r="I402" i="2"/>
  <c r="G402" i="2"/>
  <c r="M401" i="2"/>
  <c r="K401" i="2"/>
  <c r="I401" i="2"/>
  <c r="G401" i="2"/>
  <c r="M400" i="2"/>
  <c r="K400" i="2"/>
  <c r="I400" i="2"/>
  <c r="G400" i="2"/>
  <c r="M399" i="2"/>
  <c r="K399" i="2"/>
  <c r="I399" i="2"/>
  <c r="G399" i="2"/>
  <c r="M398" i="2"/>
  <c r="K398" i="2"/>
  <c r="I398" i="2"/>
  <c r="G398" i="2"/>
  <c r="M397" i="2"/>
  <c r="K397" i="2"/>
  <c r="I397" i="2"/>
  <c r="G397" i="2"/>
  <c r="M396" i="2"/>
  <c r="K396" i="2"/>
  <c r="I396" i="2"/>
  <c r="G396" i="2"/>
  <c r="M395" i="2"/>
  <c r="K395" i="2"/>
  <c r="I395" i="2"/>
  <c r="G395" i="2"/>
  <c r="M394" i="2"/>
  <c r="K394" i="2"/>
  <c r="I394" i="2"/>
  <c r="G394" i="2"/>
  <c r="M393" i="2"/>
  <c r="K393" i="2"/>
  <c r="I393" i="2"/>
  <c r="G393" i="2"/>
  <c r="M392" i="2"/>
  <c r="K392" i="2"/>
  <c r="I392" i="2"/>
  <c r="G392" i="2"/>
  <c r="M391" i="2"/>
  <c r="K391" i="2"/>
  <c r="I391" i="2"/>
  <c r="G391" i="2"/>
  <c r="M390" i="2"/>
  <c r="K390" i="2"/>
  <c r="I390" i="2"/>
  <c r="G390" i="2"/>
  <c r="M389" i="2"/>
  <c r="K389" i="2"/>
  <c r="I389" i="2"/>
  <c r="G389" i="2"/>
  <c r="M388" i="2"/>
  <c r="K388" i="2"/>
  <c r="I388" i="2"/>
  <c r="G388" i="2"/>
  <c r="M387" i="2"/>
  <c r="K387" i="2"/>
  <c r="I387" i="2"/>
  <c r="G387" i="2"/>
  <c r="M386" i="2"/>
  <c r="K386" i="2"/>
  <c r="I386" i="2"/>
  <c r="G386" i="2"/>
  <c r="M385" i="2"/>
  <c r="K385" i="2"/>
  <c r="I385" i="2"/>
  <c r="G385" i="2"/>
  <c r="M384" i="2"/>
  <c r="K384" i="2"/>
  <c r="I384" i="2"/>
  <c r="G384" i="2"/>
  <c r="M383" i="2"/>
  <c r="K383" i="2"/>
  <c r="I383" i="2"/>
  <c r="G383" i="2"/>
  <c r="M382" i="2"/>
  <c r="K382" i="2"/>
  <c r="I382" i="2"/>
  <c r="G382" i="2"/>
  <c r="M381" i="2"/>
  <c r="K381" i="2"/>
  <c r="I381" i="2"/>
  <c r="G381" i="2"/>
  <c r="M380" i="2"/>
  <c r="K380" i="2"/>
  <c r="I380" i="2"/>
  <c r="G380" i="2"/>
  <c r="M379" i="2"/>
  <c r="K379" i="2"/>
  <c r="I379" i="2"/>
  <c r="G379" i="2"/>
  <c r="M378" i="2"/>
  <c r="K378" i="2"/>
  <c r="I378" i="2"/>
  <c r="G378" i="2"/>
  <c r="M377" i="2"/>
  <c r="K377" i="2"/>
  <c r="I377" i="2"/>
  <c r="G377" i="2"/>
  <c r="M376" i="2"/>
  <c r="K376" i="2"/>
  <c r="I376" i="2"/>
  <c r="G376" i="2"/>
  <c r="M375" i="2"/>
  <c r="K375" i="2"/>
  <c r="I375" i="2"/>
  <c r="G375" i="2"/>
  <c r="M374" i="2"/>
  <c r="K374" i="2"/>
  <c r="I374" i="2"/>
  <c r="G374" i="2"/>
  <c r="M373" i="2"/>
  <c r="K373" i="2"/>
  <c r="I373" i="2"/>
  <c r="G373" i="2"/>
  <c r="M372" i="2"/>
  <c r="K372" i="2"/>
  <c r="I372" i="2"/>
  <c r="G372" i="2"/>
  <c r="M371" i="2"/>
  <c r="K371" i="2"/>
  <c r="I371" i="2"/>
  <c r="G371" i="2"/>
  <c r="M370" i="2"/>
  <c r="K370" i="2"/>
  <c r="I370" i="2"/>
  <c r="G370" i="2"/>
  <c r="M369" i="2"/>
  <c r="K369" i="2"/>
  <c r="I369" i="2"/>
  <c r="G369" i="2"/>
  <c r="M368" i="2"/>
  <c r="K368" i="2"/>
  <c r="I368" i="2"/>
  <c r="G368" i="2"/>
  <c r="M367" i="2"/>
  <c r="K367" i="2"/>
  <c r="I367" i="2"/>
  <c r="G367" i="2"/>
  <c r="M366" i="2"/>
  <c r="K366" i="2"/>
  <c r="I366" i="2"/>
  <c r="G366" i="2"/>
  <c r="M365" i="2"/>
  <c r="K365" i="2"/>
  <c r="I365" i="2"/>
  <c r="G365" i="2"/>
  <c r="M364" i="2"/>
  <c r="K364" i="2"/>
  <c r="I364" i="2"/>
  <c r="G364" i="2"/>
  <c r="M363" i="2"/>
  <c r="K363" i="2"/>
  <c r="I363" i="2"/>
  <c r="G363" i="2"/>
  <c r="M362" i="2"/>
  <c r="K362" i="2"/>
  <c r="I362" i="2"/>
  <c r="G362" i="2"/>
  <c r="M361" i="2"/>
  <c r="K361" i="2"/>
  <c r="I361" i="2"/>
  <c r="G361" i="2"/>
  <c r="M360" i="2"/>
  <c r="K360" i="2"/>
  <c r="I360" i="2"/>
  <c r="G360" i="2"/>
  <c r="M359" i="2"/>
  <c r="K359" i="2"/>
  <c r="I359" i="2"/>
  <c r="G359" i="2"/>
  <c r="M358" i="2"/>
  <c r="K358" i="2"/>
  <c r="I358" i="2"/>
  <c r="G358" i="2"/>
  <c r="M357" i="2"/>
  <c r="K357" i="2"/>
  <c r="I357" i="2"/>
  <c r="G357" i="2"/>
  <c r="M356" i="2"/>
  <c r="K356" i="2"/>
  <c r="I356" i="2"/>
  <c r="G356" i="2"/>
  <c r="M355" i="2"/>
  <c r="K355" i="2"/>
  <c r="I355" i="2"/>
  <c r="G355" i="2"/>
  <c r="M354" i="2"/>
  <c r="K354" i="2"/>
  <c r="I354" i="2"/>
  <c r="G354" i="2"/>
  <c r="M353" i="2"/>
  <c r="K353" i="2"/>
  <c r="I353" i="2"/>
  <c r="G353" i="2"/>
  <c r="M352" i="2"/>
  <c r="K352" i="2"/>
  <c r="I352" i="2"/>
  <c r="G352" i="2"/>
  <c r="M351" i="2"/>
  <c r="K351" i="2"/>
  <c r="I351" i="2"/>
  <c r="G351" i="2"/>
  <c r="M350" i="2"/>
  <c r="K350" i="2"/>
  <c r="I350" i="2"/>
  <c r="G350" i="2"/>
  <c r="M349" i="2"/>
  <c r="K349" i="2"/>
  <c r="I349" i="2"/>
  <c r="G349" i="2"/>
  <c r="M348" i="2"/>
  <c r="K348" i="2"/>
  <c r="I348" i="2"/>
  <c r="G348" i="2"/>
  <c r="M347" i="2"/>
  <c r="K347" i="2"/>
  <c r="I347" i="2"/>
  <c r="G347" i="2"/>
  <c r="M346" i="2"/>
  <c r="K346" i="2"/>
  <c r="I346" i="2"/>
  <c r="G346" i="2"/>
  <c r="M345" i="2"/>
  <c r="K345" i="2"/>
  <c r="I345" i="2"/>
  <c r="G345" i="2"/>
  <c r="M344" i="2"/>
  <c r="K344" i="2"/>
  <c r="I344" i="2"/>
  <c r="G344" i="2"/>
  <c r="M343" i="2"/>
  <c r="K343" i="2"/>
  <c r="I343" i="2"/>
  <c r="G343" i="2"/>
  <c r="M342" i="2"/>
  <c r="K342" i="2"/>
  <c r="I342" i="2"/>
  <c r="G342" i="2"/>
  <c r="M341" i="2"/>
  <c r="K341" i="2"/>
  <c r="I341" i="2"/>
  <c r="G341" i="2"/>
  <c r="M340" i="2"/>
  <c r="K340" i="2"/>
  <c r="I340" i="2"/>
  <c r="G340" i="2"/>
  <c r="M339" i="2"/>
  <c r="K339" i="2"/>
  <c r="I339" i="2"/>
  <c r="G339" i="2"/>
  <c r="M338" i="2"/>
  <c r="K338" i="2"/>
  <c r="I338" i="2"/>
  <c r="G338" i="2"/>
  <c r="M337" i="2"/>
  <c r="K337" i="2"/>
  <c r="I337" i="2"/>
  <c r="G337" i="2"/>
  <c r="M336" i="2"/>
  <c r="K336" i="2"/>
  <c r="I336" i="2"/>
  <c r="G336" i="2"/>
  <c r="M335" i="2"/>
  <c r="K335" i="2"/>
  <c r="I335" i="2"/>
  <c r="G335" i="2"/>
  <c r="M334" i="2"/>
  <c r="K334" i="2"/>
  <c r="I334" i="2"/>
  <c r="G334" i="2"/>
  <c r="M333" i="2"/>
  <c r="K333" i="2"/>
  <c r="I333" i="2"/>
  <c r="G333" i="2"/>
  <c r="M332" i="2"/>
  <c r="K332" i="2"/>
  <c r="I332" i="2"/>
  <c r="G332" i="2"/>
  <c r="M331" i="2"/>
  <c r="K331" i="2"/>
  <c r="I331" i="2"/>
  <c r="G331" i="2"/>
  <c r="M330" i="2"/>
  <c r="K330" i="2"/>
  <c r="I330" i="2"/>
  <c r="G330" i="2"/>
  <c r="M329" i="2"/>
  <c r="K329" i="2"/>
  <c r="I329" i="2"/>
  <c r="G329" i="2"/>
  <c r="M328" i="2"/>
  <c r="K328" i="2"/>
  <c r="I328" i="2"/>
  <c r="G328" i="2"/>
  <c r="M327" i="2"/>
  <c r="K327" i="2"/>
  <c r="I327" i="2"/>
  <c r="G327" i="2"/>
  <c r="M326" i="2"/>
  <c r="K326" i="2"/>
  <c r="I326" i="2"/>
  <c r="G326" i="2"/>
  <c r="M325" i="2"/>
  <c r="K325" i="2"/>
  <c r="I325" i="2"/>
  <c r="G325" i="2"/>
  <c r="M324" i="2"/>
  <c r="K324" i="2"/>
  <c r="I324" i="2"/>
  <c r="G324" i="2"/>
  <c r="M323" i="2"/>
  <c r="K323" i="2"/>
  <c r="I323" i="2"/>
  <c r="G323" i="2"/>
  <c r="M322" i="2"/>
  <c r="K322" i="2"/>
  <c r="I322" i="2"/>
  <c r="G322" i="2"/>
  <c r="M321" i="2"/>
  <c r="K321" i="2"/>
  <c r="I321" i="2"/>
  <c r="G321" i="2"/>
  <c r="M320" i="2"/>
  <c r="K320" i="2"/>
  <c r="I320" i="2"/>
  <c r="G320" i="2"/>
  <c r="M319" i="2"/>
  <c r="K319" i="2"/>
  <c r="I319" i="2"/>
  <c r="G319" i="2"/>
  <c r="M318" i="2"/>
  <c r="K318" i="2"/>
  <c r="I318" i="2"/>
  <c r="G318" i="2"/>
  <c r="M317" i="2"/>
  <c r="K317" i="2"/>
  <c r="I317" i="2"/>
  <c r="G317" i="2"/>
  <c r="M316" i="2"/>
  <c r="K316" i="2"/>
  <c r="I316" i="2"/>
  <c r="G316" i="2"/>
  <c r="M315" i="2"/>
  <c r="K315" i="2"/>
  <c r="I315" i="2"/>
  <c r="G315" i="2"/>
  <c r="M314" i="2"/>
  <c r="K314" i="2"/>
  <c r="I314" i="2"/>
  <c r="G314" i="2"/>
  <c r="M313" i="2"/>
  <c r="K313" i="2"/>
  <c r="I313" i="2"/>
  <c r="G313" i="2"/>
  <c r="M312" i="2"/>
  <c r="K312" i="2"/>
  <c r="I312" i="2"/>
  <c r="G312" i="2"/>
  <c r="M311" i="2"/>
  <c r="K311" i="2"/>
  <c r="I311" i="2"/>
  <c r="G311" i="2"/>
  <c r="M310" i="2"/>
  <c r="K310" i="2"/>
  <c r="I310" i="2"/>
  <c r="G310" i="2"/>
  <c r="M309" i="2"/>
  <c r="K309" i="2"/>
  <c r="I309" i="2"/>
  <c r="G309" i="2"/>
  <c r="M308" i="2"/>
  <c r="K308" i="2"/>
  <c r="I308" i="2"/>
  <c r="G308" i="2"/>
  <c r="M307" i="2"/>
  <c r="K307" i="2"/>
  <c r="I307" i="2"/>
  <c r="G307" i="2"/>
  <c r="M306" i="2"/>
  <c r="K306" i="2"/>
  <c r="I306" i="2"/>
  <c r="G306" i="2"/>
  <c r="M305" i="2"/>
  <c r="K305" i="2"/>
  <c r="I305" i="2"/>
  <c r="G305" i="2"/>
  <c r="M304" i="2"/>
  <c r="K304" i="2"/>
  <c r="I304" i="2"/>
  <c r="G304" i="2"/>
  <c r="M303" i="2"/>
  <c r="K303" i="2"/>
  <c r="I303" i="2"/>
  <c r="G303" i="2"/>
  <c r="M302" i="2"/>
  <c r="K302" i="2"/>
  <c r="I302" i="2"/>
  <c r="G302" i="2"/>
  <c r="M301" i="2"/>
  <c r="K301" i="2"/>
  <c r="I301" i="2"/>
  <c r="G301" i="2"/>
  <c r="M300" i="2"/>
  <c r="K300" i="2"/>
  <c r="I300" i="2"/>
  <c r="G300" i="2"/>
  <c r="M299" i="2"/>
  <c r="K299" i="2"/>
  <c r="I299" i="2"/>
  <c r="G299" i="2"/>
  <c r="M298" i="2"/>
  <c r="K298" i="2"/>
  <c r="I298" i="2"/>
  <c r="G298" i="2"/>
  <c r="M297" i="2"/>
  <c r="K297" i="2"/>
  <c r="I297" i="2"/>
  <c r="G297" i="2"/>
  <c r="M296" i="2"/>
  <c r="K296" i="2"/>
  <c r="I296" i="2"/>
  <c r="G296" i="2"/>
  <c r="M295" i="2"/>
  <c r="K295" i="2"/>
  <c r="I295" i="2"/>
  <c r="G295" i="2"/>
  <c r="M294" i="2"/>
  <c r="K294" i="2"/>
  <c r="I294" i="2"/>
  <c r="G294" i="2"/>
  <c r="M293" i="2"/>
  <c r="K293" i="2"/>
  <c r="I293" i="2"/>
  <c r="G293" i="2"/>
  <c r="M292" i="2"/>
  <c r="K292" i="2"/>
  <c r="I292" i="2"/>
  <c r="G292" i="2"/>
  <c r="M291" i="2"/>
  <c r="K291" i="2"/>
  <c r="I291" i="2"/>
  <c r="G291" i="2"/>
  <c r="M290" i="2"/>
  <c r="K290" i="2"/>
  <c r="I290" i="2"/>
  <c r="G290" i="2"/>
  <c r="M289" i="2"/>
  <c r="K289" i="2"/>
  <c r="I289" i="2"/>
  <c r="G289" i="2"/>
  <c r="M288" i="2"/>
  <c r="K288" i="2"/>
  <c r="I288" i="2"/>
  <c r="G288" i="2"/>
  <c r="M287" i="2"/>
  <c r="K287" i="2"/>
  <c r="I287" i="2"/>
  <c r="G287" i="2"/>
  <c r="M286" i="2"/>
  <c r="K286" i="2"/>
  <c r="I286" i="2"/>
  <c r="G286" i="2"/>
  <c r="M285" i="2"/>
  <c r="K285" i="2"/>
  <c r="I285" i="2"/>
  <c r="G285" i="2"/>
  <c r="M284" i="2"/>
  <c r="K284" i="2"/>
  <c r="I284" i="2"/>
  <c r="G284" i="2"/>
  <c r="M283" i="2"/>
  <c r="K283" i="2"/>
  <c r="I283" i="2"/>
  <c r="G283" i="2"/>
  <c r="M282" i="2"/>
  <c r="K282" i="2"/>
  <c r="I282" i="2"/>
  <c r="G282" i="2"/>
  <c r="M281" i="2"/>
  <c r="K281" i="2"/>
  <c r="I281" i="2"/>
  <c r="G281" i="2"/>
  <c r="M280" i="2"/>
  <c r="K280" i="2"/>
  <c r="I280" i="2"/>
  <c r="G280" i="2"/>
  <c r="M279" i="2"/>
  <c r="K279" i="2"/>
  <c r="I279" i="2"/>
  <c r="G279" i="2"/>
  <c r="M278" i="2"/>
  <c r="K278" i="2"/>
  <c r="I278" i="2"/>
  <c r="G278" i="2"/>
  <c r="M277" i="2"/>
  <c r="K277" i="2"/>
  <c r="I277" i="2"/>
  <c r="G277" i="2"/>
  <c r="M276" i="2"/>
  <c r="K276" i="2"/>
  <c r="I276" i="2"/>
  <c r="G276" i="2"/>
  <c r="M275" i="2"/>
  <c r="K275" i="2"/>
  <c r="I275" i="2"/>
  <c r="G275" i="2"/>
  <c r="M274" i="2"/>
  <c r="K274" i="2"/>
  <c r="I274" i="2"/>
  <c r="G274" i="2"/>
  <c r="M273" i="2"/>
  <c r="K273" i="2"/>
  <c r="I273" i="2"/>
  <c r="G273" i="2"/>
  <c r="M272" i="2"/>
  <c r="K272" i="2"/>
  <c r="I272" i="2"/>
  <c r="G272" i="2"/>
  <c r="M271" i="2"/>
  <c r="K271" i="2"/>
  <c r="I271" i="2"/>
  <c r="G271" i="2"/>
  <c r="M270" i="2"/>
  <c r="K270" i="2"/>
  <c r="I270" i="2"/>
  <c r="G270" i="2"/>
  <c r="M269" i="2"/>
  <c r="K269" i="2"/>
  <c r="I269" i="2"/>
  <c r="G269" i="2"/>
  <c r="M268" i="2"/>
  <c r="K268" i="2"/>
  <c r="I268" i="2"/>
  <c r="G268" i="2"/>
  <c r="M267" i="2"/>
  <c r="K267" i="2"/>
  <c r="I267" i="2"/>
  <c r="G267" i="2"/>
  <c r="M266" i="2"/>
  <c r="K266" i="2"/>
  <c r="I266" i="2"/>
  <c r="G266" i="2"/>
  <c r="M265" i="2"/>
  <c r="K265" i="2"/>
  <c r="I265" i="2"/>
  <c r="G265" i="2"/>
  <c r="M264" i="2"/>
  <c r="K264" i="2"/>
  <c r="I264" i="2"/>
  <c r="G264" i="2"/>
  <c r="M263" i="2"/>
  <c r="K263" i="2"/>
  <c r="I263" i="2"/>
  <c r="G263" i="2"/>
  <c r="M262" i="2"/>
  <c r="K262" i="2"/>
  <c r="I262" i="2"/>
  <c r="G262" i="2"/>
  <c r="M261" i="2"/>
  <c r="K261" i="2"/>
  <c r="I261" i="2"/>
  <c r="G261" i="2"/>
  <c r="M260" i="2"/>
  <c r="K260" i="2"/>
  <c r="I260" i="2"/>
  <c r="G260" i="2"/>
  <c r="M259" i="2"/>
  <c r="K259" i="2"/>
  <c r="I259" i="2"/>
  <c r="G259" i="2"/>
  <c r="M258" i="2"/>
  <c r="K258" i="2"/>
  <c r="I258" i="2"/>
  <c r="G258" i="2"/>
  <c r="M257" i="2"/>
  <c r="K257" i="2"/>
  <c r="I257" i="2"/>
  <c r="G257" i="2"/>
  <c r="M256" i="2"/>
  <c r="K256" i="2"/>
  <c r="I256" i="2"/>
  <c r="G256" i="2"/>
  <c r="M255" i="2"/>
  <c r="K255" i="2"/>
  <c r="I255" i="2"/>
  <c r="G255" i="2"/>
  <c r="M254" i="2"/>
  <c r="K254" i="2"/>
  <c r="I254" i="2"/>
  <c r="G254" i="2"/>
  <c r="M253" i="2"/>
  <c r="K253" i="2"/>
  <c r="I253" i="2"/>
  <c r="G253" i="2"/>
  <c r="M252" i="2"/>
  <c r="K252" i="2"/>
  <c r="I252" i="2"/>
  <c r="G252" i="2"/>
  <c r="M251" i="2"/>
  <c r="K251" i="2"/>
  <c r="I251" i="2"/>
  <c r="G251" i="2"/>
  <c r="M250" i="2"/>
  <c r="K250" i="2"/>
  <c r="I250" i="2"/>
  <c r="G250" i="2"/>
  <c r="M249" i="2"/>
  <c r="K249" i="2"/>
  <c r="I249" i="2"/>
  <c r="G249" i="2"/>
  <c r="M248" i="2"/>
  <c r="K248" i="2"/>
  <c r="I248" i="2"/>
  <c r="G248" i="2"/>
  <c r="M247" i="2"/>
  <c r="K247" i="2"/>
  <c r="I247" i="2"/>
  <c r="G247" i="2"/>
  <c r="M246" i="2"/>
  <c r="K246" i="2"/>
  <c r="I246" i="2"/>
  <c r="G246" i="2"/>
  <c r="M245" i="2"/>
  <c r="K245" i="2"/>
  <c r="I245" i="2"/>
  <c r="G245" i="2"/>
  <c r="M244" i="2"/>
  <c r="K244" i="2"/>
  <c r="I244" i="2"/>
  <c r="G244" i="2"/>
  <c r="M243" i="2"/>
  <c r="K243" i="2"/>
  <c r="I243" i="2"/>
  <c r="G243" i="2"/>
  <c r="M242" i="2"/>
  <c r="K242" i="2"/>
  <c r="I242" i="2"/>
  <c r="G242" i="2"/>
  <c r="M241" i="2"/>
  <c r="K241" i="2"/>
  <c r="I241" i="2"/>
  <c r="G241" i="2"/>
  <c r="M240" i="2"/>
  <c r="K240" i="2"/>
  <c r="I240" i="2"/>
  <c r="G240" i="2"/>
  <c r="M239" i="2"/>
  <c r="K239" i="2"/>
  <c r="I239" i="2"/>
  <c r="G239" i="2"/>
  <c r="M238" i="2"/>
  <c r="K238" i="2"/>
  <c r="I238" i="2"/>
  <c r="G238" i="2"/>
  <c r="M237" i="2"/>
  <c r="K237" i="2"/>
  <c r="I237" i="2"/>
  <c r="G237" i="2"/>
  <c r="M236" i="2"/>
  <c r="K236" i="2"/>
  <c r="I236" i="2"/>
  <c r="G236" i="2"/>
  <c r="M235" i="2"/>
  <c r="K235" i="2"/>
  <c r="I235" i="2"/>
  <c r="G235" i="2"/>
  <c r="M234" i="2"/>
  <c r="K234" i="2"/>
  <c r="I234" i="2"/>
  <c r="G234" i="2"/>
  <c r="M233" i="2"/>
  <c r="K233" i="2"/>
  <c r="I233" i="2"/>
  <c r="G233" i="2"/>
  <c r="M232" i="2"/>
  <c r="K232" i="2"/>
  <c r="I232" i="2"/>
  <c r="G232" i="2"/>
  <c r="M231" i="2"/>
  <c r="K231" i="2"/>
  <c r="I231" i="2"/>
  <c r="G231" i="2"/>
  <c r="M230" i="2"/>
  <c r="K230" i="2"/>
  <c r="I230" i="2"/>
  <c r="G230" i="2"/>
  <c r="M229" i="2"/>
  <c r="K229" i="2"/>
  <c r="I229" i="2"/>
  <c r="G229" i="2"/>
  <c r="M228" i="2"/>
  <c r="K228" i="2"/>
  <c r="I228" i="2"/>
  <c r="G228" i="2"/>
  <c r="M227" i="2"/>
  <c r="K227" i="2"/>
  <c r="I227" i="2"/>
  <c r="G227" i="2"/>
  <c r="M226" i="2"/>
  <c r="K226" i="2"/>
  <c r="I226" i="2"/>
  <c r="G226" i="2"/>
  <c r="M225" i="2"/>
  <c r="K225" i="2"/>
  <c r="I225" i="2"/>
  <c r="G225" i="2"/>
  <c r="M224" i="2"/>
  <c r="K224" i="2"/>
  <c r="I224" i="2"/>
  <c r="G224" i="2"/>
  <c r="M223" i="2"/>
  <c r="K223" i="2"/>
  <c r="I223" i="2"/>
  <c r="G223" i="2"/>
  <c r="M222" i="2"/>
  <c r="K222" i="2"/>
  <c r="I222" i="2"/>
  <c r="G222" i="2"/>
  <c r="M221" i="2"/>
  <c r="K221" i="2"/>
  <c r="I221" i="2"/>
  <c r="G221" i="2"/>
  <c r="M220" i="2"/>
  <c r="K220" i="2"/>
  <c r="I220" i="2"/>
  <c r="G220" i="2"/>
  <c r="M219" i="2"/>
  <c r="K219" i="2"/>
  <c r="I219" i="2"/>
  <c r="G219" i="2"/>
  <c r="M218" i="2"/>
  <c r="K218" i="2"/>
  <c r="I218" i="2"/>
  <c r="G218" i="2"/>
  <c r="M217" i="2"/>
  <c r="K217" i="2"/>
  <c r="I217" i="2"/>
  <c r="G217" i="2"/>
  <c r="M216" i="2"/>
  <c r="K216" i="2"/>
  <c r="I216" i="2"/>
  <c r="G216" i="2"/>
  <c r="M215" i="2"/>
  <c r="K215" i="2"/>
  <c r="I215" i="2"/>
  <c r="G215" i="2"/>
  <c r="M214" i="2"/>
  <c r="K214" i="2"/>
  <c r="I214" i="2"/>
  <c r="G214" i="2"/>
  <c r="M213" i="2"/>
  <c r="K213" i="2"/>
  <c r="I213" i="2"/>
  <c r="G213" i="2"/>
  <c r="M212" i="2"/>
  <c r="K212" i="2"/>
  <c r="I212" i="2"/>
  <c r="G212" i="2"/>
  <c r="M211" i="2"/>
  <c r="K211" i="2"/>
  <c r="I211" i="2"/>
  <c r="G211" i="2"/>
  <c r="M210" i="2"/>
  <c r="K210" i="2"/>
  <c r="I210" i="2"/>
  <c r="G210" i="2"/>
  <c r="M209" i="2"/>
  <c r="K209" i="2"/>
  <c r="I209" i="2"/>
  <c r="G209" i="2"/>
  <c r="M208" i="2"/>
  <c r="K208" i="2"/>
  <c r="I208" i="2"/>
  <c r="G208" i="2"/>
  <c r="M207" i="2"/>
  <c r="K207" i="2"/>
  <c r="I207" i="2"/>
  <c r="G207" i="2"/>
  <c r="M206" i="2"/>
  <c r="K206" i="2"/>
  <c r="I206" i="2"/>
  <c r="G206" i="2"/>
  <c r="M205" i="2"/>
  <c r="K205" i="2"/>
  <c r="I205" i="2"/>
  <c r="G205" i="2"/>
  <c r="M204" i="2"/>
  <c r="K204" i="2"/>
  <c r="I204" i="2"/>
  <c r="G204" i="2"/>
  <c r="M203" i="2"/>
  <c r="K203" i="2"/>
  <c r="I203" i="2"/>
  <c r="G203" i="2"/>
  <c r="M202" i="2"/>
  <c r="K202" i="2"/>
  <c r="I202" i="2"/>
  <c r="G202" i="2"/>
  <c r="M201" i="2"/>
  <c r="K201" i="2"/>
  <c r="I201" i="2"/>
  <c r="G201" i="2"/>
  <c r="M200" i="2"/>
  <c r="K200" i="2"/>
  <c r="I200" i="2"/>
  <c r="G200" i="2"/>
  <c r="M199" i="2"/>
  <c r="K199" i="2"/>
  <c r="I199" i="2"/>
  <c r="G199" i="2"/>
  <c r="M198" i="2"/>
  <c r="K198" i="2"/>
  <c r="I198" i="2"/>
  <c r="G198" i="2"/>
  <c r="M197" i="2"/>
  <c r="K197" i="2"/>
  <c r="I197" i="2"/>
  <c r="G197" i="2"/>
  <c r="M196" i="2"/>
  <c r="K196" i="2"/>
  <c r="I196" i="2"/>
  <c r="G196" i="2"/>
  <c r="M195" i="2"/>
  <c r="K195" i="2"/>
  <c r="I195" i="2"/>
  <c r="G195" i="2"/>
  <c r="M194" i="2"/>
  <c r="K194" i="2"/>
  <c r="I194" i="2"/>
  <c r="G194" i="2"/>
  <c r="M193" i="2"/>
  <c r="K193" i="2"/>
  <c r="I193" i="2"/>
  <c r="G193" i="2"/>
  <c r="M192" i="2"/>
  <c r="K192" i="2"/>
  <c r="I192" i="2"/>
  <c r="G192" i="2"/>
  <c r="M191" i="2"/>
  <c r="K191" i="2"/>
  <c r="I191" i="2"/>
  <c r="G191" i="2"/>
  <c r="M190" i="2"/>
  <c r="K190" i="2"/>
  <c r="I190" i="2"/>
  <c r="G190" i="2"/>
  <c r="M189" i="2"/>
  <c r="K189" i="2"/>
  <c r="I189" i="2"/>
  <c r="G189" i="2"/>
  <c r="M188" i="2"/>
  <c r="K188" i="2"/>
  <c r="I188" i="2"/>
  <c r="G188" i="2"/>
  <c r="M187" i="2"/>
  <c r="K187" i="2"/>
  <c r="I187" i="2"/>
  <c r="G187" i="2"/>
  <c r="M186" i="2"/>
  <c r="K186" i="2"/>
  <c r="I186" i="2"/>
  <c r="G186" i="2"/>
  <c r="M185" i="2"/>
  <c r="K185" i="2"/>
  <c r="I185" i="2"/>
  <c r="G185" i="2"/>
  <c r="M184" i="2"/>
  <c r="K184" i="2"/>
  <c r="I184" i="2"/>
  <c r="G184" i="2"/>
  <c r="M183" i="2"/>
  <c r="K183" i="2"/>
  <c r="I183" i="2"/>
  <c r="G183" i="2"/>
  <c r="M182" i="2"/>
  <c r="K182" i="2"/>
  <c r="I182" i="2"/>
  <c r="G182" i="2"/>
  <c r="M181" i="2"/>
  <c r="K181" i="2"/>
  <c r="I181" i="2"/>
  <c r="G181" i="2"/>
  <c r="M180" i="2"/>
  <c r="K180" i="2"/>
  <c r="I180" i="2"/>
  <c r="G180" i="2"/>
  <c r="M179" i="2"/>
  <c r="K179" i="2"/>
  <c r="I179" i="2"/>
  <c r="G179" i="2"/>
  <c r="M178" i="2"/>
  <c r="K178" i="2"/>
  <c r="I178" i="2"/>
  <c r="G178" i="2"/>
  <c r="M177" i="2"/>
  <c r="K177" i="2"/>
  <c r="I177" i="2"/>
  <c r="G177" i="2"/>
  <c r="M176" i="2"/>
  <c r="K176" i="2"/>
  <c r="I176" i="2"/>
  <c r="G176" i="2"/>
  <c r="M175" i="2"/>
  <c r="K175" i="2"/>
  <c r="I175" i="2"/>
  <c r="G175" i="2"/>
  <c r="M174" i="2"/>
  <c r="K174" i="2"/>
  <c r="I174" i="2"/>
  <c r="G174" i="2"/>
  <c r="M173" i="2"/>
  <c r="K173" i="2"/>
  <c r="I173" i="2"/>
  <c r="G173" i="2"/>
  <c r="M172" i="2"/>
  <c r="K172" i="2"/>
  <c r="I172" i="2"/>
  <c r="G172" i="2"/>
  <c r="M171" i="2"/>
  <c r="K171" i="2"/>
  <c r="I171" i="2"/>
  <c r="G171" i="2"/>
  <c r="M170" i="2"/>
  <c r="K170" i="2"/>
  <c r="I170" i="2"/>
  <c r="G170" i="2"/>
  <c r="M169" i="2"/>
  <c r="K169" i="2"/>
  <c r="I169" i="2"/>
  <c r="G169" i="2"/>
  <c r="M168" i="2"/>
  <c r="K168" i="2"/>
  <c r="I168" i="2"/>
  <c r="G168" i="2"/>
  <c r="M167" i="2"/>
  <c r="K167" i="2"/>
  <c r="I167" i="2"/>
  <c r="G167" i="2"/>
  <c r="M166" i="2"/>
  <c r="K166" i="2"/>
  <c r="I166" i="2"/>
  <c r="G166" i="2"/>
  <c r="M165" i="2"/>
  <c r="K165" i="2"/>
  <c r="I165" i="2"/>
  <c r="G165" i="2"/>
  <c r="M164" i="2"/>
  <c r="K164" i="2"/>
  <c r="I164" i="2"/>
  <c r="G164" i="2"/>
  <c r="M163" i="2"/>
  <c r="K163" i="2"/>
  <c r="I163" i="2"/>
  <c r="G163" i="2"/>
  <c r="M162" i="2"/>
  <c r="K162" i="2"/>
  <c r="I162" i="2"/>
  <c r="G162" i="2"/>
  <c r="M161" i="2"/>
  <c r="K161" i="2"/>
  <c r="I161" i="2"/>
  <c r="G161" i="2"/>
  <c r="M160" i="2"/>
  <c r="K160" i="2"/>
  <c r="I160" i="2"/>
  <c r="G160" i="2"/>
  <c r="M159" i="2"/>
  <c r="K159" i="2"/>
  <c r="I159" i="2"/>
  <c r="G159" i="2"/>
  <c r="M158" i="2"/>
  <c r="K158" i="2"/>
  <c r="I158" i="2"/>
  <c r="G158" i="2"/>
  <c r="M157" i="2"/>
  <c r="K157" i="2"/>
  <c r="I157" i="2"/>
  <c r="G157" i="2"/>
  <c r="M156" i="2"/>
  <c r="K156" i="2"/>
  <c r="I156" i="2"/>
  <c r="G156" i="2"/>
  <c r="M155" i="2"/>
  <c r="K155" i="2"/>
  <c r="I155" i="2"/>
  <c r="G155" i="2"/>
  <c r="M154" i="2"/>
  <c r="K154" i="2"/>
  <c r="I154" i="2"/>
  <c r="G154" i="2"/>
  <c r="M153" i="2"/>
  <c r="K153" i="2"/>
  <c r="I153" i="2"/>
  <c r="G153" i="2"/>
  <c r="M152" i="2"/>
  <c r="K152" i="2"/>
  <c r="I152" i="2"/>
  <c r="G152" i="2"/>
  <c r="M151" i="2"/>
  <c r="K151" i="2"/>
  <c r="I151" i="2"/>
  <c r="G151" i="2"/>
  <c r="M150" i="2"/>
  <c r="K150" i="2"/>
  <c r="I150" i="2"/>
  <c r="G150" i="2"/>
  <c r="M149" i="2"/>
  <c r="K149" i="2"/>
  <c r="I149" i="2"/>
  <c r="G149" i="2"/>
  <c r="M148" i="2"/>
  <c r="K148" i="2"/>
  <c r="I148" i="2"/>
  <c r="G148" i="2"/>
  <c r="M147" i="2"/>
  <c r="K147" i="2"/>
  <c r="I147" i="2"/>
  <c r="G147" i="2"/>
  <c r="M146" i="2"/>
  <c r="K146" i="2"/>
  <c r="I146" i="2"/>
  <c r="G146" i="2"/>
  <c r="M145" i="2"/>
  <c r="K145" i="2"/>
  <c r="I145" i="2"/>
  <c r="G145" i="2"/>
  <c r="M144" i="2"/>
  <c r="K144" i="2"/>
  <c r="I144" i="2"/>
  <c r="G144" i="2"/>
  <c r="M143" i="2"/>
  <c r="K143" i="2"/>
  <c r="I143" i="2"/>
  <c r="G143" i="2"/>
  <c r="M142" i="2"/>
  <c r="K142" i="2"/>
  <c r="I142" i="2"/>
  <c r="G142" i="2"/>
  <c r="M141" i="2"/>
  <c r="K141" i="2"/>
  <c r="I141" i="2"/>
  <c r="G141" i="2"/>
  <c r="M140" i="2"/>
  <c r="K140" i="2"/>
  <c r="I140" i="2"/>
  <c r="G140" i="2"/>
  <c r="M139" i="2"/>
  <c r="K139" i="2"/>
  <c r="I139" i="2"/>
  <c r="G139" i="2"/>
  <c r="M138" i="2"/>
  <c r="K138" i="2"/>
  <c r="I138" i="2"/>
  <c r="G138" i="2"/>
  <c r="M137" i="2"/>
  <c r="K137" i="2"/>
  <c r="I137" i="2"/>
  <c r="G137" i="2"/>
  <c r="M136" i="2"/>
  <c r="K136" i="2"/>
  <c r="I136" i="2"/>
  <c r="G136" i="2"/>
  <c r="M135" i="2"/>
  <c r="K135" i="2"/>
  <c r="I135" i="2"/>
  <c r="G135" i="2"/>
  <c r="M134" i="2"/>
  <c r="K134" i="2"/>
  <c r="I134" i="2"/>
  <c r="G134" i="2"/>
  <c r="M133" i="2"/>
  <c r="K133" i="2"/>
  <c r="I133" i="2"/>
  <c r="G133" i="2"/>
  <c r="M132" i="2"/>
  <c r="K132" i="2"/>
  <c r="I132" i="2"/>
  <c r="G132" i="2"/>
  <c r="M131" i="2"/>
  <c r="K131" i="2"/>
  <c r="I131" i="2"/>
  <c r="G131" i="2"/>
  <c r="M130" i="2"/>
  <c r="K130" i="2"/>
  <c r="I130" i="2"/>
  <c r="G130" i="2"/>
  <c r="M129" i="2"/>
  <c r="K129" i="2"/>
  <c r="I129" i="2"/>
  <c r="G129" i="2"/>
  <c r="M128" i="2"/>
  <c r="K128" i="2"/>
  <c r="I128" i="2"/>
  <c r="G128" i="2"/>
  <c r="M127" i="2"/>
  <c r="K127" i="2"/>
  <c r="I127" i="2"/>
  <c r="G127" i="2"/>
  <c r="M126" i="2"/>
  <c r="K126" i="2"/>
  <c r="I126" i="2"/>
  <c r="G126" i="2"/>
  <c r="M125" i="2"/>
  <c r="K125" i="2"/>
  <c r="I125" i="2"/>
  <c r="G125" i="2"/>
  <c r="M124" i="2"/>
  <c r="K124" i="2"/>
  <c r="I124" i="2"/>
  <c r="G124" i="2"/>
  <c r="M123" i="2"/>
  <c r="K123" i="2"/>
  <c r="I123" i="2"/>
  <c r="G123" i="2"/>
  <c r="M122" i="2"/>
  <c r="K122" i="2"/>
  <c r="I122" i="2"/>
  <c r="G122" i="2"/>
  <c r="M121" i="2"/>
  <c r="K121" i="2"/>
  <c r="I121" i="2"/>
  <c r="G121" i="2"/>
  <c r="M120" i="2"/>
  <c r="K120" i="2"/>
  <c r="I120" i="2"/>
  <c r="G120" i="2"/>
  <c r="M119" i="2"/>
  <c r="K119" i="2"/>
  <c r="I119" i="2"/>
  <c r="G119" i="2"/>
  <c r="M118" i="2"/>
  <c r="K118" i="2"/>
  <c r="I118" i="2"/>
  <c r="G118" i="2"/>
  <c r="M117" i="2"/>
  <c r="K117" i="2"/>
  <c r="I117" i="2"/>
  <c r="G117" i="2"/>
  <c r="M116" i="2"/>
  <c r="K116" i="2"/>
  <c r="I116" i="2"/>
  <c r="G116" i="2"/>
  <c r="M115" i="2"/>
  <c r="K115" i="2"/>
  <c r="I115" i="2"/>
  <c r="G115" i="2"/>
  <c r="M114" i="2"/>
  <c r="K114" i="2"/>
  <c r="I114" i="2"/>
  <c r="G114" i="2"/>
  <c r="M113" i="2"/>
  <c r="K113" i="2"/>
  <c r="I113" i="2"/>
  <c r="G113" i="2"/>
  <c r="M112" i="2"/>
  <c r="K112" i="2"/>
  <c r="I112" i="2"/>
  <c r="G112" i="2"/>
  <c r="M111" i="2"/>
  <c r="K111" i="2"/>
  <c r="I111" i="2"/>
  <c r="G111" i="2"/>
  <c r="M110" i="2"/>
  <c r="K110" i="2"/>
  <c r="I110" i="2"/>
  <c r="G110" i="2"/>
  <c r="M109" i="2"/>
  <c r="K109" i="2"/>
  <c r="I109" i="2"/>
  <c r="G109" i="2"/>
  <c r="M108" i="2"/>
  <c r="K108" i="2"/>
  <c r="I108" i="2"/>
  <c r="G108" i="2"/>
  <c r="M107" i="2"/>
  <c r="K107" i="2"/>
  <c r="I107" i="2"/>
  <c r="G107" i="2"/>
  <c r="M106" i="2"/>
  <c r="K106" i="2"/>
  <c r="I106" i="2"/>
  <c r="G106" i="2"/>
  <c r="M105" i="2"/>
  <c r="K105" i="2"/>
  <c r="I105" i="2"/>
  <c r="G105" i="2"/>
  <c r="M104" i="2"/>
  <c r="K104" i="2"/>
  <c r="I104" i="2"/>
  <c r="G104" i="2"/>
  <c r="M103" i="2"/>
  <c r="K103" i="2"/>
  <c r="I103" i="2"/>
  <c r="G103" i="2"/>
  <c r="M102" i="2"/>
  <c r="K102" i="2"/>
  <c r="I102" i="2"/>
  <c r="G102" i="2"/>
  <c r="M101" i="2"/>
  <c r="K101" i="2"/>
  <c r="I101" i="2"/>
  <c r="G101" i="2"/>
  <c r="M100" i="2"/>
  <c r="K100" i="2"/>
  <c r="I100" i="2"/>
  <c r="G100" i="2"/>
  <c r="M99" i="2"/>
  <c r="K99" i="2"/>
  <c r="I99" i="2"/>
  <c r="G99" i="2"/>
  <c r="M98" i="2"/>
  <c r="K98" i="2"/>
  <c r="I98" i="2"/>
  <c r="G98" i="2"/>
  <c r="M97" i="2"/>
  <c r="K97" i="2"/>
  <c r="I97" i="2"/>
  <c r="G97" i="2"/>
  <c r="M96" i="2"/>
  <c r="K96" i="2"/>
  <c r="I96" i="2"/>
  <c r="G96" i="2"/>
  <c r="M95" i="2"/>
  <c r="K95" i="2"/>
  <c r="I95" i="2"/>
  <c r="G95" i="2"/>
  <c r="M94" i="2"/>
  <c r="K94" i="2"/>
  <c r="I94" i="2"/>
  <c r="G94" i="2"/>
  <c r="M93" i="2"/>
  <c r="K93" i="2"/>
  <c r="I93" i="2"/>
  <c r="G93" i="2"/>
  <c r="M92" i="2"/>
  <c r="K92" i="2"/>
  <c r="I92" i="2"/>
  <c r="G92" i="2"/>
  <c r="M91" i="2"/>
  <c r="K91" i="2"/>
  <c r="I91" i="2"/>
  <c r="G91" i="2"/>
  <c r="M90" i="2"/>
  <c r="K90" i="2"/>
  <c r="I90" i="2"/>
  <c r="G90" i="2"/>
  <c r="M89" i="2"/>
  <c r="K89" i="2"/>
  <c r="I89" i="2"/>
  <c r="G89" i="2"/>
  <c r="M88" i="2"/>
  <c r="K88" i="2"/>
  <c r="I88" i="2"/>
  <c r="G88" i="2"/>
  <c r="M87" i="2"/>
  <c r="K87" i="2"/>
  <c r="I87" i="2"/>
  <c r="G87" i="2"/>
  <c r="M86" i="2"/>
  <c r="K86" i="2"/>
  <c r="I86" i="2"/>
  <c r="G86" i="2"/>
  <c r="M85" i="2"/>
  <c r="K85" i="2"/>
  <c r="I85" i="2"/>
  <c r="G85" i="2"/>
  <c r="M84" i="2"/>
  <c r="K84" i="2"/>
  <c r="I84" i="2"/>
  <c r="G84" i="2"/>
  <c r="M83" i="2"/>
  <c r="K83" i="2"/>
  <c r="I83" i="2"/>
  <c r="G83" i="2"/>
  <c r="M82" i="2"/>
  <c r="K82" i="2"/>
  <c r="I82" i="2"/>
  <c r="G82" i="2"/>
  <c r="M81" i="2"/>
  <c r="K81" i="2"/>
  <c r="I81" i="2"/>
  <c r="G81" i="2"/>
  <c r="M80" i="2"/>
  <c r="K80" i="2"/>
  <c r="I80" i="2"/>
  <c r="G80" i="2"/>
  <c r="M79" i="2"/>
  <c r="K79" i="2"/>
  <c r="I79" i="2"/>
  <c r="G79" i="2"/>
  <c r="M78" i="2"/>
  <c r="K78" i="2"/>
  <c r="I78" i="2"/>
  <c r="G78" i="2"/>
  <c r="M77" i="2"/>
  <c r="K77" i="2"/>
  <c r="I77" i="2"/>
  <c r="G77" i="2"/>
  <c r="M76" i="2"/>
  <c r="K76" i="2"/>
  <c r="I76" i="2"/>
  <c r="G76" i="2"/>
  <c r="M75" i="2"/>
  <c r="K75" i="2"/>
  <c r="I75" i="2"/>
  <c r="G75" i="2"/>
  <c r="M74" i="2"/>
  <c r="K74" i="2"/>
  <c r="I74" i="2"/>
  <c r="G74" i="2"/>
  <c r="M73" i="2"/>
  <c r="K73" i="2"/>
  <c r="I73" i="2"/>
  <c r="G73" i="2"/>
  <c r="M72" i="2"/>
  <c r="K72" i="2"/>
  <c r="I72" i="2"/>
  <c r="G72" i="2"/>
  <c r="M71" i="2"/>
  <c r="K71" i="2"/>
  <c r="I71" i="2"/>
  <c r="G71" i="2"/>
  <c r="M70" i="2"/>
  <c r="K70" i="2"/>
  <c r="I70" i="2"/>
  <c r="G70" i="2"/>
  <c r="M69" i="2"/>
  <c r="K69" i="2"/>
  <c r="I69" i="2"/>
  <c r="G69" i="2"/>
  <c r="M68" i="2"/>
  <c r="K68" i="2"/>
  <c r="I68" i="2"/>
  <c r="G68" i="2"/>
  <c r="M67" i="2"/>
  <c r="K67" i="2"/>
  <c r="I67" i="2"/>
  <c r="G67" i="2"/>
  <c r="M66" i="2"/>
  <c r="K66" i="2"/>
  <c r="I66" i="2"/>
  <c r="G66" i="2"/>
  <c r="M65" i="2"/>
  <c r="K65" i="2"/>
  <c r="I65" i="2"/>
  <c r="G65" i="2"/>
  <c r="M64" i="2"/>
  <c r="K64" i="2"/>
  <c r="I64" i="2"/>
  <c r="G64" i="2"/>
  <c r="M63" i="2"/>
  <c r="K63" i="2"/>
  <c r="I63" i="2"/>
  <c r="G63" i="2"/>
  <c r="M62" i="2"/>
  <c r="K62" i="2"/>
  <c r="I62" i="2"/>
  <c r="G62" i="2"/>
  <c r="M61" i="2"/>
  <c r="K61" i="2"/>
  <c r="I61" i="2"/>
  <c r="G61" i="2"/>
  <c r="M60" i="2"/>
  <c r="K60" i="2"/>
  <c r="I60" i="2"/>
  <c r="G60" i="2"/>
  <c r="M59" i="2"/>
  <c r="K59" i="2"/>
  <c r="I59" i="2"/>
  <c r="G59" i="2"/>
  <c r="M58" i="2"/>
  <c r="K58" i="2"/>
  <c r="I58" i="2"/>
  <c r="G58" i="2"/>
  <c r="M57" i="2"/>
  <c r="K57" i="2"/>
  <c r="I57" i="2"/>
  <c r="G57" i="2"/>
  <c r="M56" i="2"/>
  <c r="K56" i="2"/>
  <c r="I56" i="2"/>
  <c r="G56" i="2"/>
  <c r="M55" i="2"/>
  <c r="K55" i="2"/>
  <c r="I55" i="2"/>
  <c r="G55" i="2"/>
  <c r="M54" i="2"/>
  <c r="K54" i="2"/>
  <c r="I54" i="2"/>
  <c r="G54" i="2"/>
  <c r="M53" i="2"/>
  <c r="K53" i="2"/>
  <c r="I53" i="2"/>
  <c r="G53" i="2"/>
  <c r="M52" i="2"/>
  <c r="K52" i="2"/>
  <c r="I52" i="2"/>
  <c r="G52" i="2"/>
  <c r="M51" i="2"/>
  <c r="K51" i="2"/>
  <c r="I51" i="2"/>
  <c r="G51" i="2"/>
  <c r="M50" i="2"/>
  <c r="K50" i="2"/>
  <c r="I50" i="2"/>
  <c r="G50" i="2"/>
  <c r="M49" i="2"/>
  <c r="K49" i="2"/>
  <c r="I49" i="2"/>
  <c r="G49" i="2"/>
  <c r="M48" i="2"/>
  <c r="K48" i="2"/>
  <c r="I48" i="2"/>
  <c r="G48" i="2"/>
  <c r="M47" i="2"/>
  <c r="K47" i="2"/>
  <c r="I47" i="2"/>
  <c r="G47" i="2"/>
  <c r="M46" i="2"/>
  <c r="K46" i="2"/>
  <c r="I46" i="2"/>
  <c r="G46" i="2"/>
  <c r="M45" i="2"/>
  <c r="K45" i="2"/>
  <c r="I45" i="2"/>
  <c r="G45" i="2"/>
  <c r="M44" i="2"/>
  <c r="K44" i="2"/>
  <c r="I44" i="2"/>
  <c r="G44" i="2"/>
  <c r="M43" i="2"/>
  <c r="K43" i="2"/>
  <c r="I43" i="2"/>
  <c r="G43" i="2"/>
  <c r="M42" i="2"/>
  <c r="K42" i="2"/>
  <c r="I42" i="2"/>
  <c r="G42" i="2"/>
  <c r="M41" i="2"/>
  <c r="K41" i="2"/>
  <c r="I41" i="2"/>
  <c r="G41" i="2"/>
  <c r="M40" i="2"/>
  <c r="K40" i="2"/>
  <c r="I40" i="2"/>
  <c r="G40" i="2"/>
  <c r="M39" i="2"/>
  <c r="K39" i="2"/>
  <c r="I39" i="2"/>
  <c r="G39" i="2"/>
  <c r="M38" i="2"/>
  <c r="K38" i="2"/>
  <c r="I38" i="2"/>
  <c r="G38" i="2"/>
  <c r="M37" i="2"/>
  <c r="K37" i="2"/>
  <c r="I37" i="2"/>
  <c r="G37" i="2"/>
  <c r="M36" i="2"/>
  <c r="K36" i="2"/>
  <c r="I36" i="2"/>
  <c r="G36" i="2"/>
  <c r="M35" i="2"/>
  <c r="K35" i="2"/>
  <c r="I35" i="2"/>
  <c r="G35" i="2"/>
  <c r="M34" i="2"/>
  <c r="K34" i="2"/>
  <c r="I34" i="2"/>
  <c r="G34" i="2"/>
  <c r="M33" i="2"/>
  <c r="K33" i="2"/>
  <c r="I33" i="2"/>
  <c r="G33" i="2"/>
  <c r="M32" i="2"/>
  <c r="K32" i="2"/>
  <c r="I32" i="2"/>
  <c r="G32" i="2"/>
  <c r="M31" i="2"/>
  <c r="K31" i="2"/>
  <c r="I31" i="2"/>
  <c r="G31" i="2"/>
  <c r="M30" i="2"/>
  <c r="K30" i="2"/>
  <c r="I30" i="2"/>
  <c r="G30" i="2"/>
  <c r="M29" i="2"/>
  <c r="K29" i="2"/>
  <c r="I29" i="2"/>
  <c r="G29" i="2"/>
  <c r="M28" i="2"/>
  <c r="K28" i="2"/>
  <c r="I28" i="2"/>
  <c r="G28" i="2"/>
  <c r="M27" i="2"/>
  <c r="K27" i="2"/>
  <c r="I27" i="2"/>
  <c r="G27" i="2"/>
  <c r="M26" i="2"/>
  <c r="K26" i="2"/>
  <c r="I26" i="2"/>
  <c r="G26" i="2"/>
  <c r="M25" i="2"/>
  <c r="K25" i="2"/>
  <c r="I25" i="2"/>
  <c r="G25" i="2"/>
  <c r="M24" i="2"/>
  <c r="K24" i="2"/>
  <c r="I24" i="2"/>
  <c r="G24" i="2"/>
  <c r="M23" i="2"/>
  <c r="K23" i="2"/>
  <c r="I23" i="2"/>
  <c r="G23" i="2"/>
  <c r="M22" i="2"/>
  <c r="K22" i="2"/>
  <c r="I22" i="2"/>
  <c r="G22" i="2"/>
  <c r="M21" i="2"/>
  <c r="K21" i="2"/>
  <c r="I21" i="2"/>
  <c r="G21" i="2"/>
  <c r="M20" i="2"/>
  <c r="K20" i="2"/>
  <c r="I20" i="2"/>
  <c r="G20" i="2"/>
  <c r="M19" i="2"/>
  <c r="K19" i="2"/>
  <c r="I19" i="2"/>
  <c r="G19" i="2"/>
  <c r="M18" i="2"/>
  <c r="K18" i="2"/>
  <c r="I18" i="2"/>
  <c r="G18" i="2"/>
  <c r="M17" i="2"/>
  <c r="K17" i="2"/>
  <c r="I17" i="2"/>
  <c r="G17" i="2"/>
  <c r="M16" i="2"/>
  <c r="K16" i="2"/>
  <c r="I16" i="2"/>
  <c r="G16" i="2"/>
  <c r="M15" i="2"/>
  <c r="K15" i="2"/>
  <c r="I15" i="2"/>
  <c r="G15" i="2"/>
  <c r="M14" i="2"/>
  <c r="K14" i="2"/>
  <c r="I14" i="2"/>
  <c r="G14" i="2"/>
  <c r="M13" i="2"/>
  <c r="K13" i="2"/>
  <c r="I13" i="2"/>
  <c r="G13" i="2"/>
  <c r="M12" i="2"/>
  <c r="K12" i="2"/>
  <c r="I12" i="2"/>
  <c r="G12" i="2"/>
  <c r="M11" i="2"/>
  <c r="K11" i="2"/>
  <c r="I11" i="2"/>
  <c r="G11" i="2"/>
  <c r="M10" i="2"/>
  <c r="K10" i="2"/>
  <c r="I10" i="2"/>
  <c r="G10" i="2"/>
  <c r="M9" i="2"/>
  <c r="K9" i="2"/>
  <c r="I9" i="2"/>
  <c r="G9" i="2"/>
  <c r="M8" i="2"/>
  <c r="K8" i="2"/>
  <c r="I8" i="2"/>
  <c r="G8" i="2"/>
  <c r="M7" i="2"/>
  <c r="K7" i="2"/>
  <c r="I7" i="2"/>
  <c r="G7" i="2"/>
  <c r="M6" i="2"/>
  <c r="K6" i="2"/>
  <c r="I6" i="2"/>
  <c r="G6" i="2"/>
  <c r="M5" i="2"/>
  <c r="K5" i="2"/>
  <c r="I5" i="2"/>
  <c r="G5" i="2"/>
  <c r="M4" i="2"/>
  <c r="K4" i="2"/>
  <c r="I4" i="2"/>
  <c r="G4" i="2"/>
  <c r="H19" i="6" a="1"/>
  <c r="H31" i="6" a="1"/>
  <c r="H29" i="6" a="1"/>
  <c r="H6" i="6" a="1"/>
  <c r="H5" i="6" a="1"/>
  <c r="H38" i="6" a="1"/>
  <c r="H12" i="6" a="1"/>
  <c r="H18" i="6" a="1"/>
  <c r="H37" i="6" a="1"/>
  <c r="H16" i="6" a="1"/>
  <c r="H10" i="6" a="1"/>
  <c r="H25" i="6" a="1"/>
  <c r="H14" i="6" a="1"/>
  <c r="H1" i="6" a="1"/>
  <c r="H17" i="6" a="1"/>
  <c r="H34" i="6" a="1"/>
  <c r="H33" i="6" a="1"/>
  <c r="H24" i="6" a="1"/>
  <c r="H40" i="6" a="1"/>
  <c r="H21" i="6" a="1"/>
  <c r="H23" i="6" a="1"/>
  <c r="H41" i="6" a="1"/>
  <c r="H4" i="6" a="1"/>
  <c r="H30" i="6" a="1"/>
  <c r="H13" i="6" a="1"/>
  <c r="H3" i="6" a="1"/>
  <c r="H9" i="6" a="1"/>
  <c r="H15" i="6" a="1"/>
  <c r="H7" i="6" a="1"/>
  <c r="H35" i="6" a="1"/>
  <c r="H36" i="6" a="1"/>
  <c r="H27" i="6" a="1"/>
  <c r="H39" i="6" a="1"/>
  <c r="H26" i="6" a="1"/>
  <c r="H22" i="6" a="1"/>
  <c r="H11" i="6" a="1"/>
  <c r="H28" i="6" a="1"/>
  <c r="H20" i="6" a="1"/>
  <c r="H32" i="6" a="1"/>
  <c r="L2" i="7" l="1"/>
  <c r="M12" i="7"/>
  <c r="L34" i="7"/>
  <c r="K26" i="7"/>
  <c r="L26" i="7" s="1"/>
  <c r="K18" i="7"/>
  <c r="L18" i="7" s="1"/>
  <c r="K27" i="7"/>
  <c r="L27" i="7" s="1"/>
  <c r="K25" i="7"/>
  <c r="L25" i="7" s="1"/>
  <c r="K24" i="7"/>
  <c r="L24" i="7" s="1"/>
  <c r="K23" i="7"/>
  <c r="L23" i="7" s="1"/>
  <c r="K22" i="7"/>
  <c r="L22" i="7" s="1"/>
  <c r="K33" i="7"/>
  <c r="L33" i="7" s="1"/>
  <c r="K21" i="7"/>
  <c r="L21" i="7" s="1"/>
  <c r="K32" i="7"/>
  <c r="L32" i="7" s="1"/>
  <c r="K20" i="7"/>
  <c r="L20" i="7" s="1"/>
  <c r="K31" i="7"/>
  <c r="L31" i="7" s="1"/>
  <c r="K19" i="7"/>
  <c r="L19" i="7" s="1"/>
  <c r="K30" i="7"/>
  <c r="L30" i="7" s="1"/>
  <c r="K29" i="7"/>
  <c r="L29" i="7" s="1"/>
  <c r="K17" i="7"/>
  <c r="L17" i="7" s="1"/>
  <c r="K28" i="7"/>
  <c r="L28" i="7" s="1"/>
  <c r="K16" i="7"/>
  <c r="L16" i="7" s="1"/>
  <c r="K15" i="7"/>
  <c r="L15" i="7" s="1"/>
  <c r="M44" i="6"/>
  <c r="L44" i="6"/>
  <c r="J44" i="6"/>
  <c r="K44" i="6"/>
  <c r="I44" i="6"/>
  <c r="H40" i="6"/>
  <c r="H9" i="6"/>
  <c r="H21" i="6"/>
  <c r="H38" i="6"/>
  <c r="H32" i="6"/>
  <c r="H26" i="6"/>
  <c r="H20" i="6"/>
  <c r="H14" i="6"/>
  <c r="H27" i="6"/>
  <c r="H33" i="6"/>
  <c r="H37" i="6"/>
  <c r="H25" i="6"/>
  <c r="H19" i="6"/>
  <c r="H13" i="6"/>
  <c r="H7" i="6"/>
  <c r="H15" i="6"/>
  <c r="H31" i="6"/>
  <c r="H36" i="6"/>
  <c r="H30" i="6"/>
  <c r="H24" i="6"/>
  <c r="H18" i="6"/>
  <c r="H12" i="6"/>
  <c r="H6" i="6"/>
  <c r="H39" i="6"/>
  <c r="H41" i="6"/>
  <c r="H35" i="6"/>
  <c r="H29" i="6"/>
  <c r="H23" i="6"/>
  <c r="H17" i="6"/>
  <c r="H11" i="6"/>
  <c r="H5" i="6"/>
  <c r="H34" i="6"/>
  <c r="H28" i="6"/>
  <c r="H22" i="6"/>
  <c r="H16" i="6"/>
  <c r="H10" i="6"/>
  <c r="H4" i="6"/>
  <c r="H3" i="6"/>
  <c r="H1" i="6"/>
  <c r="B49" i="6"/>
  <c r="S5" i="1"/>
  <c r="S6" i="1"/>
  <c r="S7" i="1"/>
  <c r="D15" i="7" l="1"/>
  <c r="M35" i="7" s="1"/>
  <c r="B39" i="7" s="1"/>
  <c r="J45" i="6"/>
  <c r="M45" i="6"/>
  <c r="L45" i="6"/>
  <c r="I45" i="6"/>
  <c r="K45" i="6"/>
  <c r="H44" i="6"/>
  <c r="B51" i="6"/>
  <c r="E51" i="6" s="1"/>
  <c r="E49" i="6"/>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4" i="3"/>
  <c r="C576" i="3"/>
  <c r="C575" i="3"/>
  <c r="C574" i="3"/>
  <c r="C573" i="3"/>
  <c r="C572" i="3"/>
  <c r="C571" i="3"/>
  <c r="C570" i="3"/>
  <c r="C569" i="3"/>
  <c r="C568" i="3"/>
  <c r="C567" i="3"/>
  <c r="C566" i="3"/>
  <c r="C565" i="3"/>
  <c r="C564" i="3"/>
  <c r="C563" i="3"/>
  <c r="C562" i="3"/>
  <c r="C561" i="3"/>
  <c r="C560" i="3"/>
  <c r="C559" i="3"/>
  <c r="C558" i="3"/>
  <c r="C557" i="3"/>
  <c r="C556" i="3"/>
  <c r="C555" i="3"/>
  <c r="C554" i="3"/>
  <c r="C553" i="3"/>
  <c r="C552" i="3"/>
  <c r="C551" i="3"/>
  <c r="C550" i="3"/>
  <c r="C549" i="3"/>
  <c r="C548" i="3"/>
  <c r="C547" i="3"/>
  <c r="C546" i="3"/>
  <c r="C545" i="3"/>
  <c r="C544" i="3"/>
  <c r="C543" i="3"/>
  <c r="C542" i="3"/>
  <c r="C541" i="3"/>
  <c r="C540" i="3"/>
  <c r="C539" i="3"/>
  <c r="C538" i="3"/>
  <c r="C537" i="3"/>
  <c r="C536" i="3"/>
  <c r="C535" i="3"/>
  <c r="C534" i="3"/>
  <c r="C533" i="3"/>
  <c r="C532" i="3"/>
  <c r="C531" i="3"/>
  <c r="C530" i="3"/>
  <c r="C529" i="3"/>
  <c r="C528" i="3"/>
  <c r="C527" i="3"/>
  <c r="C526" i="3"/>
  <c r="C525" i="3"/>
  <c r="C524" i="3"/>
  <c r="C523" i="3"/>
  <c r="C522" i="3"/>
  <c r="C521" i="3"/>
  <c r="C520" i="3"/>
  <c r="C519" i="3"/>
  <c r="C518" i="3"/>
  <c r="C517" i="3"/>
  <c r="C516" i="3"/>
  <c r="C515" i="3"/>
  <c r="C514" i="3"/>
  <c r="C513" i="3"/>
  <c r="C512" i="3"/>
  <c r="C511" i="3"/>
  <c r="C510" i="3"/>
  <c r="C509" i="3"/>
  <c r="C508" i="3"/>
  <c r="C507" i="3"/>
  <c r="C506" i="3"/>
  <c r="C505" i="3"/>
  <c r="C504" i="3"/>
  <c r="C503" i="3"/>
  <c r="C502" i="3"/>
  <c r="C501" i="3"/>
  <c r="C500" i="3"/>
  <c r="C499" i="3"/>
  <c r="C498" i="3"/>
  <c r="C497" i="3"/>
  <c r="C496" i="3"/>
  <c r="C495" i="3"/>
  <c r="C494" i="3"/>
  <c r="C493" i="3"/>
  <c r="C492" i="3"/>
  <c r="C491" i="3"/>
  <c r="C490" i="3"/>
  <c r="C489" i="3"/>
  <c r="C488" i="3"/>
  <c r="C487" i="3"/>
  <c r="C486" i="3"/>
  <c r="C485" i="3"/>
  <c r="C484" i="3"/>
  <c r="C483" i="3"/>
  <c r="C482" i="3"/>
  <c r="C481" i="3"/>
  <c r="C480" i="3"/>
  <c r="C479" i="3"/>
  <c r="C478" i="3"/>
  <c r="C477" i="3"/>
  <c r="C476" i="3"/>
  <c r="C475" i="3"/>
  <c r="C474" i="3"/>
  <c r="C473" i="3"/>
  <c r="C472" i="3"/>
  <c r="C471" i="3"/>
  <c r="C470" i="3"/>
  <c r="C469" i="3"/>
  <c r="C468" i="3"/>
  <c r="C467" i="3"/>
  <c r="C466" i="3"/>
  <c r="C465" i="3"/>
  <c r="C464" i="3"/>
  <c r="C463" i="3"/>
  <c r="C462" i="3"/>
  <c r="C461" i="3"/>
  <c r="C460" i="3"/>
  <c r="C459" i="3"/>
  <c r="C458" i="3"/>
  <c r="C457" i="3"/>
  <c r="C456" i="3"/>
  <c r="C455" i="3"/>
  <c r="C454" i="3"/>
  <c r="C453" i="3"/>
  <c r="C452" i="3"/>
  <c r="C451" i="3"/>
  <c r="C450" i="3"/>
  <c r="C449" i="3"/>
  <c r="C448" i="3"/>
  <c r="C447" i="3"/>
  <c r="C446" i="3"/>
  <c r="C445" i="3"/>
  <c r="C444" i="3"/>
  <c r="C443" i="3"/>
  <c r="C442" i="3"/>
  <c r="C441" i="3"/>
  <c r="C440" i="3"/>
  <c r="C439" i="3"/>
  <c r="C438" i="3"/>
  <c r="C437" i="3"/>
  <c r="C436" i="3"/>
  <c r="C435" i="3"/>
  <c r="C434" i="3"/>
  <c r="C433" i="3"/>
  <c r="C432" i="3"/>
  <c r="C431" i="3"/>
  <c r="C430" i="3"/>
  <c r="C429" i="3"/>
  <c r="C428" i="3"/>
  <c r="C427" i="3"/>
  <c r="C426" i="3"/>
  <c r="C425" i="3"/>
  <c r="C424" i="3"/>
  <c r="C423" i="3"/>
  <c r="C422" i="3"/>
  <c r="C421" i="3"/>
  <c r="C420" i="3"/>
  <c r="C419" i="3"/>
  <c r="C418" i="3"/>
  <c r="C417" i="3"/>
  <c r="C416" i="3"/>
  <c r="C415" i="3"/>
  <c r="C414" i="3"/>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Q8" i="1"/>
  <c r="Q7" i="1"/>
  <c r="Q6" i="1"/>
  <c r="Q5" i="1"/>
  <c r="P8" i="1"/>
  <c r="P7" i="1"/>
  <c r="P6" i="1"/>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4" i="1"/>
  <c r="U48" i="6" l="1"/>
  <c r="U49" i="6" s="1"/>
  <c r="U50" i="6" s="1"/>
  <c r="T48" i="6"/>
  <c r="T49" i="6" s="1"/>
  <c r="T50" i="6" s="1"/>
  <c r="S48" i="6"/>
  <c r="S49" i="6" s="1"/>
  <c r="S50" i="6" s="1"/>
  <c r="P48" i="6"/>
  <c r="P49" i="6" s="1"/>
  <c r="P50" i="6" s="1"/>
  <c r="R48" i="6"/>
  <c r="R49" i="6" s="1"/>
  <c r="R50" i="6" s="1"/>
  <c r="Q48" i="6"/>
  <c r="Q49" i="6" s="1"/>
  <c r="Q50" i="6" s="1"/>
  <c r="H45" i="6"/>
  <c r="M48" i="6"/>
  <c r="M49" i="6" s="1"/>
  <c r="M50" i="6" s="1"/>
  <c r="J48" i="6"/>
  <c r="J49" i="6" s="1"/>
  <c r="J50" i="6" s="1"/>
  <c r="L48" i="6"/>
  <c r="L49" i="6" s="1"/>
  <c r="L50" i="6" s="1"/>
  <c r="K48" i="6"/>
  <c r="K49" i="6" s="1"/>
  <c r="K50" i="6" s="1"/>
  <c r="I48" i="6"/>
  <c r="I49" i="6" s="1"/>
  <c r="I50" i="6" s="1"/>
  <c r="H48" i="6"/>
  <c r="H49" i="6" s="1"/>
  <c r="H50" i="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7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72"/>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futureMetadata>
  <futureMetadata name="XLDAPR" count="1">
    <bk>
      <extLst>
        <ext uri="{bdbb8cdc-fa1e-496e-a857-3c3f30c029c3}">
          <xda:dynamicArrayProperties fDynamic="1" fCollapsed="0"/>
        </ext>
      </extLst>
    </bk>
  </futureMetadata>
  <cellMetadata count="1">
    <bk>
      <rc t="2" v="0"/>
    </bk>
  </cellMetadata>
  <valueMetadata count="27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valueMetadata>
</metadata>
</file>

<file path=xl/sharedStrings.xml><?xml version="1.0" encoding="utf-8"?>
<sst xmlns="http://schemas.openxmlformats.org/spreadsheetml/2006/main" count="166" uniqueCount="111">
  <si>
    <t>Date</t>
  </si>
  <si>
    <t xml:space="preserve">Conevntional Gasoline </t>
  </si>
  <si>
    <t>Weekly New York Harbor Conventional Gasoline Regular Spot Price FOB  (Dollars per Gallon)</t>
  </si>
  <si>
    <t>∆s</t>
  </si>
  <si>
    <t>Weekly New York Harbor Reformulated RBOB Regular Gasoline Future Contract 4  (Dollars per Gallon)</t>
  </si>
  <si>
    <t>Weekly New York Harbor Reformulated RBOB Regular Gasoline Future Contract 3  (Dollars per Gallon)</t>
  </si>
  <si>
    <t>RBOB Gasoline</t>
  </si>
  <si>
    <t>∆f1</t>
  </si>
  <si>
    <t>Weekly New York Harbor Reformulated RBOB Regular Gasoline Future Contract 1  (Dollars per Gallon)</t>
  </si>
  <si>
    <t>Weekly New York Harbor Reformulated RBOB Regular Gasoline Future Contract 2  (Dollars per Gallon)</t>
  </si>
  <si>
    <t>∆f2</t>
  </si>
  <si>
    <t>∆f3</t>
  </si>
  <si>
    <t>∆f4</t>
  </si>
  <si>
    <t>Standard deviations</t>
  </si>
  <si>
    <t>Future contract 1</t>
  </si>
  <si>
    <t>Future contract 4</t>
  </si>
  <si>
    <t>Future contract 3</t>
  </si>
  <si>
    <t>Future contract 2</t>
  </si>
  <si>
    <t>Correlation with Conventional gasoline</t>
  </si>
  <si>
    <t xml:space="preserve">Minimum hedge ratio </t>
  </si>
  <si>
    <t>Weekly New York Harbor No. 2 Heating Oil Future Contract 1  (Dollars per Gallon)</t>
  </si>
  <si>
    <t>Weekly New York Harbor No. 2 Heating Oil Future Contract 2  (Dollars per Gallon)</t>
  </si>
  <si>
    <t>Weekly New York Harbor No. 2 Heating Oil Future Contract 3  (Dollars per Gallon)</t>
  </si>
  <si>
    <t>Weekly New York Harbor No. 2 Heating Oil Future Contract 4  (Dollars per Gallon)</t>
  </si>
  <si>
    <t>Heating oil</t>
  </si>
  <si>
    <t>Weekly Cushing, OK Crude Oil Future Contract 1  (Dollars per Barrel)</t>
  </si>
  <si>
    <t>Weekly Cushing, OK Crude Oil Future Contract 2  (Dollars per Barrel)</t>
  </si>
  <si>
    <t>Weekly Cushing, OK Crude Oil Future Contract 3  (Dollars per Barrel)</t>
  </si>
  <si>
    <t>Weekly Cushing, OK Crude Oil Future Contract 4  (Dollars per Barrel)</t>
  </si>
  <si>
    <t>Crude oil</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</si>
  <si>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</si>
  <si>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</si>
  <si>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</si>
  <si>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</si>
  <si>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</si>
  <si>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</si>
  <si>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</si>
  <si>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</si>
  <si>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</si>
  <si>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</si>
  <si>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</si>
  <si>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</si>
  <si>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</si>
  <si>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</si>
  <si>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</si>
  <si>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</si>
  <si>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</si>
  <si>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</si>
  <si>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</si>
  <si>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</si>
  <si>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</si>
  <si>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</si>
  <si>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</si>
  <si>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</si>
  <si>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</si>
  <si>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Correlation with Heating oil</t>
  </si>
  <si>
    <t>Correlation with crude oil</t>
  </si>
  <si>
    <t xml:space="preserve">Weekly New York Harbor Reformulated RBOB Regular Gasoline Future Contract 1  (Dollars per Gallon) is chosen. </t>
  </si>
  <si>
    <t>Adjusted R square is 0.756589676 which is the closest to 1 form all other future contracts, hence this is the futures contract with highest hedge effectivness.</t>
  </si>
  <si>
    <t>Regression equation:</t>
  </si>
  <si>
    <r>
      <rPr>
        <sz val="11"/>
        <color theme="1"/>
        <rFont val="Calibri"/>
        <family val="2"/>
      </rPr>
      <t>∆</t>
    </r>
    <r>
      <rPr>
        <sz val="11"/>
        <color theme="1"/>
        <rFont val="Calibri"/>
        <family val="2"/>
        <scheme val="minor"/>
      </rPr>
      <t xml:space="preserve">s= 0.837961184 ∆f + 0.000121173 </t>
    </r>
  </si>
  <si>
    <t>Ticker</t>
  </si>
  <si>
    <t>Price on Januruary 31, 2022</t>
  </si>
  <si>
    <t>β</t>
  </si>
  <si>
    <t>Number of stocks</t>
  </si>
  <si>
    <t>Value</t>
  </si>
  <si>
    <t>Weight of portfolio</t>
  </si>
  <si>
    <r>
      <t xml:space="preserve">Portfolio </t>
    </r>
    <r>
      <rPr>
        <b/>
        <sz val="11"/>
        <color theme="1"/>
        <rFont val="Calibri"/>
        <family val="2"/>
      </rPr>
      <t>β</t>
    </r>
    <r>
      <rPr>
        <b/>
        <sz val="11"/>
        <color theme="1"/>
        <rFont val="Calibri"/>
        <family val="2"/>
        <scheme val="minor"/>
      </rPr>
      <t>:</t>
    </r>
  </si>
  <si>
    <t>Portfolio value</t>
  </si>
  <si>
    <t>N*</t>
  </si>
  <si>
    <t>Doubled N*</t>
  </si>
  <si>
    <t xml:space="preserve">$     114.27	</t>
  </si>
  <si>
    <t xml:space="preserve">$115.65	</t>
  </si>
  <si>
    <t xml:space="preserve">$113.83	</t>
  </si>
  <si>
    <t xml:space="preserve">$112.37	</t>
  </si>
  <si>
    <t xml:space="preserve"> $117.69		</t>
  </si>
  <si>
    <t xml:space="preserve">$   121.47	</t>
  </si>
  <si>
    <t>E-mini S&amp;P 500 on 31 JAN</t>
  </si>
  <si>
    <t>Future price on Jan 31</t>
  </si>
  <si>
    <t>Future prices in the future</t>
  </si>
  <si>
    <t>Total Porfolio value (No dividends)</t>
  </si>
  <si>
    <t>Gains on Futures</t>
  </si>
  <si>
    <t>Total position value</t>
  </si>
  <si>
    <t>Returns on portoflio only (No dividends)</t>
  </si>
  <si>
    <t>2022-02-14</t>
  </si>
  <si>
    <t>2022-02-15</t>
  </si>
  <si>
    <t>2022-02-16</t>
  </si>
  <si>
    <t>2022-02-17</t>
  </si>
  <si>
    <t>2022-02-18</t>
  </si>
  <si>
    <t>2022-02-22</t>
  </si>
  <si>
    <t>N</t>
  </si>
  <si>
    <t>β*:</t>
  </si>
  <si>
    <t xml:space="preserve">Returns </t>
  </si>
  <si>
    <t>Amount of unleaded oil needed</t>
  </si>
  <si>
    <t>RBOB Future size</t>
  </si>
  <si>
    <t>Total gains hedged (approximated)</t>
  </si>
  <si>
    <t>Total gain unhedged</t>
  </si>
  <si>
    <t>MORGAN STANLEY</t>
  </si>
  <si>
    <t xml:space="preserve">MS.WA </t>
  </si>
  <si>
    <t>Price(Approx)</t>
  </si>
  <si>
    <t>ytm(Approximate)</t>
  </si>
  <si>
    <t>Face Value</t>
  </si>
  <si>
    <t>Coupon rate</t>
  </si>
  <si>
    <t>ytm continous</t>
  </si>
  <si>
    <t>year</t>
  </si>
  <si>
    <t xml:space="preserve">PV of coupons </t>
  </si>
  <si>
    <t>T Bills</t>
  </si>
  <si>
    <t>Duration</t>
  </si>
  <si>
    <t>Coupon rate semi annually</t>
  </si>
  <si>
    <t>Total price after increase in interest rate</t>
  </si>
  <si>
    <t>Bond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</si>
</sst>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mmm\ dd\,\ yyyy"/>
    <numFmt numFmtId="165" formatCode="_-[$$-409]* #,##0.00_ ;_-[$$-409]* \-#,##0.00\ ;_-[$$-409]* &quot;-&quot;??_ ;_-@_ "/>
  </numFmts>
  <fonts count="14" x14ac:knownFonts="1">
    <font>
      <sz val="11"/>
      <color theme="1"/>
      <name val="Calibri"/>
      <family val="2"/>
      <scheme val="minor"/>
    </font>
    <font>
      <b/>
      <sz val="11"/>
      <color theme="1"/>
      <name val="Calibri"/>
      <family val="2"/>
      <scheme val="minor"/>
    </font>
    <font>
      <sz val="10"/>
      <name val="Arial"/>
    </font>
    <font>
      <sz val="10"/>
      <name val="Arial"/>
      <family val="2"/>
    </font>
    <font>
      <b/>
      <sz val="10"/>
      <name val="Arial"/>
    </font>
    <font>
      <u/>
      <sz val="10"/>
      <color indexed="12"/>
      <name val="Arial"/>
      <family val="2"/>
    </font>
    <font>
      <b/>
      <sz val="10"/>
      <name val="Arial"/>
      <family val="2"/>
    </font>
    <font>
      <b/>
      <sz val="11"/>
      <color theme="1"/>
      <name val="Calibri"/>
      <family val="2"/>
    </font>
    <font>
      <i/>
      <sz val="11"/>
      <color theme="1"/>
      <name val="Calibri"/>
      <family val="2"/>
      <scheme val="minor"/>
    </font>
    <font>
      <sz val="11"/>
      <color theme="1"/>
      <name val="Calibri"/>
      <family val="2"/>
    </font>
    <font>
      <sz val="11"/>
      <color theme="1"/>
      <name val="Calibri"/>
      <family val="2"/>
      <scheme val="minor"/>
    </font>
    <font>
      <sz val="11"/>
      <color rgb="FFFF0000"/>
      <name val="Calibri"/>
      <family val="2"/>
      <scheme val="minor"/>
    </font>
    <font>
      <b/>
      <sz val="11"/>
      <color theme="4"/>
      <name val="Calibri"/>
      <family val="2"/>
      <scheme val="minor"/>
    </font>
    <font>
      <sz val="11"/>
      <color theme="4"/>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5"/>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6">
    <xf numFmtId="0" fontId="0" fillId="0" borderId="0"/>
    <xf numFmtId="0" fontId="2" fillId="0" borderId="0"/>
    <xf numFmtId="0" fontId="3" fillId="0" borderId="0"/>
    <xf numFmtId="0" fontId="5" fillId="0" borderId="0" applyNumberFormat="0" applyFill="0" applyBorder="0" applyAlignment="0" applyProtection="0">
      <alignment vertical="top"/>
      <protection locked="0"/>
    </xf>
    <xf numFmtId="44" fontId="10" fillId="0" borderId="0" applyFont="0" applyFill="0" applyBorder="0" applyAlignment="0" applyProtection="0"/>
    <xf numFmtId="9" fontId="10" fillId="0" borderId="0" applyFont="0" applyFill="0" applyBorder="0" applyAlignment="0" applyProtection="0"/>
  </cellStyleXfs>
  <cellXfs count="76">
    <xf numFmtId="0" fontId="0" fillId="0" borderId="0" xfId="0"/>
    <xf numFmtId="0" fontId="4" fillId="0" borderId="0" xfId="1" applyFont="1" applyAlignment="1">
      <alignment horizontal="center" wrapText="1"/>
    </xf>
    <xf numFmtId="0" fontId="1" fillId="0" borderId="0" xfId="0" applyFont="1"/>
    <xf numFmtId="0" fontId="6" fillId="0" borderId="0" xfId="2" applyFont="1" applyAlignment="1">
      <alignment wrapText="1"/>
    </xf>
    <xf numFmtId="0" fontId="3" fillId="0" borderId="0" xfId="2"/>
    <xf numFmtId="164" fontId="3" fillId="0" borderId="0" xfId="2" applyNumberFormat="1"/>
    <xf numFmtId="0" fontId="0" fillId="2" borderId="0" xfId="0" applyFill="1"/>
    <xf numFmtId="0" fontId="3" fillId="0" borderId="0" xfId="2"/>
    <xf numFmtId="0" fontId="6" fillId="0" borderId="0" xfId="2" applyFont="1" applyAlignment="1">
      <alignment wrapText="1"/>
    </xf>
    <xf numFmtId="0" fontId="6" fillId="0" borderId="0" xfId="2" applyFont="1" applyAlignment="1">
      <alignment wrapText="1"/>
    </xf>
    <xf numFmtId="0" fontId="3" fillId="0" borderId="0" xfId="2"/>
    <xf numFmtId="164" fontId="3" fillId="0" borderId="0" xfId="2" applyNumberFormat="1"/>
    <xf numFmtId="0" fontId="0" fillId="3" borderId="0" xfId="0" applyFill="1"/>
    <xf numFmtId="0" fontId="6" fillId="3" borderId="0" xfId="2" applyFont="1" applyFill="1" applyAlignment="1">
      <alignment wrapText="1"/>
    </xf>
    <xf numFmtId="0" fontId="7" fillId="3" borderId="0" xfId="0" applyFont="1" applyFill="1"/>
    <xf numFmtId="0" fontId="3" fillId="3" borderId="0" xfId="2" applyFill="1"/>
    <xf numFmtId="0" fontId="0" fillId="0" borderId="0" xfId="0" applyFont="1"/>
    <xf numFmtId="0" fontId="1" fillId="3" borderId="0" xfId="0" applyFont="1" applyFill="1"/>
    <xf numFmtId="0" fontId="2" fillId="0" borderId="0" xfId="1"/>
    <xf numFmtId="0" fontId="4" fillId="0" borderId="0" xfId="1" applyFont="1" applyAlignment="1">
      <alignment horizontal="center" wrapText="1"/>
    </xf>
    <xf numFmtId="164" fontId="2" fillId="0" borderId="0" xfId="1" applyNumberFormat="1"/>
    <xf numFmtId="0" fontId="3" fillId="0" borderId="0" xfId="2"/>
    <xf numFmtId="0" fontId="6" fillId="0" borderId="0" xfId="2" applyFont="1" applyAlignment="1">
      <alignment wrapText="1"/>
    </xf>
    <xf numFmtId="164" fontId="3" fillId="0" borderId="0" xfId="2" applyNumberFormat="1"/>
    <xf numFmtId="0" fontId="6" fillId="0" borderId="0" xfId="2" applyFont="1" applyAlignment="1">
      <alignment wrapText="1"/>
    </xf>
    <xf numFmtId="0" fontId="6" fillId="0" borderId="0" xfId="2" applyFont="1" applyAlignment="1">
      <alignment wrapText="1"/>
    </xf>
    <xf numFmtId="0" fontId="6" fillId="0" borderId="0" xfId="2" applyFont="1" applyAlignment="1">
      <alignment wrapText="1"/>
    </xf>
    <xf numFmtId="0" fontId="6" fillId="0" borderId="0" xfId="2" applyFont="1" applyAlignment="1">
      <alignment wrapText="1"/>
    </xf>
    <xf numFmtId="0" fontId="0" fillId="0" borderId="0" xfId="0" applyFill="1" applyBorder="1" applyAlignment="1"/>
    <xf numFmtId="0" fontId="0" fillId="0" borderId="1" xfId="0" applyFill="1" applyBorder="1" applyAlignment="1"/>
    <xf numFmtId="0" fontId="8" fillId="0" borderId="2" xfId="0" applyFont="1" applyFill="1" applyBorder="1" applyAlignment="1">
      <alignment horizontal="center"/>
    </xf>
    <xf numFmtId="0" fontId="8" fillId="0" borderId="2" xfId="0" applyFont="1" applyFill="1" applyBorder="1" applyAlignment="1">
      <alignment horizontal="centerContinuous"/>
    </xf>
    <xf numFmtId="0" fontId="1" fillId="2" borderId="0" xfId="0" applyFont="1" applyFill="1"/>
    <xf numFmtId="0" fontId="6" fillId="4" borderId="0" xfId="1" applyFont="1" applyFill="1" applyAlignment="1">
      <alignment horizontal="center" wrapText="1"/>
    </xf>
    <xf numFmtId="0" fontId="0" fillId="4" borderId="0" xfId="0" applyFill="1"/>
    <xf numFmtId="0" fontId="4" fillId="4" borderId="0" xfId="1" applyFont="1" applyFill="1" applyAlignment="1">
      <alignment horizontal="center" wrapText="1"/>
    </xf>
    <xf numFmtId="0" fontId="6" fillId="4" borderId="0" xfId="2" applyFont="1" applyFill="1" applyAlignment="1">
      <alignment wrapText="1"/>
    </xf>
    <xf numFmtId="164" fontId="3" fillId="4" borderId="0" xfId="2" applyNumberFormat="1" applyFill="1"/>
    <xf numFmtId="0" fontId="3" fillId="4" borderId="0" xfId="2" applyFill="1"/>
    <xf numFmtId="0" fontId="3" fillId="0" borderId="0" xfId="2" applyFont="1" applyFill="1" applyAlignment="1">
      <alignment wrapText="1"/>
    </xf>
    <xf numFmtId="0" fontId="6" fillId="0" borderId="0" xfId="2" applyFont="1" applyAlignment="1">
      <alignment wrapText="1"/>
    </xf>
    <xf numFmtId="0" fontId="0" fillId="0" borderId="0" xfId="0" applyAlignment="1">
      <alignment vertical="center" wrapText="1"/>
    </xf>
    <xf numFmtId="4" fontId="0" fillId="0" borderId="0" xfId="0" applyNumberFormat="1"/>
    <xf numFmtId="0" fontId="7" fillId="2" borderId="0" xfId="0" applyFont="1" applyFill="1" applyAlignment="1">
      <alignment horizontal="right"/>
    </xf>
    <xf numFmtId="0" fontId="7" fillId="2" borderId="0" xfId="0" applyFont="1" applyFill="1"/>
    <xf numFmtId="0" fontId="0" fillId="2" borderId="0" xfId="0" applyFill="1" applyAlignment="1">
      <alignment vertical="center" wrapText="1"/>
    </xf>
    <xf numFmtId="0" fontId="0" fillId="2" borderId="0" xfId="0" applyFont="1" applyFill="1"/>
    <xf numFmtId="4" fontId="0" fillId="2" borderId="0" xfId="0" applyNumberFormat="1" applyFill="1"/>
    <xf numFmtId="4" fontId="0" fillId="2" borderId="0" xfId="0" applyNumberFormat="1" applyFill="1" applyAlignment="1">
      <alignment vertical="center" wrapText="1"/>
    </xf>
    <xf numFmtId="0" fontId="0" fillId="2" borderId="0" xfId="0" applyFill="1" applyAlignment="1">
      <alignment horizontal="right"/>
    </xf>
    <xf numFmtId="0" fontId="1" fillId="5" borderId="0" xfId="0" applyFont="1" applyFill="1"/>
    <xf numFmtId="0" fontId="0" fillId="5" borderId="0" xfId="0" applyFill="1"/>
    <xf numFmtId="0" fontId="1" fillId="0" borderId="0" xfId="0" applyFont="1" applyAlignment="1">
      <alignment vertical="center"/>
    </xf>
    <xf numFmtId="44" fontId="0" fillId="0" borderId="0" xfId="4" applyFont="1" applyAlignment="1">
      <alignment horizontal="right"/>
    </xf>
    <xf numFmtId="44" fontId="0" fillId="0" borderId="0" xfId="4" applyFont="1" applyAlignment="1">
      <alignment horizontal="left" vertical="top"/>
    </xf>
    <xf numFmtId="44" fontId="9" fillId="0" borderId="0" xfId="4" applyFont="1" applyAlignment="1">
      <alignment horizontal="left" vertical="top"/>
    </xf>
    <xf numFmtId="44" fontId="0" fillId="0" borderId="0" xfId="4" applyFont="1" applyAlignment="1">
      <alignment horizontal="left" vertical="top" wrapText="1"/>
    </xf>
    <xf numFmtId="165" fontId="0" fillId="0" borderId="0" xfId="4" applyNumberFormat="1" applyFont="1" applyAlignment="1">
      <alignment horizontal="right"/>
    </xf>
    <xf numFmtId="0" fontId="0" fillId="0" borderId="0" xfId="0" applyNumberFormat="1"/>
    <xf numFmtId="2" fontId="0" fillId="0" borderId="0" xfId="0" applyNumberFormat="1"/>
    <xf numFmtId="2" fontId="0" fillId="0" borderId="0" xfId="0" applyNumberFormat="1" applyAlignment="1">
      <alignment horizontal="right"/>
    </xf>
    <xf numFmtId="9" fontId="0" fillId="0" borderId="0" xfId="5" applyFont="1"/>
    <xf numFmtId="4" fontId="0" fillId="0" borderId="0" xfId="0" applyNumberFormat="1" applyAlignment="1">
      <alignment vertical="center" wrapText="1"/>
    </xf>
    <xf numFmtId="0" fontId="0" fillId="0" borderId="0" xfId="0" applyAlignment="1">
      <alignment horizontal="right" vertical="center" wrapText="1"/>
    </xf>
    <xf numFmtId="2" fontId="0" fillId="0" borderId="0" xfId="0" applyNumberFormat="1" applyAlignment="1">
      <alignment horizontal="right" wrapText="1"/>
    </xf>
    <xf numFmtId="4" fontId="0" fillId="0" borderId="0" xfId="0" applyNumberFormat="1" applyFont="1" applyAlignment="1">
      <alignment horizontal="right"/>
    </xf>
    <xf numFmtId="14" fontId="1" fillId="0" borderId="0" xfId="0" applyNumberFormat="1" applyFont="1"/>
    <xf numFmtId="14" fontId="1" fillId="0" borderId="0" xfId="0" applyNumberFormat="1" applyFont="1" applyAlignment="1">
      <alignment vertical="center" wrapText="1"/>
    </xf>
    <xf numFmtId="0" fontId="11" fillId="0" borderId="0" xfId="0" applyFont="1"/>
    <xf numFmtId="164" fontId="3" fillId="0" borderId="0" xfId="2" applyNumberFormat="1"/>
    <xf numFmtId="0" fontId="3" fillId="0" borderId="0" xfId="2"/>
    <xf numFmtId="0" fontId="3" fillId="0" borderId="0" xfId="2"/>
    <xf numFmtId="164" fontId="3" fillId="0" borderId="0" xfId="2" applyNumberFormat="1"/>
    <xf numFmtId="0" fontId="1" fillId="0" borderId="0" xfId="0" applyFont="1" applyAlignment="1">
      <alignment wrapText="1"/>
    </xf>
    <xf numFmtId="0" fontId="12" fillId="0" borderId="0" xfId="0" applyFont="1"/>
    <xf numFmtId="0" fontId="13" fillId="0" borderId="0" xfId="0" applyFont="1"/>
  </cellXfs>
  <cellStyles count="6">
    <cellStyle name="Currency" xfId="4" builtinId="4"/>
    <cellStyle name="Hyperlink 2" xfId="3" xr:uid="{60E796C3-7BDB-4BEC-9B58-1D282C3F31EB}"/>
    <cellStyle name="Normal" xfId="0" builtinId="0"/>
    <cellStyle name="Normal 2" xfId="1" xr:uid="{C4D05A3A-8802-4AD6-B8BE-063E9D4D5E2D}"/>
    <cellStyle name="Normal 3" xfId="2" xr:uid="{5B3B310D-FEDF-466D-A8D4-E7E38C8599C6}"/>
    <cellStyle name="Percent" xfId="5" builtinId="5"/>
  </cellStyles>
  <dxfs count="5">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numFmt numFmtId="19" formatCode="yyyy/mm/dd"/>
    </dxf>
    <dxf>
      <numFmt numFmtId="164" formatCode="mmm\ dd\,\ 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microsoft.com/office/2017/06/relationships/rdRichValue" Target="richData/rdrichvalue.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haredStrings" Target="sharedString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Array" Target="richData/rdarray.xml"/><Relationship Id="rId22" Type="http://schemas.openxmlformats.org/officeDocument/2006/relationships/customXml" Target="../customXml/item3.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40">
  <a r="1" c="6">
    <v t="i">0</v>
    <v t="i">1</v>
    <v t="i">2</v>
    <v t="i">3</v>
    <v t="i">4</v>
    <v t="i">8</v>
  </a>
  <a r="1" c="6">
    <v>165.13</v>
    <v>173</v>
    <v>172.6</v>
    <v>166.8</v>
    <v>167.64</v>
    <v>165.89</v>
  </a>
  <a r="1" c="6">
    <v>400.03</v>
    <v>408</v>
    <v>412.32</v>
    <v>405.68</v>
    <v>403.01</v>
    <v>404.15</v>
  </a>
  <a r="1" c="6">
    <v>60.68</v>
    <v>60.91</v>
    <v>60.9</v>
    <v>62.12</v>
    <v>62.54</v>
    <v>62.28</v>
  </a>
  <a r="1" c="6">
    <v>217.7</v>
    <v>221</v>
    <v>216.54</v>
    <v>207.71</v>
    <v>206.16</v>
    <v>202.08</v>
  </a>
  <a r="1" c="6">
    <v>314.27999999999997</v>
    <v>316.2</v>
    <v>315.64999999999998</v>
    <v>313.55</v>
    <v>314.8</v>
    <v>314.16000000000003</v>
  </a>
  <a r="1" c="6">
    <v>168.88</v>
    <v>172.79</v>
    <v>172.55</v>
    <v>168.88</v>
    <v>167.3</v>
    <v>164.32</v>
  </a>
  <a r="1" c="6">
    <v>3103.34</v>
    <v>3130.21</v>
    <v>3162.01</v>
    <v>3093.05</v>
    <v>3052.03</v>
    <v>3003.95</v>
  </a>
  <a r="1" c="6">
    <v>165.6</v>
    <v>167.31</v>
    <v>167.21</v>
    <v>166.19</v>
    <v>163.36000000000001</v>
    <v>161.13999999999999</v>
  </a>
  <a r="1" c="6">
    <v>2710.52</v>
    <v>2732.17</v>
    <v>2754.76</v>
    <v>2650.78</v>
    <v>2608.06</v>
    <v>2596.27</v>
  </a>
  <a r="1" c="6">
    <v>225.34</v>
    <v>227.82</v>
    <v>228.82</v>
    <v>224.61</v>
    <v>222.69</v>
    <v>221.32</v>
  </a>
  <a r="1" c="6">
    <v>47.42</v>
    <v>47.79</v>
    <v>47.68</v>
    <v>46.07</v>
    <v>45.96</v>
    <v>45.56</v>
  </a>
  <a r="1" c="6">
    <v>141.59</v>
    <v>145.58000000000001</v>
    <v>146.49</v>
    <v>142.80000000000001</v>
    <v>142.94999999999999</v>
    <v>138.19</v>
  </a>
  <a r="1" c="6">
    <v>57.85</v>
    <v>58.38</v>
    <v>58.14</v>
    <v>56.15</v>
    <v>55.63</v>
    <v>55.28</v>
  </a>
  <a r="1" c="6">
    <v>2706</v>
    <v>2728.51</v>
    <v>2749.75</v>
    <v>2646.17</v>
    <v>2609.35</v>
    <v>2588.0500000000002</v>
  </a>
  <a r="1" c="6">
    <v>42.73</v>
    <v>44.01</v>
    <v>44.19</v>
    <v>42.83</v>
    <v>42.55</v>
    <v>42.98</v>
  </a>
  <a r="1" c="6">
    <v>875.76</v>
    <v>922.43</v>
    <v>923.39</v>
    <v>876.35</v>
    <v>856.98</v>
    <v>821.53</v>
  </a>
  <a r="1" c="6">
    <v>310.35000000000002</v>
    <v>322.42</v>
    <v>320.36</v>
    <v>310.54000000000002</v>
    <v>304.85000000000002</v>
    <v>297.39999999999998</v>
  </a>
  <a r="1" c="6">
    <v>150.85</v>
    <v>154.72</v>
    <v>156.35</v>
    <v>152.94999999999999</v>
    <v>151.36000000000001</v>
    <v>148.09</v>
  </a>
  <a r="1" c="6">
    <v>130.15</v>
    <v>129.94</v>
    <v>129.18</v>
    <v>124.97</v>
    <v>124.35</v>
    <v>123.92</v>
  </a>
  <a r="1" c="6">
    <v>47.58</v>
    <v>48.44</v>
    <v>48.23</v>
    <v>47.57</v>
    <v>45.04</v>
    <v>44.69</v>
  </a>
  <a r="1" c="6">
    <v>360.24</v>
    <v>363.94</v>
    <v>360.05</v>
    <v>349.06</v>
    <v>346.04</v>
    <v>344.27</v>
  </a>
  <a r="1" c="6">
    <v>295</v>
    <v>300.47000000000003</v>
    <v>299.5</v>
    <v>290.73</v>
    <v>287.93</v>
    <v>287.72000000000003</v>
  </a>
  <a r="1" c="6">
    <v>93.57</v>
    <v>94.04</v>
    <v>94.75</v>
    <v>94.36</v>
    <v>93.37</v>
    <v>93.54</v>
  </a>
  <a r="1" c="6">
    <v>82.57</v>
    <v>82.78</v>
    <v>83.22</v>
    <v>82.14</v>
    <v>81.27</v>
    <v>81.650000000000006</v>
  </a>
  <a r="1" c="6">
    <v>386.97</v>
    <v>382.22</v>
    <v>386.9</v>
    <v>388.77</v>
    <v>386.46</v>
    <v>386.2</v>
  </a>
  <a r="1" c="6">
    <v>93.65</v>
    <v>94.51</v>
    <v>95.18</v>
    <v>93.05</v>
    <v>93.34</v>
    <v>93.11</v>
  </a>
  <a r="1" c="6">
    <v>34.590000000000003</v>
    <v>34.68</v>
    <v>36.619999999999997</v>
    <v>37.79</v>
    <v>38.46</v>
    <v>40.4</v>
  </a>
  <a r="1" c="6">
    <v>35.69</v>
    <v>36.979999999999997</v>
    <v>36.24</v>
    <v>35.43</v>
    <v>34.32</v>
    <v>32.93</v>
  </a>
  <a r="1" c="6">
    <v>78.95</v>
    <v>79.77</v>
    <v>79.19</v>
    <v>75.53</v>
    <v>74.569999999999993</v>
    <v>74.12</v>
  </a>
  <a r="1" c="6">
    <v>166.7</v>
    <v>165.96</v>
    <v>166.3</v>
    <v>166.75</v>
    <v>167.71</v>
    <v>168.35</v>
  </a>
  <a r="1" c="6">
    <v>242.67</v>
    <v>264.95</v>
    <v>265.11</v>
    <v>245.07</v>
    <v>236.42</v>
    <v>233.9</v>
  </a>
  <a r="1" c="6">
    <v>152.49</v>
    <v>154.72</v>
    <v>155</v>
    <v>151.43</v>
    <v>152.13999999999999</v>
    <v>151.87</v>
  </a>
  <a r="1" c="6">
    <v>114.12</v>
    <v>115.46</v>
    <v>110.54</v>
    <v>105.2</v>
    <v>103.65</v>
    <v>103.17</v>
  </a>
  <a r="1" c="6">
    <v>17.46</v>
    <v>18.079999999999998</v>
    <v>18.010000000000002</v>
    <v>17.54</v>
    <v>18.04</v>
    <v>17.29</v>
  </a>
  <a r="1" c="6">
    <v>253.39</v>
    <v>253.81</v>
    <v>253.09</v>
    <v>250.93</v>
    <v>250.6</v>
    <v>252.7</v>
  </a>
  <a r="1" c="6">
    <v>203.35</v>
    <v>202.88</v>
    <v>202.65</v>
    <v>202.03</v>
    <v>202.59</v>
    <v>202.03</v>
  </a>
  <a r="1" c="6">
    <v>228.46</v>
    <v>230.4</v>
    <v>229.01</v>
    <v>224.37</v>
    <v>222.23</v>
    <v>217.79</v>
  </a>
  <a r="1" c="6">
    <v>48.4</v>
    <v>49.67</v>
    <v>50.43</v>
    <v>48.82</v>
    <v>48.6</v>
    <v>46.77</v>
  </a>
  <a r="1" c="6">
    <v>396.57</v>
    <v>407.46</v>
    <v>398.08</v>
    <v>386.67</v>
    <v>391.29</v>
    <v>377.38</v>
  </a>
</arrayData>
</file>

<file path=xl/richData/rdrichvalue.xml><?xml version="1.0" encoding="utf-8"?>
<rvData xmlns="http://schemas.microsoft.com/office/spreadsheetml/2017/richdata" count="443">
  <rv s="0">
    <fb>44606</fb>
    <v>0</v>
  </rv>
  <rv s="0">
    <fb>44607</fb>
    <v>0</v>
  </rv>
  <rv s="0">
    <fb>44608</fb>
    <v>0</v>
  </rv>
  <rv s="0">
    <fb>44609</fb>
    <v>0</v>
  </rv>
  <rv s="0">
    <fb>44610</fb>
    <v>0</v>
  </rv>
  <rv s="0">
    <fb>44614</fb>
    <v>0</v>
  </rv>
  <rv s="1">
    <v>http://en.wikipedia.org/wiki/Public_domain</v>
    <v>Public domain</v>
  </rv>
  <rv s="1">
    <v>http://nl.wikipedia.org/wiki/Apple_Inc.</v>
    <v>Wikipedia</v>
  </rv>
  <rv s="2">
    <v>6</v>
    <v>7</v>
  </rv>
  <rv s="3">
    <v>7</v>
    <v>https://www.bing.com/th?id=AMMS_5bc8393c85a56e6bb6524ea7b3970bad&amp;qlt=95</v>
    <v>8</v>
    <v>0</v>
    <v>https://www.bing.com/images/search?form=xlimg&amp;q=apple+inc</v>
    <v>Image of APPLE INC.</v>
  </rv>
  <rv s="1">
    <v>https://www.bing.com/financeapi/forcetrigger?t=a1mou2&amp;q=XNAS%3aAAPL&amp;form=skydnc</v>
    <v>Learn more on Bing</v>
  </rv>
  <rv s="4">
    <v>en-CA</v>
    <v>a1mou2</v>
    <v>268435456</v>
    <v>1</v>
    <v>Powered by Refinitiv</v>
    <v>1</v>
    <v>APPLE INC. (XNAS:AAPL)</v>
    <v>4</v>
    <v>5</v>
    <v>Finance</v>
    <v>6</v>
    <v>182.94</v>
    <v>116.21</v>
    <v>1.1802999999999999</v>
    <v>2.11</v>
    <v>-3.0330000000000001E-3</v>
    <v>1.2964999999999999E-2</v>
    <v>-0.5</v>
    <v>USD</v>
    <v>Apple Inc. designs, manufactures and markets smartphones, personal computers, tablets, wearables and accessories, and sells a variety of related services. The Company’s products include iPhone, Mac, iPad, and Wearables, Home and Accessories. iPhone is the Company’s line of smartphones based on its iOS operating system. Mac is the Company’s line of personal computers based on its macOS operating system. iPad is the Company’s line of multi-purpose tablets based on its iPadOS operating system. Wearables, Home and Accessories includes AirPods, Apple TV, Apple Watch, Beats products, HomePod, iPod touch and other Apple-branded and third-party accessories. AirPods are the Company’s wireless headphones that interact with Siri. Apple Watch is the Company’s line of smart watches. Its services include Advertising, AppleCare, Cloud Services, Digital Content and Payment Services. Its customers are primarily in the consumer, small and mid-sized business, education, enterprise and government markets.</v>
    <v>154000</v>
    <v>Nasdaq Stock Market</v>
    <v>XNAS</v>
    <v>XNAS</v>
    <v>1 Apple Park Way, CUPERTINO, CA, 95014-0642 US</v>
    <v>165.12</v>
    <v>9</v>
    <v>Computers, Phones &amp; Household Electronics</v>
    <v>Stock</v>
    <v>44617.906400497654</v>
    <v>10</v>
    <v>160.87379999999999</v>
    <v>2690260000000</v>
    <v>APPLE INC.</v>
    <v>APPLE INC.</v>
    <v>163.84</v>
    <v>27.3689</v>
    <v>162.74</v>
    <v>164.85</v>
    <v>164.35</v>
    <v>16319440000</v>
    <v>AAPL</v>
    <v>APPLE INC. (XNAS:AAPL)</v>
    <v>91974222</v>
    <v>98429045</v>
    <v>1977</v>
  </rv>
  <rv s="5">
    <v>11</v>
  </rv>
  <rv s="0">
    <fb>168.88</fb>
    <v>8</v>
  </rv>
  <rv s="0">
    <fb>172.79</fb>
    <v>8</v>
  </rv>
  <rv s="0">
    <fb>172.55</fb>
    <v>8</v>
  </rv>
  <rv s="0">
    <fb>167.3</fb>
    <v>8</v>
  </rv>
  <rv s="0">
    <fb>164.32</fb>
    <v>8</v>
  </rv>
  <rv s="1">
    <v>https://www.bing.com/financeapi/forcetrigger?t=a24kar&amp;q=XNAS%3aTSLA&amp;form=skydnc</v>
    <v>Learn more on Bing</v>
  </rv>
  <rv s="6">
    <v>en-CA</v>
    <v>a24kar</v>
    <v>268435456</v>
    <v>1</v>
    <v>Powered by Refinitiv</v>
    <v>9</v>
    <v>TESLA, INC. (XNAS:TSLA)</v>
    <v>10</v>
    <v>11</v>
    <v>Finance</v>
    <v>6</v>
    <v>1243.49</v>
    <v>539.49</v>
    <v>2.0689000000000002</v>
    <v>9.1</v>
    <v>1.5190000000000002E-3</v>
    <v>1.1364000000000001E-2</v>
    <v>1.23</v>
    <v>USD</v>
    <v>Tesla, Inc. designs, develops, manufactures, sells and leases electric vehicles and energy generation and storage systems, and offers services related to its sustainable energy products. The Company's segments include automotive, and energy generation and storage. The automotive segment includes the design, development, manufacturing, sales and leasing of electric vehicles as well as sales of automotive regulatory credits. The energy generation and storage segment include the design, manufacture, installation, sales and leasing of solar energy systems and energy storage products, services related to its products, and sales of solar energy system incentives. Its automotive products include Model 3, Model Y, Model S and Model X. Model 3 is a four-door sedan. Model Y is a sport utility vehicle (SUV) built on the Model 3 platform. Model S is a four-door sedan. Model X is an SUV. The Company's energy storage products include Powerwall, Powerpack and Megapack.</v>
    <v>99290</v>
    <v>Nasdaq Stock Market</v>
    <v>XNAS</v>
    <v>XNAS</v>
    <v>13101 Harold Green Road, AUSTIN, TX, 78725 US</v>
    <v>819.5</v>
    <v>Automobiles &amp; Auto Parts</v>
    <v>Stock</v>
    <v>44617.912883378907</v>
    <v>18</v>
    <v>782.40049999999997</v>
    <v>837006800000</v>
    <v>TESLA, INC.</v>
    <v>TESLA, INC.</v>
    <v>809.23</v>
    <v>164.55350000000001</v>
    <v>800.77</v>
    <v>809.87</v>
    <v>811.1</v>
    <v>1033508000</v>
    <v>TSLA</v>
    <v>TESLA, INC. (XNAS:TSLA)</v>
    <v>25355921</v>
    <v>28273252</v>
    <v>2003</v>
  </rv>
  <rv s="5">
    <v>19</v>
  </rv>
  <rv s="0">
    <fb>875.76</fb>
    <v>8</v>
  </rv>
  <rv s="0">
    <fb>922.43</fb>
    <v>8</v>
  </rv>
  <rv s="0">
    <fb>923.39</fb>
    <v>8</v>
  </rv>
  <rv s="0">
    <fb>876.35</fb>
    <v>8</v>
  </rv>
  <rv s="0">
    <fb>856.98</fb>
    <v>8</v>
  </rv>
  <rv s="0">
    <fb>821.53</fb>
    <v>8</v>
  </rv>
  <rv s="1">
    <v>http://en.wikipedia.org/wiki/Alphabet_Inc.</v>
    <v>Wikipedia</v>
  </rv>
  <rv s="2">
    <v>6</v>
    <v>27</v>
  </rv>
  <rv s="3">
    <v>7</v>
    <v>https://www.bing.com/th?id=AMMS_91f59ff6c9305ce24b1cf0389cd856f8&amp;qlt=95</v>
    <v>28</v>
    <v>0</v>
    <v>https://www.bing.com/images/search?form=xlimg&amp;q=alphabet+inc.</v>
    <v>Image of ALPHABET INC.</v>
  </rv>
  <rv s="1">
    <v>https://www.bing.com/financeapi/forcetrigger?t=a1u3rw&amp;q=XNAS%3aGOOGL&amp;form=skydnc</v>
    <v>Learn more on Bing</v>
  </rv>
  <rv s="4">
    <v>en-CA</v>
    <v>a1u3rw</v>
    <v>268435456</v>
    <v>1</v>
    <v>Powered by Refinitiv</v>
    <v>1</v>
    <v>ALPHABET INC. (XNAS:GOOGL)</v>
    <v>4</v>
    <v>5</v>
    <v>Finance</v>
    <v>6</v>
    <v>3030.9315000000001</v>
    <v>1994</v>
    <v>1.0539000000000001</v>
    <v>35.369999999999997</v>
    <v>0</v>
    <v>1.3328E-2</v>
    <v>0</v>
    <v>USD</v>
    <v>Alphabet Inc. is a holding company. The Company's segments include Google Services, Google Cloud and Other Bets. Google Services includes products and services such as ads, Android, Chrome, hardware, Google Maps, Google Play, Search, and YouTube. Google Cloud includes Google’s infrastructure and data analytics platforms, collaboration tools, and other services for enterprise customers. Its Google Cloud provides enterprise-ready cloud services, including Google Cloud Platform and Google Workspace. Its Google Cloud Platform enables developers to build, test, and deploy applications on its infrastructure. Its Google Workspace collaboration tools include applications like Gmail, Docs, Drive, Calendar and Meet. Its hardware products include Pixel phones, Chromecast with Google TV and the Google Nest Hub smart display. The Other Bets segment is engaged in the sales of Internet and television services, licensing and research and development (R&amp;D) services.</v>
    <v>156500</v>
    <v>Nasdaq Stock Market</v>
    <v>XNAS</v>
    <v>XNAS</v>
    <v>1600 Amphitheatre Pkwy, MOUNTAIN VIEW, CA, 94043-1351 US</v>
    <v>2705.43</v>
    <v>29</v>
    <v>Software &amp; IT Services</v>
    <v>Stock</v>
    <v>44617.98616765</v>
    <v>30</v>
    <v>2635.03</v>
    <v>1777856000000</v>
    <v>ALPHABET INC.</v>
    <v>ALPHABET INC.</v>
    <v>2671.04</v>
    <v>23.963699999999999</v>
    <v>2653.82</v>
    <v>2689.19</v>
    <v>2689.19</v>
    <v>660971300</v>
    <v>GOOGL</v>
    <v>ALPHABET INC. (XNAS:GOOGL)</v>
    <v>1820299</v>
    <v>2435183</v>
    <v>2015</v>
  </rv>
  <rv s="5">
    <v>31</v>
  </rv>
  <rv s="0">
    <fb>2710.52</fb>
    <v>8</v>
  </rv>
  <rv s="0">
    <fb>2732.17</fb>
    <v>8</v>
  </rv>
  <rv s="0">
    <fb>2754.76</fb>
    <v>8</v>
  </rv>
  <rv s="0">
    <fb>2650.78</fb>
    <v>8</v>
  </rv>
  <rv s="0">
    <fb>2608.06</fb>
    <v>8</v>
  </rv>
  <rv s="0">
    <fb>2596.27</fb>
    <v>8</v>
  </rv>
  <rv s="1">
    <v>https://www.bing.com/financeapi/forcetrigger?t=a1u3p2&amp;q=XNAS%3aGOOG&amp;form=skydnc</v>
    <v>Learn more on Bing</v>
  </rv>
  <rv s="4">
    <v>en-CA</v>
    <v>a1u3p2</v>
    <v>268435456</v>
    <v>1</v>
    <v>Powered by Refinitiv</v>
    <v>1</v>
    <v>ALPHABET INC. (XNAS:GOOG)</v>
    <v>4</v>
    <v>5</v>
    <v>Finance</v>
    <v>6</v>
    <v>3042</v>
    <v>2010</v>
    <v>1.0539000000000001</v>
    <v>36.92</v>
    <v>4.8320000000000004E-4</v>
    <v>1.3913999999999999E-2</v>
    <v>1.3</v>
    <v>USD</v>
    <v>Alphabet Inc. is a holding company. The Company's segments include Google Services, Google Cloud and Other Bets. Google Services includes products and services such as ads, Android, Chrome, hardware, Google Maps, Google Play, Search, and YouTube. Google Cloud includes Google’s infrastructure and data analytics platforms, collaboration tools, and other services for enterprise customers. Its Google Cloud provides enterprise-ready cloud services, including Google Cloud Platform and Google Workspace. Its Google Cloud Platform enables developers to build, test, and deploy applications on its infrastructure. Its Google Workspace collaboration tools include applications like Gmail, Docs, Drive, Calendar and Meet. Its hardware products include Pixel phones, Chromecast with Google TV and the Google Nest Hub smart display. The Other Bets segment is engaged in the sales of Internet and television services, licensing and research and development (R&amp;D) services.</v>
    <v>156500</v>
    <v>Nasdaq Stock Market</v>
    <v>XNAS</v>
    <v>XNAS</v>
    <v>1600 Amphitheatre Pkwy, MOUNTAIN VIEW, CA, 94043-1351 US</v>
    <v>2707.78</v>
    <v>29</v>
    <v>Software &amp; IT Services</v>
    <v>Stock</v>
    <v>44617.913755115624</v>
    <v>39</v>
    <v>2635.3</v>
    <v>1777856000000</v>
    <v>ALPHABET INC.</v>
    <v>ALPHABET INC.</v>
    <v>2670.51</v>
    <v>23.967700000000001</v>
    <v>2653.47</v>
    <v>2690.39</v>
    <v>2691.69</v>
    <v>660971300</v>
    <v>GOOG</v>
    <v>ALPHABET INC. (XNAS:GOOG)</v>
    <v>1311793</v>
    <v>1932754</v>
    <v>2015</v>
  </rv>
  <rv s="5">
    <v>40</v>
  </rv>
  <rv s="0">
    <fb>2706</fb>
    <v>8</v>
  </rv>
  <rv s="0">
    <fb>2728.51</fb>
    <v>8</v>
  </rv>
  <rv s="0">
    <fb>2749.75</fb>
    <v>8</v>
  </rv>
  <rv s="0">
    <fb>2646.17</fb>
    <v>8</v>
  </rv>
  <rv s="0">
    <fb>2609.35</fb>
    <v>8</v>
  </rv>
  <rv s="0">
    <fb>2588.0500000000002</fb>
    <v>8</v>
  </rv>
  <rv s="1">
    <v>https://www.bing.com/financeapi/forcetrigger?t=a1nhlh&amp;q=XNAS%3aAMZN&amp;form=skydnc</v>
    <v>Learn more on Bing</v>
  </rv>
  <rv s="6">
    <v>en-CA</v>
    <v>a1nhlh</v>
    <v>268435456</v>
    <v>1</v>
    <v>Powered by Refinitiv</v>
    <v>9</v>
    <v>AMAZON.COM, INC. (XNAS:AMZN)</v>
    <v>10</v>
    <v>11</v>
    <v>Finance</v>
    <v>6</v>
    <v>3773.0781999999999</v>
    <v>2707.04</v>
    <v>1.0958000000000001</v>
    <v>48.61</v>
    <v>7.1530000000000001E-5</v>
    <v>1.6057999999999999E-2</v>
    <v>0.22</v>
    <v>USD</v>
    <v>Amazon.com, Inc. offers a range of products and services through its Websites. The Company's products include merchandise and content that it purchases for resale from vendors and those offered by third-party sellers. It also manufactures and sells electronic devices, including Kindle, Fire tablet, Fire TV, Echo, Ring, and other devices and it develops and produce media content. It operates through three segments: North America, International and Amazon Web Services (AWS). AWS offers a set of technology services, including compute, storage, database, analytics, machine learning, Internet of Things, cloud and serverless computing. In addition, it provides services, such as advertising to sellers, vendors, publishers, authors, and others, through programs such as sponsored ads, display, and video advertising. It also offers Amazon Prime, a membership program that includes free shipping, access to streaming of various movies and television (TV) episodes, including Amazon Original content.</v>
    <v>1608000</v>
    <v>Nasdaq Stock Market</v>
    <v>XNAS</v>
    <v>XNAS</v>
    <v>410 Terry Ave N, SEATTLE, WA, 98109-5210 US</v>
    <v>3079.8</v>
    <v>Diversified Retail</v>
    <v>Stock</v>
    <v>44617.91265428203</v>
    <v>48</v>
    <v>2984.27</v>
    <v>1565088000000</v>
    <v>AMAZON.COM, INC.</v>
    <v>AMAZON.COM, INC.</v>
    <v>3011</v>
    <v>47.528500000000001</v>
    <v>3027.16</v>
    <v>3075.77</v>
    <v>3075.99</v>
    <v>508844400</v>
    <v>AMZN</v>
    <v>AMAZON.COM, INC. (XNAS:AMZN)</v>
    <v>3119768</v>
    <v>4757373</v>
    <v>1996</v>
  </rv>
  <rv s="5">
    <v>49</v>
  </rv>
  <rv s="0">
    <fb>3103.34</fb>
    <v>8</v>
  </rv>
  <rv s="0">
    <fb>3130.21</fb>
    <v>8</v>
  </rv>
  <rv s="0">
    <fb>3162.01</fb>
    <v>8</v>
  </rv>
  <rv s="0">
    <fb>3093.05</fb>
    <v>8</v>
  </rv>
  <rv s="0">
    <fb>3052.03</fb>
    <v>8</v>
  </rv>
  <rv s="0">
    <fb>3003.95</fb>
    <v>8</v>
  </rv>
  <rv s="1">
    <v>https://www.bing.com/financeapi/forcetrigger?t=a1yv52&amp;q=XNAS%3aNVDA&amp;form=skydnc</v>
    <v>Learn more on Bing</v>
  </rv>
  <rv s="6">
    <v>en-CA</v>
    <v>a1yv52</v>
    <v>268435456</v>
    <v>1</v>
    <v>Powered by Refinitiv</v>
    <v>9</v>
    <v>NVIDIA CORPORATION (XNAS:NVDA)</v>
    <v>10</v>
    <v>11</v>
    <v>Finance</v>
    <v>6</v>
    <v>346.47</v>
    <v>115.66500000000001</v>
    <v>1.4014</v>
    <v>4.09</v>
    <v>-1.5319999999999999E-3</v>
    <v>1.7222999999999999E-2</v>
    <v>-0.37</v>
    <v>USD</v>
    <v>Nvidia Corporation is an artificial intelligence computing company. It operates through two segments: Graphics and Compute &amp; Networking. Its Graphics segment includes GeForce graphics processing unit (GPU), the GeForce NOW game streaming service and related infrastructure, and solutions for gaming platforms; Quadro/NVIDIA RTX GPUs for enterprise workstation graphics; virtual graphics processing unit (vGPU) software for cloud-based visual and virtual computing; and automotive platforms for infotainment systems. Its Compute &amp; Networking segment includes Data Center platforms and systems for artificial intelligence (AI), high-performance computing (HPC), and accelerated computing; Mellanox networking and interconnect solutions; automotive AI Cockpit, autonomous driving development agreements, and autonomous vehicle solutions; and Jetson for robotics and other embedded platforms. Its platforms address markets such as Gaming, Professional Visualization, Data Center, and Automotive.</v>
    <v>18975</v>
    <v>Nasdaq Stock Market</v>
    <v>XNAS</v>
    <v>XNAS</v>
    <v>2788 San Tomas Expy, SANTA CLARA, CA, 95051-0952 US</v>
    <v>242.17</v>
    <v>Semiconductors &amp; Semiconductor Equipment</v>
    <v>Stock</v>
    <v>44617.912887245315</v>
    <v>57</v>
    <v>233.81</v>
    <v>603925000000</v>
    <v>NVIDIA CORPORATION</v>
    <v>NVIDIA CORPORATION</v>
    <v>237.21</v>
    <v>62.8123</v>
    <v>237.48</v>
    <v>241.57</v>
    <v>241.2</v>
    <v>2500000000</v>
    <v>NVDA</v>
    <v>NVIDIA CORPORATION (XNAS:NVDA)</v>
    <v>52886551</v>
    <v>59249195</v>
    <v>1998</v>
  </rv>
  <rv s="5">
    <v>58</v>
  </rv>
  <rv s="0">
    <fb>242.67</fb>
    <v>8</v>
  </rv>
  <rv s="0">
    <fb>264.95</fb>
    <v>8</v>
  </rv>
  <rv s="0">
    <fb>265.11</fb>
    <v>8</v>
  </rv>
  <rv s="0">
    <fb>245.07</fb>
    <v>8</v>
  </rv>
  <rv s="0">
    <fb>236.42</fb>
    <v>8</v>
  </rv>
  <rv s="0">
    <fb>233.9</fb>
    <v>8</v>
  </rv>
  <rv s="1">
    <v>http://creativecommons.org/licenses/by-sa/3.0/</v>
    <v>CC-BY-SA-3.0</v>
  </rv>
  <rv s="1">
    <v>http://no.wikipedia.org/wiki/Advanced_Micro_Devices</v>
    <v>Wikipedia</v>
  </rv>
  <rv s="2">
    <v>66</v>
    <v>67</v>
  </rv>
  <rv s="3">
    <v>7</v>
    <v>https://www.bing.com/th?id=AMMS_e3fa462c362b004b5cbe2354fd6f67e1&amp;qlt=95</v>
    <v>68</v>
    <v>0</v>
    <v>https://www.bing.com/images/search?form=xlimg&amp;q=advanced+micro+devices</v>
    <v>Image of ADVANCED MICRO DEVICES, INC.</v>
  </rv>
  <rv s="1">
    <v>https://www.bing.com/financeapi/forcetrigger?t=af4bdm&amp;q=XFRA%3aAMD&amp;form=skydnc</v>
    <v>Learn more on Bing</v>
  </rv>
  <rv s="7">
    <v>en-CA</v>
    <v>af4bdm</v>
    <v>268435456</v>
    <v>1</v>
    <v>Powered by Refinitiv</v>
    <v>12</v>
    <v>ADVANCED MICRO DEVICES, INC. (XFRA:AMD)</v>
    <v>4</v>
    <v>13</v>
    <v>Finance</v>
    <v>14</v>
    <v>144.12</v>
    <v>7.3</v>
    <v>1.8241000000000001</v>
    <v>-2.36</v>
    <v>-2.1985999999999999E-2</v>
    <v>EUR</v>
    <v>Advanced Micro Devices, Inc. is a global semiconductor company. The Company’s products include x86 microprocessors (CPUs), accelerated processing units (APUs), discrete graphics processing units (GPUs), semi-custom System-on-Chip (SOC) products and chipsets for the personal computer (PC), gaming, datacenter and markets. The Company's segments include the Computing and Graphics segment, and the Enterprise, Embedded and Semi-Custom segment. The Computing and Graphics segment primarily includes desktop and notebook processors and chipsets, discrete and integrated graphics processing units (GPUs), data center and professional GPUs and development services. The Enterprise, Embedded and Semi-Custom segment primarily includes server and embedded processors, semi-custom SoC products, development services and technology for game consoles.</v>
    <v>15500</v>
    <v>Deutsche Boerse AG</v>
    <v>XFRA</v>
    <v>XFRA</v>
    <v>2485 Augustine Dr, SANTA CLARA, CA, 95054-3002 US</v>
    <v>104.98</v>
    <v>69</v>
    <v>Semiconductors &amp; Semiconductor Equipment</v>
    <v>Stock</v>
    <v>44620.31527777778</v>
    <v>70</v>
    <v>104.98</v>
    <v>197008800000</v>
    <v>ADVANCED MICRO DEVICES, INC.</v>
    <v>ADVANCED MICRO DEVICES, INC.</v>
    <v>104.98</v>
    <v>47.19</v>
    <v>107.34</v>
    <v>104.98</v>
    <v>1627365000</v>
    <v>AMD</v>
    <v>ADVANCED MICRO DEVICES, INC. (XFRA:AMD)</v>
    <v>55</v>
    <v>130790350</v>
    <v>1969</v>
  </rv>
  <rv s="5">
    <v>71</v>
  </rv>
  <rv s="1">
    <v>https://www.bing.com/financeapi/forcetrigger?t=a1ygoc&amp;q=XNAS%3aNFLX&amp;form=skydnc</v>
    <v>Learn more on Bing</v>
  </rv>
  <rv s="6">
    <v>en-CA</v>
    <v>a1ygoc</v>
    <v>268435456</v>
    <v>1</v>
    <v>Powered by Refinitiv</v>
    <v>9</v>
    <v>NETFLIX, INC. (XNAS:NFLX)</v>
    <v>10</v>
    <v>11</v>
    <v>Finance</v>
    <v>6</v>
    <v>700.98940000000005</v>
    <v>351.46</v>
    <v>0.98960000000000004</v>
    <v>0.77</v>
    <v>-1.2789999999999999E-4</v>
    <v>1.9740000000000001E-3</v>
    <v>-0.05</v>
    <v>USD</v>
    <v>Netflix, Inc. (Netflix) is a provider of subscription streaming entertainment service. The Company has paid streaming memberships in over 190 countries and it allows members to watch a variety of television (TV) series, documentaries and feature films across a variety of genres and languages. Members can watch as much as they want, anytime, anywhere, on any Internet-connected screen. Members can play, pause and resume watching, without commercials. Additionally, Netflix offers its digital versatile disc (DVD)-by-mail service in the United States. It offers a variety of streaming membership plans, the price of which varies by country and the features of the plan. Pricing of its plans ranges from $2 to $24 per month. Members can watch content from Netflix through a range Internet-connected device, including televisions (TVs), digital video players, TV set-top boxes and mobile devices. The Company acquires, licenses and produces content, including original programing.</v>
    <v>11300</v>
    <v>Nasdaq Stock Market</v>
    <v>XNAS</v>
    <v>XNAS</v>
    <v>100 Winchester Cir, LOS GATOS, CA, 95032-1815 US</v>
    <v>391.29</v>
    <v>Software &amp; IT Services</v>
    <v>Stock</v>
    <v>44617.922863113279</v>
    <v>73</v>
    <v>375.58</v>
    <v>173500800000</v>
    <v>NETFLIX, INC.</v>
    <v>NETFLIX, INC.</v>
    <v>386.61</v>
    <v>36.6</v>
    <v>390.03</v>
    <v>390.8</v>
    <v>390.75</v>
    <v>443963100</v>
    <v>NFLX</v>
    <v>NETFLIX, INC. (XNAS:NFLX)</v>
    <v>4841636</v>
    <v>13170244</v>
    <v>1997</v>
  </rv>
  <rv s="5">
    <v>74</v>
  </rv>
  <rv s="0">
    <fb>396.57</fb>
    <v>8</v>
  </rv>
  <rv s="0">
    <fb>407.46</fb>
    <v>8</v>
  </rv>
  <rv s="0">
    <fb>398.08</fb>
    <v>8</v>
  </rv>
  <rv s="0">
    <fb>386.67</fb>
    <v>8</v>
  </rv>
  <rv s="0">
    <fb>391.29</fb>
    <v>8</v>
  </rv>
  <rv s="0">
    <fb>377.38</fb>
    <v>8</v>
  </rv>
  <rv s="1">
    <v>http://en.wikipedia.org/wiki/The_Walt_Disney_Company</v>
    <v>Wikipedia</v>
  </rv>
  <rv s="2">
    <v>6</v>
    <v>82</v>
  </rv>
  <rv s="3">
    <v>7</v>
    <v>https://www.bing.com/th?id=AMMS_0aa288ba528f6f45e3de87d97e250136&amp;qlt=95</v>
    <v>83</v>
    <v>0</v>
    <v>https://www.bing.com/images/search?form=xlimg&amp;q=the+walt+disney+company</v>
    <v>Image of THE WALT DISNEY COMPANY</v>
  </rv>
  <rv s="1">
    <v>https://www.bing.com/financeapi/forcetrigger?t=a1r2z2&amp;q=XNYS%3aDIS&amp;form=skydnc</v>
    <v>Learn more on Bing</v>
  </rv>
  <rv s="4">
    <v>en-CA</v>
    <v>a1r2z2</v>
    <v>268435456</v>
    <v>1</v>
    <v>Powered by Refinitiv</v>
    <v>1</v>
    <v>THE WALT DISNEY COMPANY (XNYS:DIS)</v>
    <v>4</v>
    <v>5</v>
    <v>Finance</v>
    <v>6</v>
    <v>203.02</v>
    <v>129.26</v>
    <v>1.1476999999999999</v>
    <v>0.12</v>
    <v>-1.4710000000000001E-3</v>
    <v>8.0320000000000001E-4</v>
    <v>-0.22</v>
    <v>USD</v>
    <v>The Walt Disney Company is a worldwide entertainment company. The Company operates in four business segments: Media Networks, Parks, Experiences and Products, Studio Entertainment, and Direct-To-Consumer (DTC) and International. The media networks segment includes cable and broadcast television networks, television production and distribution operations, domestic television stations, and radio networks and stations. The Company's Parks and Experiences include theme parks, resorts, Disney Cruise Line and Disney Vacation Club. The studio entertainment operations include motion picture production and distribution, development, production and licensing of live entertainment events, and music production and distribution. Its DTC businesses consist of subscription services that provide video streaming of general entertainment, family and sports programming. The Company's International Channels produce local programs or acquire rights from its domestic studios and from third parties.</v>
    <v>190000</v>
    <v>New York Stock Exchange</v>
    <v>XNYS</v>
    <v>XNYS</v>
    <v>500 S Buena Vista St, BURBANK, CA, 91521-0001 US</v>
    <v>150.28</v>
    <v>84</v>
    <v>Media &amp; Publishing</v>
    <v>Stock</v>
    <v>44617.922863125001</v>
    <v>85</v>
    <v>147.22</v>
    <v>272239300000</v>
    <v>THE WALT DISNEY COMPANY</v>
    <v>THE WALT DISNEY COMPANY</v>
    <v>149.56</v>
    <v>86.906700000000001</v>
    <v>149.4</v>
    <v>149.52000000000001</v>
    <v>149.31</v>
    <v>1820633000</v>
    <v>DIS</v>
    <v>THE WALT DISNEY COMPANY (XNYS:DIS)</v>
    <v>10149515</v>
    <v>14785585</v>
    <v>2018</v>
  </rv>
  <rv s="5">
    <v>86</v>
  </rv>
  <rv s="0">
    <fb>150.85</fb>
    <v>8</v>
  </rv>
  <rv s="0">
    <fb>154.72</fb>
    <v>8</v>
  </rv>
  <rv s="0">
    <fb>156.35</fb>
    <v>8</v>
  </rv>
  <rv s="0">
    <fb>152.94999999999999</fb>
    <v>8</v>
  </rv>
  <rv s="0">
    <fb>151.36000000000001</fb>
    <v>8</v>
  </rv>
  <rv s="0">
    <fb>148.09</fb>
    <v>8</v>
  </rv>
  <rv s="1">
    <v>https://www.bing.com/financeapi/forcetrigger?t=a1o4sm&amp;q=XNYS%3aBAC&amp;form=skydnc</v>
    <v>Learn more on Bing</v>
  </rv>
  <rv s="6">
    <v>en-CA</v>
    <v>a1o4sm</v>
    <v>268435456</v>
    <v>1</v>
    <v>Powered by Refinitiv</v>
    <v>9</v>
    <v>BANK OF AMERICA CORPORATION (XNYS:BAC)</v>
    <v>10</v>
    <v>11</v>
    <v>Finance</v>
    <v>6</v>
    <v>50.11</v>
    <v>35.24</v>
    <v>1.3932</v>
    <v>1.42</v>
    <v>-6.6640000000000004E-4</v>
    <v>3.2569000000000001E-2</v>
    <v>-0.03</v>
    <v>USD</v>
    <v>Bank of America Corporation is a bank holding company and a financial holding company. The Company is a financial institution, serving individual consumers, small- and middle-market businesses, institutional investors, corporations and governments with a range of banking, investing, asset management and other financial and risk management products and services. The Company, through its banking and various non-bank subsidiaries, throughout the United States and in international markets, provides a range of banking and non-bank financial services and products through four business segments: Consumer Banking, which comprises Deposits and Consumer Lending; Global Wealth &amp; Investment Management, which consists of two primary businesses: Merrill Lynch Global Wealth Management and Bank of America Private Bank; Global Banking, which provides a range of lending-related products and services; Global Markets, which offers sales and trading services and research services.</v>
    <v>208000</v>
    <v>New York Stock Exchange</v>
    <v>XNYS</v>
    <v>XNYS</v>
    <v>Bank of America Corporate Center, 100 N Tryon St, CHARLOTTE, NC, 28255-0001 US</v>
    <v>45.35</v>
    <v>Banking Services</v>
    <v>Stock</v>
    <v>44618.041652383596</v>
    <v>94</v>
    <v>43.63</v>
    <v>363302500000</v>
    <v>BANK OF AMERICA CORPORATION</v>
    <v>BANK OF AMERICA CORPORATION</v>
    <v>43.81</v>
    <v>12.629799999999999</v>
    <v>43.6</v>
    <v>45.02</v>
    <v>44.99</v>
    <v>8069801000</v>
    <v>BAC</v>
    <v>BANK OF AMERICA CORPORATION (XNYS:BAC)</v>
    <v>68530688</v>
    <v>52326160</v>
    <v>1998</v>
  </rv>
  <rv s="5">
    <v>95</v>
  </rv>
  <rv s="0">
    <fb>47.42</fb>
    <v>8</v>
  </rv>
  <rv s="0">
    <fb>47.79</fb>
    <v>8</v>
  </rv>
  <rv s="0">
    <fb>47.68</fb>
    <v>8</v>
  </rv>
  <rv s="0">
    <fb>46.07</fb>
    <v>8</v>
  </rv>
  <rv s="0">
    <fb>45.96</fb>
    <v>8</v>
  </rv>
  <rv s="0">
    <fb>45.56</fb>
    <v>8</v>
  </rv>
  <rv s="1">
    <v>https://www.bing.com/financeapi/forcetrigger?t=a1w8ec&amp;q=XNYS%3aJNJ&amp;form=skydnc</v>
    <v>Learn more on Bing</v>
  </rv>
  <rv s="6">
    <v>en-CA</v>
    <v>a1w8ec</v>
    <v>268435456</v>
    <v>1</v>
    <v>Powered by Refinitiv</v>
    <v>9</v>
    <v>JOHNSON &amp; JOHNSON (XNYS:JNJ)</v>
    <v>10</v>
    <v>11</v>
    <v>Finance</v>
    <v>6</v>
    <v>179.92</v>
    <v>151.47</v>
    <v>0.6996</v>
    <v>7.86</v>
    <v>-1.6869999999999999E-3</v>
    <v>4.9702999999999997E-2</v>
    <v>-0.28000000000000003</v>
    <v>USD</v>
    <v>Johnson &amp; Johnson is a holding company, which is engaged in the research and development, manufacture and sale of a range of products in the healthcare field. It operates through three segments: Consumer, Pharmaceutical and Medical Devices. Its primary focus is products related to human health and well-being. The Consumer segment includes a range of products used in the skin health/beauty, over-the-counter medicines, baby care, oral care, women’s health and wound care markets. The Pharmaceutical segment is focused on six immunology, infectious diseases, neuroscience, oncology, cardiovascular and metabolism and pulmonary hypertension. The Medical Devices segment includes a range of products used in the interventional solutions, orthopedic, surgery, and vision fields.</v>
    <v>141700</v>
    <v>New York Stock Exchange</v>
    <v>XNYS</v>
    <v>XNYS</v>
    <v>One Johnson &amp; Johnson Plaza, NEW BRUNSWICK, NJ, 08933 US</v>
    <v>166.98500000000001</v>
    <v>Pharmaceuticals</v>
    <v>Stock</v>
    <v>44617.990736967186</v>
    <v>103</v>
    <v>159.69999999999999</v>
    <v>436458500000</v>
    <v>JOHNSON &amp; JOHNSON</v>
    <v>JOHNSON &amp; JOHNSON</v>
    <v>160</v>
    <v>21.2501</v>
    <v>158.13999999999999</v>
    <v>166</v>
    <v>165.72</v>
    <v>2629268000</v>
    <v>JNJ</v>
    <v>JOHNSON &amp; JOHNSON (XNYS:JNJ)</v>
    <v>11340354</v>
    <v>8620163</v>
    <v>1887</v>
  </rv>
  <rv s="5">
    <v>104</v>
  </rv>
  <rv s="0">
    <fb>165.6</fb>
    <v>8</v>
  </rv>
  <rv s="0">
    <fb>167.31</fb>
    <v>8</v>
  </rv>
  <rv s="0">
    <fb>167.21</fb>
    <v>8</v>
  </rv>
  <rv s="0">
    <fb>166.19</fb>
    <v>8</v>
  </rv>
  <rv s="0">
    <fb>163.36000000000001</fb>
    <v>8</v>
  </rv>
  <rv s="0">
    <fb>161.13999999999999</fb>
    <v>8</v>
  </rv>
  <rv s="1">
    <v>http://en.wikipedia.org/wiki/JPMorgan_Chase</v>
    <v>Wikipedia</v>
  </rv>
  <rv s="2">
    <v>6</v>
    <v>112</v>
  </rv>
  <rv s="3">
    <v>7</v>
    <v>https://www.bing.com/th?id=AMMS_06392bb84e5fdc62d2356a2306f4ae1e&amp;qlt=95</v>
    <v>113</v>
    <v>0</v>
    <v>https://www.bing.com/images/search?form=xlimg&amp;q=jpmorgan+chase</v>
    <v>Image of JPMORGAN CHASE &amp; CO.</v>
  </rv>
  <rv s="1">
    <v>https://www.bing.com/financeapi/forcetrigger?t=a1waa2&amp;q=XNYS%3aJPM&amp;form=skydnc</v>
    <v>Learn more on Bing</v>
  </rv>
  <rv s="4">
    <v>en-CA</v>
    <v>a1waa2</v>
    <v>268435456</v>
    <v>1</v>
    <v>Powered by Refinitiv</v>
    <v>1</v>
    <v>JPMORGAN CHASE &amp; CO. (XNYS:JPM)</v>
    <v>4</v>
    <v>5</v>
    <v>Finance</v>
    <v>6</v>
    <v>172.96</v>
    <v>139.57</v>
    <v>1.0824</v>
    <v>3.42</v>
    <v>-2.7030000000000001E-4</v>
    <v>2.366E-2</v>
    <v>-0.04</v>
    <v>USD</v>
    <v>JPMorgan Chase &amp; Co. is a financial holding company. The Company is engaged in investment banking, financial services and asset management. It operates in four segments, as well as a Corporate segment. Its segments are Consumer &amp; Community Banking, Corporate &amp; Investment Bank, Commercial Banking and Asset Management. The Consumer &amp; Community Banking segment offers services to consumers and businesses through bank branches, automatic teller machines, online, mobile and telephone banking. The Corporate &amp; Investment Bank segment, comprising Banking and Markets and Investor Services, offers investment banking, market-making, prime brokerage, and treasury and securities products and services to corporations, investors, financial institutions, and government and municipal entities. The Commercial Banking segment provides financial solutions, including lending, treasury services, investment banking and asset management. The Asset Management segment comprises investment and wealth management.</v>
    <v>271025</v>
    <v>New York Stock Exchange</v>
    <v>XNYS</v>
    <v>XNYS</v>
    <v>383 Madison Ave, NEW YORK, NY, 10017-3217 US</v>
    <v>150.12690000000001</v>
    <v>114</v>
    <v>Banking Services</v>
    <v>Stock</v>
    <v>44617.913080810154</v>
    <v>115</v>
    <v>144.91</v>
    <v>436927200000</v>
    <v>JPMORGAN CHASE &amp; CO.</v>
    <v>JPMORGAN CHASE &amp; CO.</v>
    <v>145.25</v>
    <v>9.6425000000000001</v>
    <v>144.55000000000001</v>
    <v>147.97</v>
    <v>147.93</v>
    <v>2952809000</v>
    <v>JPM</v>
    <v>JPMORGAN CHASE &amp; CO. (XNYS:JPM)</v>
    <v>18367679</v>
    <v>15535585</v>
    <v>1968</v>
  </rv>
  <rv s="5">
    <v>116</v>
  </rv>
  <rv s="0">
    <fb>152.49</fb>
    <v>8</v>
  </rv>
  <rv s="0">
    <fb>155</fb>
    <v>8</v>
  </rv>
  <rv s="0">
    <fb>151.43</fb>
    <v>8</v>
  </rv>
  <rv s="0">
    <fb>152.13999999999999</fb>
    <v>8</v>
  </rv>
  <rv s="0">
    <fb>151.87</fb>
    <v>8</v>
  </rv>
  <rv s="1">
    <v>https://www.bing.com/financeapi/forcetrigger?t=a1wljc&amp;q=XNYS%3aKO&amp;form=skydnc</v>
    <v>Learn more on Bing</v>
  </rv>
  <rv s="6">
    <v>en-CA</v>
    <v>a1wljc</v>
    <v>268435456</v>
    <v>1</v>
    <v>Powered by Refinitiv</v>
    <v>9</v>
    <v>THE COCA-COLA COMPANY (XNYS:KO)</v>
    <v>10</v>
    <v>11</v>
    <v>Finance</v>
    <v>6</v>
    <v>62.895000000000003</v>
    <v>49.4</v>
    <v>0.64539999999999997</v>
    <v>2.33</v>
    <v>-2.3869999999999998E-3</v>
    <v>3.8505999999999999E-2</v>
    <v>-0.15</v>
    <v>USD</v>
    <v>The Coca-Cola Company is a beverage company. The Company owns or licenses and markets non-alcoholic beverage brands, primarily sparkling soft drinks; water, enhanced water and sports drinks; juice, dairy and plant-based beverages; tea and coffee; and energy drinks. The Company's segments include Europe, Middle East and Africa; Latin America; North America; Asia Pacific; Global Ventures; Bottling Investments, and Corporate. The Company markets, manufactures and sells beverage concentrates (beverage bases) and syrups, including fountain syrups and finished sparkling soft drinks and other nonalcoholic beverages. It owns and markets a range of non-alcoholic sparkling soft drink brands, including Coca-Cola, Diet Coke, Fanta and Sprite. The Company's branded beverage products are available to consumers in more than 200 countries and territories through its network of independent bottling partners, distributors, wholesalers and retailers as well as its bottling and distribution operations.</v>
    <v>80300</v>
    <v>New York Stock Exchange</v>
    <v>XNYS</v>
    <v>XNYS</v>
    <v>1 Coca Cola Plz NW, ATLANTA, GA, 30313-2420 US</v>
    <v>62.895000000000003</v>
    <v>Beverages</v>
    <v>Stock</v>
    <v>44617.98507039297</v>
    <v>123</v>
    <v>60.92</v>
    <v>272484500000</v>
    <v>THE COCA-COLA COMPANY</v>
    <v>THE COCA-COLA COMPANY</v>
    <v>60.94</v>
    <v>27.873999999999999</v>
    <v>60.51</v>
    <v>62.84</v>
    <v>62.7</v>
    <v>4335473000</v>
    <v>KO</v>
    <v>THE COCA-COLA COMPANY (XNYS:KO)</v>
    <v>21487796</v>
    <v>21070011</v>
    <v>1919</v>
  </rv>
  <rv s="5">
    <v>124</v>
  </rv>
  <rv s="0">
    <fb>60.68</fb>
    <v>8</v>
  </rv>
  <rv s="0">
    <fb>60.91</fb>
    <v>8</v>
  </rv>
  <rv s="0">
    <fb>60.9</fb>
    <v>8</v>
  </rv>
  <rv s="0">
    <fb>62.12</fb>
    <v>8</v>
  </rv>
  <rv s="0">
    <fb>62.54</fb>
    <v>8</v>
  </rv>
  <rv s="0">
    <fb>62.28</fb>
    <v>8</v>
  </rv>
  <rv s="1">
    <v>https://www.bing.com/financeapi/forcetrigger?t=axyhnm&amp;q=XNAS%3aPEP&amp;form=skydnc</v>
    <v>Learn more on Bing</v>
  </rv>
  <rv s="6">
    <v>en-CA</v>
    <v>axyhnm</v>
    <v>268435456</v>
    <v>1</v>
    <v>Powered by Refinitiv</v>
    <v>9</v>
    <v>PEPSICO, INC. (XNAS:PEP)</v>
    <v>10</v>
    <v>11</v>
    <v>Finance</v>
    <v>6</v>
    <v>177.24</v>
    <v>128.32</v>
    <v>0.6391</v>
    <v>4.59</v>
    <v>1.307E-3</v>
    <v>2.8024E-2</v>
    <v>0.22</v>
    <v>USD</v>
    <v>PepsiCo, Inc. is a global food and beverage company. The Company operates through segments such as Frito-Lay North America (FLNA), which includes its branded food and snack businesses in the United States and Canada; Quaker Foods North America (QFNA), which includes its cereal, rice and pasta businesses in the United States and Canada; PepsiCo Beverages North America (PBNA), which includes its beverage businesses in the United States and Canada; Latin America (LatAm), which includes its beverage, food and snack businesses in Latin America; Europe, which includes its beverage, food and snack businesses in Europe; Africa, Middle East and South Asia (AMESA), which includes its beverage, food and snack businesses in Africa, the Middle East and South Asia, and Asia Pacific, Australia and New Zealand and China Region (APAC), which includes its beverage, food and snack businesses in Asia Pacific, Australia and New Zealand, and China region.</v>
    <v>309000</v>
    <v>Nasdaq Stock Market</v>
    <v>XNAS</v>
    <v>XNAS</v>
    <v>700 ANDERSON HILL RD, PURCHASE, NY, 10577-1401 US</v>
    <v>168.46</v>
    <v>Beverages</v>
    <v>Stock</v>
    <v>44617.948219375001</v>
    <v>132</v>
    <v>164.26</v>
    <v>232945500000</v>
    <v>PEPSICO, INC.</v>
    <v>PEPSICO, INC.</v>
    <v>164.42</v>
    <v>29.953900000000001</v>
    <v>163.79</v>
    <v>168.38</v>
    <v>168.6</v>
    <v>1383451000</v>
    <v>PEP</v>
    <v>PEPSICO, INC. (XNAS:PEP)</v>
    <v>6535637</v>
    <v>6173468</v>
    <v>1986</v>
  </rv>
  <rv s="5">
    <v>133</v>
  </rv>
  <rv s="0">
    <fb>166.7</fb>
    <v>8</v>
  </rv>
  <rv s="0">
    <fb>165.96</fb>
    <v>8</v>
  </rv>
  <rv s="0">
    <fb>166.3</fb>
    <v>8</v>
  </rv>
  <rv s="0">
    <fb>166.75</fb>
    <v>8</v>
  </rv>
  <rv s="0">
    <fb>167.71</fb>
    <v>8</v>
  </rv>
  <rv s="0">
    <fb>168.35</fb>
    <v>8</v>
  </rv>
  <rv s="1">
    <v>http://ko.wikipedia.org/wiki/웰스_파고</v>
    <v>Wikipedia</v>
  </rv>
  <rv s="2">
    <v>6</v>
    <v>141</v>
  </rv>
  <rv s="3">
    <v>7</v>
    <v>https://www.bing.com/th?id=AMMS_389f91394f515eb0aefb57de7a642ccc&amp;qlt=95</v>
    <v>142</v>
    <v>0</v>
    <v>https://www.bing.com/images/search?form=xlimg&amp;q=wells+fargo</v>
    <v>Image of WELLS FARGO &amp; COMPANY</v>
  </rv>
  <rv s="1">
    <v>https://www.bing.com/financeapi/forcetrigger?t=a25tgh&amp;q=XNYS%3aWFC&amp;form=skydnc</v>
    <v>Learn more on Bing</v>
  </rv>
  <rv s="4">
    <v>en-CA</v>
    <v>a25tgh</v>
    <v>268435456</v>
    <v>1</v>
    <v>Powered by Refinitiv</v>
    <v>1</v>
    <v>WELLS FARGO &amp; COMPANY (XNYS:WFC)</v>
    <v>4</v>
    <v>5</v>
    <v>Finance</v>
    <v>6</v>
    <v>60.3</v>
    <v>36.340000000000003</v>
    <v>1.1543000000000001</v>
    <v>1.4</v>
    <v>7.3919999999999997E-4</v>
    <v>2.656E-2</v>
    <v>0.04</v>
    <v>USD</v>
    <v>Wells Fargo &amp; Company is a bank holding company. The Company is a diversified financial services company. The Company provides banking, investment and mortgage products and services, through banking locations and offices, the Internet and other distribution channels to individuals, businesses and institutions in states, the District of Columbia and in countries outside the United States. The Company provides consumer financial products and services including checking and savings accounts, credit and debit cards, and auto, mortgage and home equity, and small business lending. It provides other offer financial planning, private banking, investment management, and fiduciary services. The Company also provides financial solutions to businesses through products and services including traditional commercial loans and lines of credit, letters of credit, asset-based lending, trade financing, treasury management, and investment banking services.</v>
    <v>247848</v>
    <v>New York Stock Exchange</v>
    <v>XNYS</v>
    <v>XNYS</v>
    <v>420 Montgomery St, SAN FRANCISCO, CA, 94104-1207 US</v>
    <v>54.44</v>
    <v>143</v>
    <v>Banking Services</v>
    <v>Stock</v>
    <v>44617.912880196091</v>
    <v>144</v>
    <v>53.09</v>
    <v>206405700000</v>
    <v>WELLS FARGO &amp; COMPANY</v>
    <v>WELLS FARGO &amp; COMPANY</v>
    <v>53.17</v>
    <v>10.9313</v>
    <v>52.71</v>
    <v>54.11</v>
    <v>54.15</v>
    <v>3814557000</v>
    <v>WFC</v>
    <v>WELLS FARGO &amp; COMPANY (XNYS:WFC)</v>
    <v>27493473</v>
    <v>32380468</v>
    <v>1929</v>
  </rv>
  <rv s="5">
    <v>145</v>
  </rv>
  <rv s="0">
    <fb>57.85</fb>
    <v>8</v>
  </rv>
  <rv s="0">
    <fb>58.38</fb>
    <v>8</v>
  </rv>
  <rv s="0">
    <fb>58.14</fb>
    <v>8</v>
  </rv>
  <rv s="0">
    <fb>56.15</fb>
    <v>8</v>
  </rv>
  <rv s="0">
    <fb>55.63</fb>
    <v>8</v>
  </rv>
  <rv s="0">
    <fb>55.28</fb>
    <v>8</v>
  </rv>
  <rv s="1">
    <v>https://www.bing.com/financeapi/forcetrigger?t=a1otrw&amp;q=XNYS%3aBRK.B&amp;form=skydnc</v>
    <v>Learn more on Bing</v>
  </rv>
  <rv s="6">
    <v>en-CA</v>
    <v>a1otrw</v>
    <v>268435456</v>
    <v>1</v>
    <v>Powered by Refinitiv</v>
    <v>9</v>
    <v>BERKSHIRE HATHAWAY INC. (XNYS:BRK.B)</v>
    <v>10</v>
    <v>11</v>
    <v>Finance</v>
    <v>6</v>
    <v>325.63</v>
    <v>243.23</v>
    <v>0.82920000000000005</v>
    <v>10.9</v>
    <v>-9.0840000000000007E-4</v>
    <v>3.5357E-2</v>
    <v>-0.28999999999999998</v>
    <v>USD</v>
    <v>Berkshire Hathaway Inc. is a holding company owning subsidiaries engaged in various business activities, including insurance and reinsurance, utilities and energy, freight rail transportation, manufacturing and retailing. Its segments include Insurance, such as GEICO, Berkshire Hathaway Primary Group and Berkshire Hathaway Reinsurance Group; Burlington Northern Santa Fe, LLC, which is engaged in the operation of the railroad system; Berkshire Hathaway Energy, which includes regulated electric and gas utility; Manufacturing, which includes manufacturers of various products, including industrial, consumer and building products; McLane Company, which is engaged in the wholesale distribution of groceries and non-food items; Service and retailing, which includes providers of various services, such as shared aircraft ownership programs, aviation pilot training, electronic components distribution and various retailing businesses, including automobile dealerships and furniture leasing.</v>
    <v>360000</v>
    <v>New York Stock Exchange</v>
    <v>XNYS</v>
    <v>XNYS</v>
    <v>3555 Farnam St, OMAHA, NE, 68131-3311 US</v>
    <v>321.43</v>
    <v>Consumer Goods Conglomerates</v>
    <v>Stock</v>
    <v>44617.918666793747</v>
    <v>153</v>
    <v>310.77999999999997</v>
    <v>713286100000</v>
    <v>BERKSHIRE HATHAWAY INC.</v>
    <v>BERKSHIRE HATHAWAY INC.</v>
    <v>311.16000000000003</v>
    <v>17.627800000000001</v>
    <v>308.27999999999997</v>
    <v>319.18</v>
    <v>318.95</v>
    <v>1488920</v>
    <v>BRK.B</v>
    <v>BERKSHIRE HATHAWAY INC. (XNYS:BRK.B)</v>
    <v>7488725</v>
    <v>5397646</v>
    <v>1998</v>
  </rv>
  <rv s="5">
    <v>154</v>
  </rv>
  <rv s="0">
    <fb>314.27999999999997</fb>
    <v>8</v>
  </rv>
  <rv s="0">
    <fb>316.2</fb>
    <v>8</v>
  </rv>
  <rv s="0">
    <fb>315.64999999999998</fb>
    <v>8</v>
  </rv>
  <rv s="0">
    <fb>313.55</fb>
    <v>8</v>
  </rv>
  <rv s="0">
    <fb>314.8</fb>
    <v>8</v>
  </rv>
  <rv s="0">
    <fb>314.16000000000003</fb>
    <v>8</v>
  </rv>
  <rv s="1">
    <v>https://www.bing.com/financeapi/forcetrigger?t=a1oxur&amp;q=XNYS%3aBSX&amp;form=skydnc</v>
    <v>Learn more on Bing</v>
  </rv>
  <rv s="6">
    <v>en-CA</v>
    <v>a1oxur</v>
    <v>268435456</v>
    <v>1</v>
    <v>Powered by Refinitiv</v>
    <v>9</v>
    <v>BOSTON SCIENTIFIC CORPORATION (XNYS:BSX)</v>
    <v>10</v>
    <v>11</v>
    <v>Finance</v>
    <v>6</v>
    <v>46.284999999999997</v>
    <v>37.130000000000003</v>
    <v>0.80879999999999996</v>
    <v>1.1499999999999999</v>
    <v>2.6610000000000002E-3</v>
    <v>2.6166000000000002E-2</v>
    <v>0.12</v>
    <v>USD</v>
    <v>Boston Scientific Corporation is a developer, manufacturer and marketer of medical devices that are used in a range of interventional medical specialties. The Company offers its products by businesses such Interventional Cardiology, Peripheral Interventions, Cardiac Rhythm Management, Electrophysiology, Endoscopy, Urology and Pelvic Health, Neuromodulation and Specialty Pharmaceuticals. It operates in three segments: MedSurg, Rhythm and Neuro, and Cardiovascular. MedSurg consists of Endoscopy and Urology and Pelvic Health businesses. Rhythm segment consists of Cardiac Rhythm Management, Electrophysiology and Neuromodulation businesses. Its Cardiovascular segment consists of Interventional Cardiology and Peripheral Interventions businesses. Its product offerings include balloon catheters, rotational atherectomy systems, guide wires, guide catheters, embolic protection devices and diagnostic catheters used in percutaneous transluminal coronary angioplasty (PTCA) procedures.</v>
    <v>41000</v>
    <v>New York Stock Exchange</v>
    <v>XNYS</v>
    <v>XNYS</v>
    <v>300 BOSTON SCIENTIFIC WAY, MARLBOROUGH, MA, 01752-1291 US</v>
    <v>45.17</v>
    <v>Healthcare Equipment &amp; Supplies</v>
    <v>Stock</v>
    <v>44617.912880798438</v>
    <v>162</v>
    <v>43.77</v>
    <v>64345290000</v>
    <v>BOSTON SCIENTIFIC CORPORATION</v>
    <v>BOSTON SCIENTIFIC CORPORATION</v>
    <v>44</v>
    <v>65.703199999999995</v>
    <v>43.95</v>
    <v>45.1</v>
    <v>45.22</v>
    <v>1426725000</v>
    <v>BSX</v>
    <v>BOSTON SCIENTIFIC CORPORATION (XNYS:BSX)</v>
    <v>10716154</v>
    <v>10552546</v>
    <v>1979</v>
  </rv>
  <rv s="5">
    <v>163</v>
  </rv>
  <rv s="0">
    <fb>42.73</fb>
    <v>8</v>
  </rv>
  <rv s="0">
    <fb>44.01</fb>
    <v>8</v>
  </rv>
  <rv s="0">
    <fb>44.19</fb>
    <v>8</v>
  </rv>
  <rv s="0">
    <fb>42.83</fb>
    <v>8</v>
  </rv>
  <rv s="0">
    <fb>42.55</fb>
    <v>8</v>
  </rv>
  <rv s="0">
    <fb>42.98</fb>
    <v>8</v>
  </rv>
  <rv s="1">
    <v>https://www.bing.com/financeapi/forcetrigger?t=a21icw&amp;q=XNAS%3aPYPL&amp;form=skydnc</v>
    <v>Learn more on Bing</v>
  </rv>
  <rv s="6">
    <v>en-CA</v>
    <v>a21icw</v>
    <v>268435456</v>
    <v>1</v>
    <v>Powered by Refinitiv</v>
    <v>9</v>
    <v>PAYPAL HOLDINGS, INC. (XNAS:PYPL)</v>
    <v>10</v>
    <v>11</v>
    <v>Finance</v>
    <v>15</v>
    <v>310.16000000000003</v>
    <v>94.5</v>
    <v>1.3309</v>
    <v>5.92</v>
    <v>-3.5149999999999999E-3</v>
    <v>5.6369999999999996E-2</v>
    <v>-0.39</v>
    <v>USD</v>
    <v>PayPal Holdings, Inc. is a technology platform and digital payments company that enables digital and mobile payments on behalf of consumers and merchants. The Company's combined payment solutions, including its PayPal, PayPal Credit, Braintree, Venmo, Xoom, iZettle, and Hyperwallet products and services, comprise its Payments Platform. It operates a two-sided network that links its customers around the globe to facilitate the processing of payment transactions, allowing it to connect merchants and consumers. The Company allows its customers to use their account for both purchase and paying for goods, as well as to transfer and withdraw funds. It enables consumers to exchange funds with merchants using funding sources, which include bank account, PayPal account balance, PayPal Credit account, credit and debit card or other stored value products. The Company also offers consumers person-to-person (P2P) payment solutions through its PayPal Website and mobile application, Venmo and Xoom.</v>
    <v>30900</v>
    <v>Nasdaq Stock Market</v>
    <v>XNAS</v>
    <v>XNAS</v>
    <v>2211 N 1st St, SAN JOSE, CA, 95131 US</v>
    <v>111.1</v>
    <v>Software &amp; IT Services</v>
    <v>Stock</v>
    <v>44618.041633240624</v>
    <v>171</v>
    <v>104.53</v>
    <v>129245600000</v>
    <v>PAYPAL HOLDINGS, INC.</v>
    <v>PAYPAL HOLDINGS, INC.</v>
    <v>106.15</v>
    <v>31.579799999999999</v>
    <v>105.02</v>
    <v>110.94</v>
    <v>110.55</v>
    <v>1165005000</v>
    <v>PYPL</v>
    <v>PAYPAL HOLDINGS, INC. (XNAS:PYPL)</v>
    <v>33806875</v>
    <v>29432965</v>
    <v>2015</v>
  </rv>
  <rv s="5">
    <v>172</v>
  </rv>
  <rv s="0">
    <fb>114.12</fb>
    <v>8</v>
  </rv>
  <rv s="0">
    <fb>115.46</fb>
    <v>8</v>
  </rv>
  <rv s="0">
    <fb>110.54</fb>
    <v>8</v>
  </rv>
  <rv s="0">
    <fb>105.2</fb>
    <v>8</v>
  </rv>
  <rv s="0">
    <fb>103.65</fb>
    <v>8</v>
  </rv>
  <rv s="0">
    <fb>103.17</fb>
    <v>8</v>
  </rv>
  <rv s="1">
    <v>https://www.bing.com/financeapi/forcetrigger?t=a1sqr7&amp;q=XNYS%3aFDX&amp;form=skydnc</v>
    <v>Learn more on Bing</v>
  </rv>
  <rv s="6">
    <v>en-CA</v>
    <v>a1sqr7</v>
    <v>268435456</v>
    <v>1</v>
    <v>Powered by Refinitiv</v>
    <v>9</v>
    <v>FEDEX CORPORATION (XNYS:FDX)</v>
    <v>10</v>
    <v>11</v>
    <v>Finance</v>
    <v>6</v>
    <v>319.89999999999998</v>
    <v>206.30959999999999</v>
    <v>1.3124</v>
    <v>4.9249999999999998</v>
    <v>-9.9669999999999989E-4</v>
    <v>2.2808999999999999E-2</v>
    <v>-0.22</v>
    <v>USD</v>
    <v>FedEx Corporation (FedEx) provides a portfolio of transportation, e-commerce and business services through companies competing collectively and operating independently, under the FedEx brand. The Company's segments include FedEx Express, FedEx Ground, FedEx Freight and FedEx Services. The FedEx Express segment offers a range of United States domestic and international shipping services for delivery of packages and freight. The FedEx Ground segment provides small-package ground delivery services, which includes day-certain service to any business address in the United States and Canada, as well as residential delivery services through its FedEx Home Delivery service. The FedEx Freight segment offers less-than-truckload (LTL) freight services. The FedEx Services segment provides sales, marketing, information technology, communications, customer service, technical support, billing and collection services, and certain back-office functions that support the Company's operating segments.</v>
    <v>228000</v>
    <v>New York Stock Exchange</v>
    <v>XNYS</v>
    <v>XNYS</v>
    <v>942 Shady Grove Rd S, MEMPHIS, TN, 38120-4117 US</v>
    <v>222.63910000000001</v>
    <v>Freight &amp; Logistics Services</v>
    <v>Stock</v>
    <v>44617.958710532032</v>
    <v>180</v>
    <v>216.16</v>
    <v>58484030000</v>
    <v>FEDEX CORPORATION</v>
    <v>FEDEX CORPORATION</v>
    <v>216.54</v>
    <v>12.795400000000001</v>
    <v>215.92</v>
    <v>220.845</v>
    <v>220.5</v>
    <v>264969300</v>
    <v>FDX</v>
    <v>FEDEX CORPORATION (XNYS:FDX)</v>
    <v>1963889</v>
    <v>2429027</v>
    <v>1997</v>
  </rv>
  <rv s="5">
    <v>181</v>
  </rv>
  <rv s="0">
    <fb>228.46</fb>
    <v>8</v>
  </rv>
  <rv s="0">
    <fb>230.4</fb>
    <v>8</v>
  </rv>
  <rv s="0">
    <fb>229.01</fb>
    <v>8</v>
  </rv>
  <rv s="0">
    <fb>224.37</fb>
    <v>8</v>
  </rv>
  <rv s="0">
    <fb>222.23</fb>
    <v>8</v>
  </rv>
  <rv s="0">
    <fb>217.79</fb>
    <v>8</v>
  </rv>
  <rv s="1">
    <v>http://en.wikipedia.org/wiki/Goldman_Sachs</v>
    <v>Wikipedia</v>
  </rv>
  <rv s="2">
    <v>6</v>
    <v>189</v>
  </rv>
  <rv s="3">
    <v>7</v>
    <v>https://www.bing.com/th?id=AMMS_2f362d8bafa3276f41a517a3b845586a&amp;qlt=95</v>
    <v>190</v>
    <v>0</v>
    <v>https://www.bing.com/images/search?form=xlimg&amp;q=goldman+sachs</v>
    <v>Image of THE GOLDMAN SACHS GROUP, INC.</v>
  </rv>
  <rv s="1">
    <v>https://www.bing.com/financeapi/forcetrigger?t=a1u7xm&amp;q=XNYS%3aGS&amp;form=skydnc</v>
    <v>Learn more on Bing</v>
  </rv>
  <rv s="4">
    <v>en-CA</v>
    <v>a1u7xm</v>
    <v>268435456</v>
    <v>1</v>
    <v>Powered by Refinitiv</v>
    <v>1</v>
    <v>THE GOLDMAN SACHS GROUP, INC. (XNYS:GS)</v>
    <v>4</v>
    <v>5</v>
    <v>Finance</v>
    <v>6</v>
    <v>426.15820000000002</v>
    <v>316.46499999999997</v>
    <v>1.4472</v>
    <v>9.94</v>
    <v>-3.199E-3</v>
    <v>2.9218999999999998E-2</v>
    <v>-1.1200000000000001</v>
    <v>USD</v>
    <v>The Goldman Sachs Group, Inc. is a global financial institution that delivers a range of financial services across investment banking, securities, investment management and consumer banking to a diversified client base that includes corporations, financial institutions, governments and individuals. The Company operates in four business segments: Investment Banking, Global Markets, Asset Management, and Consumer &amp; Wealth Management. The Investment Banking segment consists of financial advisory, underwriting and corporate lending activities. The Global Markets segment consists of fixed income, currency and commodities (FICC) and equities, and intermediation and financing activities. The Asset Management segment provides investment services to help clients preserve and grow their financial assets. Consumer &amp; Wealth Management segment provides a range of wealth advisory and banking services, including financial planning, investment management, deposit taking and lending.</v>
    <v>43000</v>
    <v>New York Stock Exchange</v>
    <v>XNYS</v>
    <v>XNYS</v>
    <v>200 West St, NEW YORK, NY, 10282-2102 US</v>
    <v>350.7</v>
    <v>191</v>
    <v>Investment Banking &amp; Investment Services</v>
    <v>Stock</v>
    <v>44617.922863390624</v>
    <v>192</v>
    <v>340.19</v>
    <v>117217700000</v>
    <v>THE GOLDMAN SACHS GROUP, INC.</v>
    <v>THE GOLDMAN SACHS GROUP, INC.</v>
    <v>340.19</v>
    <v>5.8979999999999997</v>
    <v>340.19</v>
    <v>350.13</v>
    <v>349</v>
    <v>334793000</v>
    <v>GS</v>
    <v>THE GOLDMAN SACHS GROUP, INC. (XNYS:GS)</v>
    <v>2980478</v>
    <v>3256345</v>
    <v>1998</v>
  </rv>
  <rv s="5">
    <v>193</v>
  </rv>
  <rv s="0">
    <fb>360.24</fb>
    <v>8</v>
  </rv>
  <rv s="0">
    <fb>363.94</fb>
    <v>8</v>
  </rv>
  <rv s="0">
    <fb>360.05</fb>
    <v>8</v>
  </rv>
  <rv s="0">
    <fb>349.06</fb>
    <v>8</v>
  </rv>
  <rv s="0">
    <fb>346.04</fb>
    <v>8</v>
  </rv>
  <rv s="0">
    <fb>344.27</fb>
    <v>8</v>
  </rv>
  <rv s="1">
    <v>http://en.wikipedia.org/wiki/IBM</v>
    <v>Wikipedia</v>
  </rv>
  <rv s="2">
    <v>6</v>
    <v>201</v>
  </rv>
  <rv s="3">
    <v>7</v>
    <v>https://www.bing.com/th?id=AMMS_41da901be1b295dc42c72dadb9c0f67d&amp;qlt=95</v>
    <v>202</v>
    <v>0</v>
    <v>https://www.bing.com/images/search?form=xlimg&amp;q=ibm</v>
    <v>Image of INTERNATIONAL BUSINESS MACHINES CORPORATION</v>
  </rv>
  <rv s="1">
    <v>https://www.bing.com/financeapi/forcetrigger?t=a1v6nm&amp;q=XNYS%3aIBM&amp;form=skydnc</v>
    <v>Learn more on Bing</v>
  </rv>
  <rv s="4">
    <v>en-CA</v>
    <v>a1v6nm</v>
    <v>268435456</v>
    <v>1</v>
    <v>Powered by Refinitiv</v>
    <v>1</v>
    <v>INTERNATIONAL BUSINESS MACHINES CORPORATION (XNYS:IBM)</v>
    <v>4</v>
    <v>5</v>
    <v>Finance</v>
    <v>6</v>
    <v>145.9873</v>
    <v>113.43049999999999</v>
    <v>1.0806</v>
    <v>2.21</v>
    <v>0</v>
    <v>1.8119E-2</v>
    <v>0</v>
    <v>USD</v>
    <v>International Business Machines Corporation (IBM) is a technology company. The Company segments include Cloud &amp; Cognitive Software, Global Business Services (GBS), Systems and Global Financing. The Cloud &amp; Cognitive Software Solutions segment delivers integrated and secure cloud, data and artificial intelligence (AI) solutions to its clients. It comprises three business areas: cognitive applications, cloud &amp; data platforms, and transaction processing platforms. The GBS segment provides consulting, business process and application management services. The Global Financing segment is engaged in financing, which is primarily conducted through IBM Credit LLC, and remanufacturing and remarketing. The Systems segment provides clients with infrastructure platforms to help meet the requirements of hybrid multi-cloud and enterprise AI workloads. It also provides telco consulting services and solutions to help communications service providers (CSP) and media on multiple cloud platforms.</v>
    <v>307600</v>
    <v>New York Stock Exchange</v>
    <v>XNYS</v>
    <v>XNYS</v>
    <v>1 New Orchard Rd, ARMONK, NY, 10504-1722 US</v>
    <v>124.2625</v>
    <v>203</v>
    <v>Software &amp; IT Services</v>
    <v>Stock</v>
    <v>44618.041478414059</v>
    <v>204</v>
    <v>121.45</v>
    <v>111676300000</v>
    <v>INTERNATIONAL BUSINESS MACHINES CORPORATION</v>
    <v>INTERNATIONAL BUSINESS MACHINES CORPORATION</v>
    <v>122.05</v>
    <v>19.125399999999999</v>
    <v>121.97</v>
    <v>124.18</v>
    <v>124.18</v>
    <v>899310000</v>
    <v>IBM</v>
    <v>INTERNATIONAL BUSINESS MACHINES CORPORATION (XNYS:IBM)</v>
    <v>4460904</v>
    <v>6286495</v>
    <v>1911</v>
  </rv>
  <rv s="5">
    <v>205</v>
  </rv>
  <rv s="0">
    <fb>130.15</fb>
    <v>8</v>
  </rv>
  <rv s="0">
    <fb>129.94</fb>
    <v>8</v>
  </rv>
  <rv s="0">
    <fb>129.18</fb>
    <v>8</v>
  </rv>
  <rv s="0">
    <fb>124.97</fb>
    <v>8</v>
  </rv>
  <rv s="0">
    <fb>124.35</fb>
    <v>8</v>
  </rv>
  <rv s="0">
    <fb>123.92</fb>
    <v>8</v>
  </rv>
  <rv s="1">
    <v>https://www.bing.com/financeapi/forcetrigger?t=a1vmf2&amp;q=XNAS%3aINTC&amp;form=skydnc</v>
    <v>Learn more on Bing</v>
  </rv>
  <rv s="6">
    <v>en-CA</v>
    <v>a1vmf2</v>
    <v>268435456</v>
    <v>1</v>
    <v>Powered by Refinitiv</v>
    <v>9</v>
    <v>INTEL CORPORATION (XNAS:INTC)</v>
    <v>10</v>
    <v>11</v>
    <v>Finance</v>
    <v>6</v>
    <v>68.489999999999995</v>
    <v>43.625</v>
    <v>0.54169999999999996</v>
    <v>0.99</v>
    <v>-1.258E-3</v>
    <v>2.1190000000000001E-2</v>
    <v>-0.06</v>
    <v>USD</v>
    <v>Intel Corporation is engaged in designing and manufacturing products and technologies. The Company’s segments are Data Center Group (DCG), Internet of Things Group (IOTG), Mobileye, Non-Volatile Memory Solutions Group (NSG) and Programmable Solutions Group (PSG). DCG segment develops workload-optimization platforms for compute, storage and network functions. IOTG segment develops high-performance compute platforms that solve for technology and business use cases that can scale across vertical industries and embedded markets. Mobileye segment provides driving assistance and self-driving solutions. NSG segment provides memory and storage products based on Intel Optane technology and Intel three dimensional (3D) NAND technology. PSG segment offers programmable semiconductors, primarily FPGAs and Application-Specific Integrated Circuits (ASICs) and related products.</v>
    <v>121100</v>
    <v>Nasdaq Stock Market</v>
    <v>XNAS</v>
    <v>XNAS</v>
    <v>2200 Mission College Blvd, SANTA CLARA, CA, 95054-1537 US</v>
    <v>47.79</v>
    <v>Semiconductors &amp; Semiconductor Equipment</v>
    <v>Stock</v>
    <v>44617.912772013282</v>
    <v>213</v>
    <v>46.25</v>
    <v>194227400000</v>
    <v>INTEL CORPORATION</v>
    <v>INTEL CORPORATION</v>
    <v>46.93</v>
    <v>9.8215000000000003</v>
    <v>46.72</v>
    <v>47.71</v>
    <v>47.65</v>
    <v>4071000000</v>
    <v>INTC</v>
    <v>INTEL CORPORATION (XNAS:INTC)</v>
    <v>39266331</v>
    <v>44690325</v>
    <v>1989</v>
  </rv>
  <rv s="5">
    <v>214</v>
  </rv>
  <rv s="0">
    <fb>47.58</fb>
    <v>8</v>
  </rv>
  <rv s="0">
    <fb>48.44</fb>
    <v>8</v>
  </rv>
  <rv s="0">
    <fb>48.23</fb>
    <v>8</v>
  </rv>
  <rv s="0">
    <fb>47.57</fb>
    <v>8</v>
  </rv>
  <rv s="0">
    <fb>45.04</fb>
    <v>8</v>
  </rv>
  <rv s="0">
    <fb>44.69</fb>
    <v>8</v>
  </rv>
  <rv s="1">
    <v>http://it.wikipedia.org/wiki/Lockheed_Martin</v>
    <v>Wikipedia</v>
  </rv>
  <rv s="2">
    <v>6</v>
    <v>222</v>
  </rv>
  <rv s="3">
    <v>7</v>
    <v>https://www.bing.com/th?id=AMMS_bd5262d682934f83e02c4cfc584ce6d3&amp;qlt=95</v>
    <v>223</v>
    <v>0</v>
    <v>https://www.bing.com/images/search?form=xlimg&amp;q=lockheed+martin</v>
    <v>Image of LOCKHEED MARTIN CORPORATION</v>
  </rv>
  <rv s="1">
    <v>https://www.bing.com/financeapi/forcetrigger?t=a1wzw7&amp;q=XNYS%3aLMT&amp;form=skydnc</v>
    <v>Learn more on Bing</v>
  </rv>
  <rv s="4">
    <v>en-CA</v>
    <v>a1wzw7</v>
    <v>268435456</v>
    <v>1</v>
    <v>Powered by Refinitiv</v>
    <v>1</v>
    <v>LOCKHEED MARTIN CORPORATION (XNYS:LMT)</v>
    <v>4</v>
    <v>5</v>
    <v>Finance</v>
    <v>6</v>
    <v>414.45</v>
    <v>324.2278</v>
    <v>0.79700000000000004</v>
    <v>13.74</v>
    <v>-1.1969999999999999E-3</v>
    <v>3.4722000000000003E-2</v>
    <v>-0.49</v>
    <v>USD</v>
    <v>Lockheed Martin Corporation is a security and aerospace company. It operates through four segments. Aeronautics segment is engaged in the research, design, development, manufacture, support and upgrade of military aircraft, including combat and air mobility aircraft, unmanned air vehicles and related technologies. Missiles and Fire Control segment provides air and missile defense systems; fire control systems; manned and unmanned ground vehicles, and energy management solutions. Rotary and Mission Systems segment provides design, manufacture, service and support for various military and commercial helicopters, surface ships, sea and land-based missile defense systems, radar systems, sea and air-based mission and combat systems, command and control mission solutions, cyber solutions, and simulation and training solutions. Space segment is engaged in the research and development, design, engineering and production of satellites, missile systems and space transportation systems.</v>
    <v>114000</v>
    <v>New York Stock Exchange</v>
    <v>XNYS</v>
    <v>XNYS</v>
    <v>6801 ROCKLEDGE DR, BETHESDA, MD, 20817-1803 US</v>
    <v>414.45</v>
    <v>224</v>
    <v>Aerospace &amp; Defense</v>
    <v>Stock</v>
    <v>44617.984588367966</v>
    <v>225</v>
    <v>395.22</v>
    <v>111515200000</v>
    <v>LOCKHEED MARTIN CORPORATION</v>
    <v>LOCKHEED MARTIN CORPORATION</v>
    <v>395.23</v>
    <v>17.861000000000001</v>
    <v>395.71</v>
    <v>409.45</v>
    <v>409</v>
    <v>272326900</v>
    <v>LMT</v>
    <v>LOCKHEED MARTIN CORPORATION (XNYS:LMT)</v>
    <v>3376337</v>
    <v>2229306</v>
    <v>1994</v>
  </rv>
  <rv s="5">
    <v>226</v>
  </rv>
  <rv s="0">
    <fb>386.97</fb>
    <v>8</v>
  </rv>
  <rv s="0">
    <fb>382.22</fb>
    <v>8</v>
  </rv>
  <rv s="0">
    <fb>386.9</fb>
    <v>8</v>
  </rv>
  <rv s="0">
    <fb>388.77</fb>
    <v>8</v>
  </rv>
  <rv s="0">
    <fb>386.46</fb>
    <v>8</v>
  </rv>
  <rv s="0">
    <fb>386.2</fb>
    <v>8</v>
  </rv>
  <rv s="1">
    <v>http://en.wikipedia.org/wiki/McDonald's</v>
    <v>Wikipedia</v>
  </rv>
  <rv s="2">
    <v>6</v>
    <v>234</v>
  </rv>
  <rv s="3">
    <v>7</v>
    <v>https://www.bing.com/th?id=AMMS_7d8255243964a8970376f8dd41121106&amp;qlt=95</v>
    <v>235</v>
    <v>0</v>
    <v>https://www.bing.com/images/search?form=xlimg&amp;q=mcdonald%27s</v>
    <v>Image of MCDONALD'S CORPORATION</v>
  </rv>
  <rv s="1">
    <v>https://www.bing.com/financeapi/forcetrigger?t=a1xdec&amp;q=XNYS%3aMCD&amp;form=skydnc</v>
    <v>Learn more on Bing</v>
  </rv>
  <rv s="4">
    <v>en-CA</v>
    <v>a1xdec</v>
    <v>268435456</v>
    <v>1</v>
    <v>Powered by Refinitiv</v>
    <v>1</v>
    <v>MCDONALD'S CORPORATION (XNYS:MCD)</v>
    <v>4</v>
    <v>5</v>
    <v>Finance</v>
    <v>15</v>
    <v>271.14999999999998</v>
    <v>202.73</v>
    <v>0.60580000000000001</v>
    <v>4.42</v>
    <v>-1.4030000000000002E-3</v>
    <v>1.8038999999999999E-2</v>
    <v>-0.35</v>
    <v>USD</v>
    <v>McDonald's Corporation (McDonald's) operates and franchises McDonald's restaurants. The Company's restaurants serve a locally relevant menu of food and beverages. Its restaurants are owned and operated by independent local business owners. The Company's segments include United States (U.S.), International Operated Markets (IOM) and International Developmental Licensed Markets &amp; Corporate (IDL). The U.S. segment focuses on Company's menu and offerings, as well as delivery and digital platforms. Its IOM segment includes its operations in markets, such as Australia, Canada, France, Germany, Italy, the Netherlands, Russia, Spain and the United Kingdom. Its IDL segment includes its operations in markets, such as Latin America and Asia. Its digital offerings include drive thru, takeaway, delivery, curbside pick-up and dine-in.</v>
    <v>200000</v>
    <v>New York Stock Exchange</v>
    <v>XNYS</v>
    <v>XNYS</v>
    <v>110 N Carpenter St, CHICAGO, IL, 60607-2104 US</v>
    <v>249.53</v>
    <v>236</v>
    <v>Hotels &amp; Entertainment Services</v>
    <v>Stock</v>
    <v>44618.037604930469</v>
    <v>237</v>
    <v>243.62880000000001</v>
    <v>185487200000</v>
    <v>MCDONALD'S CORPORATION</v>
    <v>MCDONALD'S CORPORATION</v>
    <v>246</v>
    <v>24.720500000000001</v>
    <v>245.03</v>
    <v>249.45</v>
    <v>249.1</v>
    <v>743584700</v>
    <v>MCD</v>
    <v>MCDONALD'S CORPORATION (XNYS:MCD)</v>
    <v>4549747</v>
    <v>3222750</v>
    <v>1964</v>
  </rv>
  <rv s="5">
    <v>238</v>
  </rv>
  <rv s="0">
    <fb>253.39</fb>
    <v>8</v>
  </rv>
  <rv s="0">
    <fb>253.81</fb>
    <v>8</v>
  </rv>
  <rv s="0">
    <fb>253.09</fb>
    <v>8</v>
  </rv>
  <rv s="0">
    <fb>250.93</fb>
    <v>8</v>
  </rv>
  <rv s="0">
    <fb>250.6</fb>
    <v>8</v>
  </rv>
  <rv s="0">
    <fb>252.7</fb>
    <v>8</v>
  </rv>
  <rv s="1">
    <v>https://en.wikipedia.org/wiki/Microsoft</v>
    <v>Wikipedia</v>
  </rv>
  <rv s="2">
    <v>6</v>
    <v>246</v>
  </rv>
  <rv s="3">
    <v>7</v>
    <v>https://www.bing.com/th?id=AMMS_1435b697418eae5bfbed034f46c28dc4&amp;qlt=95</v>
    <v>247</v>
    <v>0</v>
    <v>https://www.bing.com/images/search?form=xlimg&amp;q=microsoft</v>
    <v>Image of MICROSOFT CORPORATION</v>
  </rv>
  <rv s="1">
    <v>https://www.bing.com/financeapi/forcetrigger?t=a1xzim&amp;q=XNAS%3aMSFT&amp;form=skydnc</v>
    <v>Learn more on Bing</v>
  </rv>
  <rv s="4">
    <v>en-CA</v>
    <v>a1xzim</v>
    <v>268435456</v>
    <v>1</v>
    <v>Powered by Refinitiv</v>
    <v>1</v>
    <v>MICROSOFT CORPORATION (XNAS:MSFT)</v>
    <v>4</v>
    <v>5</v>
    <v>Finance</v>
    <v>6</v>
    <v>349.67</v>
    <v>224.26</v>
    <v>0.90890000000000004</v>
    <v>2.72</v>
    <v>-1.0430000000000001E-3</v>
    <v>9.2329999999999999E-3</v>
    <v>-0.31</v>
    <v>USD</v>
    <v>Microsoft Corporation is a technology company. The Company develops and supports a range of software products, services, devices, and solutions. The Company's segments include Productivity and Business Processes, Intelligent Cloud, and More Personal Computing. The Company's products include operating systems; cross-device productivity applications; server applications; business solution applications; desktop and server management tools; software development tools; and video games. It also designs, manufactures, and sells devices, including personal computers (PCs), tablets, gaming and entertainment consoles, other intelligent devices, and related accessories. It offers an array of services, including cloud-based solutions that provide customers with software, services, platforms, and content, and it provides solution support and consulting services. It markets and distributes its products and services through original equipment manufacturers, direct, and distributors and resellers.</v>
    <v>181000</v>
    <v>Nasdaq Stock Market</v>
    <v>XNAS</v>
    <v>XNAS</v>
    <v>1 Microsoft Way, REDMOND, WA, 98052-6399 US</v>
    <v>297.63</v>
    <v>248</v>
    <v>Software &amp; IT Services</v>
    <v>Stock</v>
    <v>44617.906400647655</v>
    <v>249</v>
    <v>291.65499999999997</v>
    <v>2228893000000</v>
    <v>MICROSOFT CORPORATION</v>
    <v>MICROSOFT CORPORATION</v>
    <v>295.14</v>
    <v>31.631599999999999</v>
    <v>294.58999999999997</v>
    <v>297.31</v>
    <v>297</v>
    <v>7496866000</v>
    <v>MSFT</v>
    <v>MICROSOFT CORPORATION (XNAS:MSFT)</v>
    <v>32546721</v>
    <v>44901799</v>
    <v>1993</v>
  </rv>
  <rv s="5">
    <v>250</v>
  </rv>
  <rv s="0">
    <fb>295</fb>
    <v>8</v>
  </rv>
  <rv s="0">
    <fb>300.47000000000003</fb>
    <v>8</v>
  </rv>
  <rv s="0">
    <fb>299.5</fb>
    <v>8</v>
  </rv>
  <rv s="0">
    <fb>290.73</fb>
    <v>8</v>
  </rv>
  <rv s="0">
    <fb>287.93</fb>
    <v>8</v>
  </rv>
  <rv s="0">
    <fb>287.72000000000003</fb>
    <v>8</v>
  </rv>
  <rv s="1">
    <v>http://en.wikipedia.org/wiki/Oracle_Corporation</v>
    <v>Wikipedia</v>
  </rv>
  <rv s="2">
    <v>6</v>
    <v>258</v>
  </rv>
  <rv s="3">
    <v>7</v>
    <v>https://www.bing.com/th?id=AMMS_97047ea34a7db58214e0c76156dd6ed2&amp;qlt=95</v>
    <v>259</v>
    <v>0</v>
    <v>https://www.bing.com/images/search?form=xlimg&amp;q=oracle+corporation</v>
    <v>Image of ORACLE CORPORATION</v>
  </rv>
  <rv s="1">
    <v>https://www.bing.com/financeapi/forcetrigger?t=a1zbec&amp;q=XNYS%3aORCL&amp;form=skydnc</v>
    <v>Learn more on Bing</v>
  </rv>
  <rv s="4">
    <v>en-CA</v>
    <v>a1zbec</v>
    <v>268435456</v>
    <v>1</v>
    <v>Powered by Refinitiv</v>
    <v>1</v>
    <v>ORACLE CORPORATION (XNYS:ORCL)</v>
    <v>4</v>
    <v>5</v>
    <v>Finance</v>
    <v>6</v>
    <v>106.34</v>
    <v>64.77</v>
    <v>0.81120000000000003</v>
    <v>1.54</v>
    <v>1.9650000000000002E-3</v>
    <v>2.0584999999999999E-2</v>
    <v>0.15</v>
    <v>USD</v>
    <v>Oracle Corporation (Oracle) provides products and services that address enterprise information technology (IT) environments. The Company’s businesses include cloud and license, hardware and services. Its products and services include applications and infrastructure offerings that are delivered through a variety of IT deployment models. Its customers include government agencies, educational institutions and resellers. Using Oracle technologies, its customers build, deploy, run, manage and support their internal and external products, services and business operations. Its Oracle Cloud Services offerings includes Oracle Software as a Service (SaaS) and Oracle infrastructure as a service (IaaS) offering, which provides a stack of applications and infrastructure services delivered via cloud-based deployment models. Oracle Cloud Services integrate the software, hardware and services on a customer’s behalf in a cloud-based IT environment.</v>
    <v>132000</v>
    <v>New York Stock Exchange</v>
    <v>XNYS</v>
    <v>XNYS</v>
    <v>2300 Oracle Way, AUSTIN, TX, 78741 US</v>
    <v>76.834999999999994</v>
    <v>260</v>
    <v>Software &amp; IT Services</v>
    <v>Stock</v>
    <v>44617.912699039065</v>
    <v>261</v>
    <v>74.319999999999993</v>
    <v>208716900000</v>
    <v>ORACLE CORPORATION</v>
    <v>ORACLE CORPORATION</v>
    <v>74.650000000000006</v>
    <v>22.169699999999999</v>
    <v>74.81</v>
    <v>76.349999999999994</v>
    <v>76.5</v>
    <v>2733686000</v>
    <v>ORCL</v>
    <v>ORACLE CORPORATION (XNYS:ORCL)</v>
    <v>8291803</v>
    <v>8904722</v>
    <v>2005</v>
  </rv>
  <rv s="5">
    <v>262</v>
  </rv>
  <rv s="0">
    <fb>78.95</fb>
    <v>8</v>
  </rv>
  <rv s="0">
    <fb>79.77</fb>
    <v>8</v>
  </rv>
  <rv s="0">
    <fb>79.19</fb>
    <v>8</v>
  </rv>
  <rv s="0">
    <fb>75.53</fb>
    <v>8</v>
  </rv>
  <rv s="0">
    <fb>74.569999999999993</fb>
    <v>8</v>
  </rv>
  <rv s="0">
    <fb>74.12</fb>
    <v>8</v>
  </rv>
  <rv s="1">
    <v>http://en.wikipedia.org/wiki/Qualcomm</v>
    <v>Wikipedia</v>
  </rv>
  <rv s="2">
    <v>6</v>
    <v>270</v>
  </rv>
  <rv s="3">
    <v>7</v>
    <v>https://www.bing.com/th?id=AMMS_2b1c176dae370ecc0d55a1517537f595&amp;qlt=95</v>
    <v>271</v>
    <v>0</v>
    <v>https://www.bing.com/images/search?form=xlimg&amp;q=qualcomm</v>
    <v>Image of QUALCOMM INCORPORATED</v>
  </rv>
  <rv s="1">
    <v>https://www.bing.com/financeapi/forcetrigger?t=a21k2w&amp;q=XNAS%3aQCOM&amp;form=skydnc</v>
    <v>Learn more on Bing</v>
  </rv>
  <rv s="4">
    <v>en-CA</v>
    <v>a21k2w</v>
    <v>268435456</v>
    <v>1</v>
    <v>Powered by Refinitiv</v>
    <v>1</v>
    <v>QUALCOMM INCORPORATED (XNAS:QCOM)</v>
    <v>4</v>
    <v>5</v>
    <v>Finance</v>
    <v>6</v>
    <v>193.58</v>
    <v>122.16500000000001</v>
    <v>1.2484</v>
    <v>2.95</v>
    <v>-8.1899999999999996E-4</v>
    <v>1.7562000000000001E-2</v>
    <v>-0.14000000000000001</v>
    <v>USD</v>
    <v>Qualcomm Incorporated is a wireless technology company. The Company is engaged in the development, launch and expansion of technologies like fifth-generation (5G). The Company operates through three segments: QCT (Qualcomm CDMA Technologies) segment, QTL (Qualcomm Technology Licensing) segment and QSI (Qualcomm Strategic Initiatives) segment. It is specialized in offering third-generation (3G), fourth-generation (4G) wireless technologies and 5G wireless technologies. Its offered technologies and products are used in mobile devices and other wireless products, including network equipment, broadband gateway equipment, consumer electronic devices and other connected devices. Its technologies and products are also used in industry segments and applications beyond mobile, including automotive, computing, Internet of Things (IoT) and networking.</v>
    <v>45000</v>
    <v>Nasdaq Stock Market</v>
    <v>XNAS</v>
    <v>XNAS</v>
    <v>5775 Morehouse Dr, SAN DIEGO, CA, 92121-1714 US</v>
    <v>171.09</v>
    <v>272</v>
    <v>Semiconductors &amp; Semiconductor Equipment</v>
    <v>Stock</v>
    <v>44617.885959675783</v>
    <v>273</v>
    <v>165.6</v>
    <v>192638100000</v>
    <v>QUALCOMM INCORPORATED</v>
    <v>QUALCOMM INCORPORATED</v>
    <v>167.61</v>
    <v>19.5898</v>
    <v>167.98</v>
    <v>170.93</v>
    <v>170.79</v>
    <v>1127000000</v>
    <v>QCOM</v>
    <v>QUALCOMM INCORPORATED (XNAS:QCOM)</v>
    <v>7350249</v>
    <v>12648999</v>
    <v>1991</v>
  </rv>
  <rv s="5">
    <v>274</v>
  </rv>
  <rv s="0">
    <fb>165.13</fb>
    <v>8</v>
  </rv>
  <rv s="0">
    <fb>173</fb>
    <v>8</v>
  </rv>
  <rv s="0">
    <fb>172.6</fb>
    <v>8</v>
  </rv>
  <rv s="0">
    <fb>166.8</fb>
    <v>8</v>
  </rv>
  <rv s="0">
    <fb>167.64</fb>
    <v>8</v>
  </rv>
  <rv s="0">
    <fb>165.89</fb>
    <v>8</v>
  </rv>
  <rv s="1">
    <v>https://www.bing.com/financeapi/forcetrigger?t=a1slm7&amp;q=XNAS%3aFB&amp;form=skydnc</v>
    <v>Learn more on Bing</v>
  </rv>
  <rv s="6">
    <v>en-CA</v>
    <v>a1slm7</v>
    <v>268435456</v>
    <v>1</v>
    <v>Powered by Refinitiv</v>
    <v>9</v>
    <v>Meta Platforms, Inc. (XNAS:FB)</v>
    <v>10</v>
    <v>11</v>
    <v>Finance</v>
    <v>6</v>
    <v>384.33</v>
    <v>190.22</v>
    <v>1.4177999999999999</v>
    <v>2.88</v>
    <v>-1.805E-3</v>
    <v>1.3873E-2</v>
    <v>-0.38</v>
    <v>USD</v>
    <v>Meta Platforms Inc., formerly Facebook, Inc., is focused on building products that enable people to connect and share through mobile devices, personal computers virtual reality headsets, and in-home devices. Its segments include Family of Apps (FoA) and Facebook Reality Labs (FRL). FoA segment includes Facebook, Instagram, Messenger, WhatsApp and other services. FRL segment includes augmented and virtual reality related consumer hardware, software and content. Facebook enables people to connect, share and communicate with each other on mobile devices and personal computers. Instagram helps people to express themselves through photos, videos, and private messaging, and connect with and shop from businesses and creators. Messenger is a messaging application for people to connect with friends, family, groups, and businesses across platforms and devices. WhatsApp is a messaging application that is used by people around the world to communicate and transact.</v>
    <v>71970</v>
    <v>Nasdaq Stock Market</v>
    <v>XNAS</v>
    <v>XNAS</v>
    <v>1601 Willow Rd, MENLO PARK, CA, 94025 US</v>
    <v>211.32</v>
    <v>Software &amp; IT Services</v>
    <v>Stock</v>
    <v>44617.91284240703</v>
    <v>282</v>
    <v>203.18</v>
    <v>572914300000</v>
    <v>Meta Platforms, Inc.</v>
    <v>Meta Platforms, Inc.</v>
    <v>204.94</v>
    <v>15.260199999999999</v>
    <v>207.6</v>
    <v>210.48</v>
    <v>210.1</v>
    <v>2721942000</v>
    <v>FB</v>
    <v>Meta Platforms, Inc. (XNAS:FB)</v>
    <v>37627551</v>
    <v>50371324</v>
    <v>2004</v>
  </rv>
  <rv s="5">
    <v>283</v>
  </rv>
  <rv s="0">
    <fb>217.7</fb>
    <v>8</v>
  </rv>
  <rv s="0">
    <fb>221</fb>
    <v>8</v>
  </rv>
  <rv s="0">
    <fb>216.54</fb>
    <v>8</v>
  </rv>
  <rv s="0">
    <fb>207.71</fb>
    <v>8</v>
  </rv>
  <rv s="0">
    <fb>206.16</fb>
    <v>8</v>
  </rv>
  <rv s="0">
    <fb>202.08</fb>
    <v>8</v>
  </rv>
  <rv s="1">
    <v>https://www.bing.com/financeapi/forcetrigger?t=a256cw&amp;q=XNYS%3aV&amp;form=skydnc</v>
    <v>Learn more on Bing</v>
  </rv>
  <rv s="6">
    <v>en-CA</v>
    <v>a256cw</v>
    <v>268435456</v>
    <v>1</v>
    <v>Powered by Refinitiv</v>
    <v>9</v>
    <v>VISA INC. (XNYS:V)</v>
    <v>10</v>
    <v>11</v>
    <v>Finance</v>
    <v>6</v>
    <v>252.67</v>
    <v>190.1</v>
    <v>0.91159999999999997</v>
    <v>1.93</v>
    <v>5.017E-4</v>
    <v>8.8819999999999993E-3</v>
    <v>0.11</v>
    <v>USD</v>
    <v>Visa Inc. (Visa) is a payments technology company that provides digital payments across more than 200 countries and territories. The Company connects consumers, merchants, financial institutions, businesses, strategic partners and government entities to electronic payments. The Company operates through payment services segment. The Company's transaction processing network, VisaNet, facilitates authorization, clearing and settlement of payment transactions and enables to provide its financial institution and merchant clients a range of products, platforms and value-added services. The Company is a retail electronic payment network based on payments volume, number of transactions and number of cards in circulation. Its products/services include transaction processing services, Visa-branded payment products, including credit, debit, prepaid and cash access programs for individual, business and government account holders.</v>
    <v>21500</v>
    <v>New York Stock Exchange</v>
    <v>XNYS</v>
    <v>XNYS</v>
    <v>900 Metro Center Blvd, FOSTER CITY, CA, 94404 US</v>
    <v>220.68</v>
    <v>Software &amp; IT Services</v>
    <v>Stock</v>
    <v>44617.927328899998</v>
    <v>291</v>
    <v>214.25</v>
    <v>459769000000</v>
    <v>VISA INC.</v>
    <v>VISA INC.</v>
    <v>217.29</v>
    <v>40.927199999999999</v>
    <v>217.3</v>
    <v>219.23</v>
    <v>219.38</v>
    <v>2096817000</v>
    <v>V</v>
    <v>VISA INC. (XNYS:V)</v>
    <v>8463568</v>
    <v>10778591</v>
    <v>2007</v>
  </rv>
  <rv s="5">
    <v>292</v>
  </rv>
  <rv s="0">
    <fb>225.34</fb>
    <v>8</v>
  </rv>
  <rv s="0">
    <fb>227.82</fb>
    <v>8</v>
  </rv>
  <rv s="0">
    <fb>228.82</fb>
    <v>8</v>
  </rv>
  <rv s="0">
    <fb>224.61</fb>
    <v>8</v>
  </rv>
  <rv s="0">
    <fb>222.69</fb>
    <v>8</v>
  </rv>
  <rv s="0">
    <fb>221.32</fb>
    <v>8</v>
  </rv>
  <rv s="1">
    <v>http://ja.wikipedia.org/wiki/Twitter</v>
    <v>Wikipedia</v>
  </rv>
  <rv s="2">
    <v>6</v>
    <v>300</v>
  </rv>
  <rv s="3">
    <v>7</v>
    <v>https://www.bing.com/th?id=AMMS_e616448e16a88dfcb98701516863e901&amp;qlt=95</v>
    <v>301</v>
    <v>0</v>
    <v>https://www.bing.com/images/search?form=xlimg&amp;q=twitter</v>
    <v>Image of TWITTER, INC.</v>
  </rv>
  <rv s="1">
    <v>https://www.bing.com/financeapi/forcetrigger?t=a24op2&amp;q=XNYS%3aTWTR&amp;form=skydnc</v>
    <v>Learn more on Bing</v>
  </rv>
  <rv s="4">
    <v>en-CA</v>
    <v>a24op2</v>
    <v>268435456</v>
    <v>1</v>
    <v>Powered by Refinitiv</v>
    <v>1</v>
    <v>TWITTER, INC. (XNYS:TWTR)</v>
    <v>4</v>
    <v>5</v>
    <v>Finance</v>
    <v>6</v>
    <v>78.73</v>
    <v>31.3</v>
    <v>0.80189999999999995</v>
    <v>0.31</v>
    <v>-7.084E-3</v>
    <v>8.8620000000000001E-3</v>
    <v>-0.25</v>
    <v>USD</v>
    <v>Twitter, Inc. offers products and services for users, advertisers, developers and data partners. The Company's products and services include Twitter, Promoted Ads and Twitter Amplify, Follower Ads and Twitter Takeover. Twitter is a platform for public self-expression and conversation in real time. Its Promoted Ads include objective-based features that allow advertisers to pay only for the types of engagement selected by the advertisers, such as Tweet engagements, Website clicks, mobile application installs or engagements, obtaining new followers, or video views. Follower Ads provide a way for its advertisers to build and grow an audience that is interested in their business, product or service. Its Follower Ads are pay-for-performance advertising priced through an auction. Twitter Takeover appear at the top of the list of trending topics or timeline for an entire day in a particular country or on a global basis. The Company sell its Twitter Takeover on a fixed-fee-per-day basis.</v>
    <v>7500</v>
    <v>New York Stock Exchange</v>
    <v>XNYS</v>
    <v>XNYS</v>
    <v>1355 Market St Ste 900, SAN FRANCISCO, CA, 94103-1337 US</v>
    <v>35.299999999999997</v>
    <v>302</v>
    <v>Software &amp; IT Services</v>
    <v>Stock</v>
    <v>44617.90556716406</v>
    <v>303</v>
    <v>34.130000000000003</v>
    <v>28254630000</v>
    <v>TWITTER, INC.</v>
    <v>TWITTER, INC.</v>
    <v>35.119999999999997</v>
    <v>0</v>
    <v>34.979999999999997</v>
    <v>35.29</v>
    <v>35.04</v>
    <v>800641200</v>
    <v>TWTR</v>
    <v>TWITTER, INC. (XNYS:TWTR)</v>
    <v>15394855</v>
    <v>21245967</v>
    <v>2007</v>
  </rv>
  <rv s="5">
    <v>304</v>
  </rv>
  <rv s="0">
    <fb>35.69</fb>
    <v>8</v>
  </rv>
  <rv s="0">
    <fb>36.979999999999997</fb>
    <v>8</v>
  </rv>
  <rv s="0">
    <fb>36.24</fb>
    <v>8</v>
  </rv>
  <rv s="0">
    <fb>35.43</fb>
    <v>8</v>
  </rv>
  <rv s="0">
    <fb>34.32</fb>
    <v>8</v>
  </rv>
  <rv s="0">
    <fb>32.93</fb>
    <v>8</v>
  </rv>
  <rv s="1">
    <v>https://www.bing.com/financeapi/forcetrigger?t=a22k9c&amp;q=XNAS%3aSBUX&amp;form=skydnc</v>
    <v>Learn more on Bing</v>
  </rv>
  <rv s="6">
    <v>en-CA</v>
    <v>a22k9c</v>
    <v>268435456</v>
    <v>1</v>
    <v>Powered by Refinitiv</v>
    <v>9</v>
    <v>STARBUCKS CORPORATION (XNAS:SBUX)</v>
    <v>10</v>
    <v>11</v>
    <v>Finance</v>
    <v>6</v>
    <v>126.32</v>
    <v>87.25</v>
    <v>0.89429999999999998</v>
    <v>1.57</v>
    <v>0</v>
    <v>1.7251000000000002E-2</v>
    <v>0</v>
    <v>USD</v>
    <v>Starbucks Corp is a roaster, marketer and retailer of specialty coffee with operations in approximately 83 markets around the world. The Company has over 32,660 Company-operated and licensed stores. It operates through three segments: Americas, which includes the United States, Canada and Latin America; International, which includes China, Japan, Asia Pacific, Europe, the Middle East and Africa; and Channel Development. Americas and International operations sell coffee and other beverages, complementary food, packaged coffees, single-serve coffee products and a focused selection of merchandise through Company-operated stores and licensed stores. Channel Development segment is engaged in sale of packaged coffee, tea and ready-to-drink beverages to customers outside of its Company-operated and licensed stores. The Company also sells goods and services under various brands, including Teavana, Seattle’s Best Coffee, Evolution Fresh, Ethos, Starbucks Reserve and Princi.</v>
    <v>383000</v>
    <v>Nasdaq Stock Market</v>
    <v>XNAS</v>
    <v>XNAS</v>
    <v>2401 Utah Ave S, SEATTLE, WA, 98134-1436 US</v>
    <v>92.79</v>
    <v>Hotels &amp; Entertainment Services</v>
    <v>Stock</v>
    <v>44617.912779154685</v>
    <v>312</v>
    <v>90.28</v>
    <v>106494800000</v>
    <v>STARBUCKS CORPORATION</v>
    <v>STARBUCKS CORPORATION</v>
    <v>91.3</v>
    <v>24.956099999999999</v>
    <v>91.01</v>
    <v>92.58</v>
    <v>92.58</v>
    <v>1150300000</v>
    <v>SBUX</v>
    <v>STARBUCKS CORPORATION (XNAS:SBUX)</v>
    <v>7039415</v>
    <v>9838807</v>
    <v>1985</v>
  </rv>
  <rv s="5">
    <v>313</v>
  </rv>
  <rv s="0">
    <fb>93.65</fb>
    <v>8</v>
  </rv>
  <rv s="0">
    <fb>94.51</fb>
    <v>8</v>
  </rv>
  <rv s="0">
    <fb>95.18</fb>
    <v>8</v>
  </rv>
  <rv s="0">
    <fb>93.05</fb>
    <v>8</v>
  </rv>
  <rv s="0">
    <fb>93.34</fb>
    <v>8</v>
  </rv>
  <rv s="0">
    <fb>93.11</fb>
    <v>8</v>
  </rv>
  <rv s="1">
    <v>https://www.bing.com/financeapi/forcetrigger?t=a25552&amp;q=XNYS%3aRTX&amp;form=skydnc</v>
    <v>Learn more on Bing</v>
  </rv>
  <rv s="6">
    <v>en-CA</v>
    <v>a25552</v>
    <v>268435456</v>
    <v>1</v>
    <v>Powered by Refinitiv</v>
    <v>9</v>
    <v>RAYTHEON TECHNOLOGIES CORPORATION (XNYS:RTX)</v>
    <v>10</v>
    <v>11</v>
    <v>Finance</v>
    <v>6</v>
    <v>98.273700000000005</v>
    <v>72.739999999999995</v>
    <v>1.3319000000000001</v>
    <v>3.87</v>
    <v>2.8539999999999998E-3</v>
    <v>4.1060999999999993E-2</v>
    <v>0.28000000000000003</v>
    <v>USD</v>
    <v>Raytheon Technologies Corp, formerly United Technologies Corporation, is an aerospace and defense company that is engaged in providing advanced systems and services for commercial, military and government customers worldwide. The Company's operations are classified into four principal business segments: Collins Aerospace Systems, which is a global provider of aerospace and defense products and aftermarket service solutions for aircraft manufacturers, defense and commercial space operations; Pratt &amp; Whitney is engaged in suppling aircraft engines for commercial, military, business jet and general aviation customers; Raytheon Intelligence &amp; Space is a developer and provider of integrated sensor and communication systems for advanced missions, advanced training, and cyber and software solutions to intelligence, defense, federal and commercial customers; and Raytheon Missiles &amp; Defense segment, which is a designer, developer and producer of integrated air and missile defense systems.</v>
    <v>174000</v>
    <v>New York Stock Exchange</v>
    <v>XNYS</v>
    <v>XNYS</v>
    <v>870 WINTER STREET, WALTHAM, MA, 02451 US</v>
    <v>98.273700000000005</v>
    <v>Aerospace &amp; Defense</v>
    <v>Stock</v>
    <v>44617.905567187503</v>
    <v>321</v>
    <v>94.2</v>
    <v>146427500000</v>
    <v>RAYTHEON TECHNOLOGIES CORPORATION</v>
    <v>RAYTHEON TECHNOLOGIES CORPORATION</v>
    <v>94.39</v>
    <v>38.089300000000001</v>
    <v>94.25</v>
    <v>98.12</v>
    <v>98.4</v>
    <v>1492331000</v>
    <v>RTX</v>
    <v>RAYTHEON TECHNOLOGIES CORPORATION (XNYS:RTX)</v>
    <v>8692294</v>
    <v>6700460</v>
    <v>1934</v>
  </rv>
  <rv s="5">
    <v>322</v>
  </rv>
  <rv s="0">
    <fb>93.57</fb>
    <v>8</v>
  </rv>
  <rv s="0">
    <fb>94.04</fb>
    <v>8</v>
  </rv>
  <rv s="0">
    <fb>94.75</fb>
    <v>8</v>
  </rv>
  <rv s="0">
    <fb>94.36</fb>
    <v>8</v>
  </rv>
  <rv s="0">
    <fb>93.37</fb>
    <v>8</v>
  </rv>
  <rv s="0">
    <fb>93.54</fb>
    <v>8</v>
  </rv>
  <rv s="1">
    <v>https://www.bing.com/financeapi/forcetrigger?t=a1yjxm&amp;q=XNYS%3aNKE&amp;form=skydnc</v>
    <v>Learn more on Bing</v>
  </rv>
  <rv s="6">
    <v>en-CA</v>
    <v>a1yjxm</v>
    <v>268435456</v>
    <v>1</v>
    <v>Powered by Refinitiv</v>
    <v>9</v>
    <v>NIKE, INC. (XNYS:NKE)</v>
    <v>10</v>
    <v>11</v>
    <v>Finance</v>
    <v>6</v>
    <v>179.1</v>
    <v>125.44</v>
    <v>0.96409999999999996</v>
    <v>1.64</v>
    <v>2.8100000000000004E-3</v>
    <v>1.1956E-2</v>
    <v>0.39</v>
    <v>USD</v>
    <v>NIKE, Inc. is engaged in the designing, marketing and distributing of athletic footwear, apparel, equipment and accessories for sports and fitness activities. The Company's operating segments include North America, Europe, Middle East &amp; Africa (EMEA), Greater China, and Asia Pacific &amp; Latin America (APLA). It focuses its NIKE Brand product offerings in categories such as Running, NIKE Basketball, the Jordan Brand, Football (Soccer), Training and Sportswear. It also markets products designed for kids, as well as for other athletic and recreational uses such as American football, baseball, cricket, golf, lacrosse, skateboarding, tennis, volleyball, walking, wrestling and other outdoor activities. It sells a line of performance equipment and accessories under the NIKE Brand name, including bags, socks, sport balls, eyewear, timepieces, digital devices, bats, gloves, protective equipment and other equipment designed for sports activities.</v>
    <v>73300</v>
    <v>New York Stock Exchange</v>
    <v>XNYS</v>
    <v>XNYS</v>
    <v>1 SW Bowerman Dr, BEAVERTON, OR, 97005-6453 US</v>
    <v>139.22</v>
    <v>Textiles &amp; Apparel</v>
    <v>Stock</v>
    <v>44617.912776446094</v>
    <v>330</v>
    <v>136.19</v>
    <v>219483800000</v>
    <v>NIKE, INC.</v>
    <v>NIKE, INC.</v>
    <v>138.13</v>
    <v>36.365900000000003</v>
    <v>137.16999999999999</v>
    <v>138.81</v>
    <v>139.19</v>
    <v>1581295000</v>
    <v>NKE</v>
    <v>NIKE, INC. (XNYS:NKE)</v>
    <v>5424604</v>
    <v>6445822</v>
    <v>1969</v>
  </rv>
  <rv s="5">
    <v>331</v>
  </rv>
  <rv s="0">
    <fb>141.59</fb>
    <v>8</v>
  </rv>
  <rv s="0">
    <fb>145.58000000000001</fb>
    <v>8</v>
  </rv>
  <rv s="0">
    <fb>146.49</fb>
    <v>8</v>
  </rv>
  <rv s="0">
    <fb>142.80000000000001</fb>
    <v>8</v>
  </rv>
  <rv s="0">
    <fb>142.94999999999999</fb>
    <v>8</v>
  </rv>
  <rv s="0">
    <fb>138.19</fb>
    <v>8</v>
  </rv>
  <rv s="1">
    <v>https://www.bing.com/financeapi/forcetrigger?t=a1xth7&amp;q=XNAS%3aMNST&amp;form=skydnc</v>
    <v>Learn more on Bing</v>
  </rv>
  <rv s="6">
    <v>en-CA</v>
    <v>a1xth7</v>
    <v>268435456</v>
    <v>1</v>
    <v>Powered by Refinitiv</v>
    <v>9</v>
    <v>MONSTER BEVERAGE CORPORATION (XNAS:MNST)</v>
    <v>10</v>
    <v>11</v>
    <v>Finance</v>
    <v>6</v>
    <v>99.89</v>
    <v>76.37</v>
    <v>1.1362000000000001</v>
    <v>4.22</v>
    <v>-8.2770000000000001E-4</v>
    <v>5.2519999999999997E-2</v>
    <v>-7.0000000000000007E-2</v>
    <v>USD</v>
    <v>Monster Beverage 1990 Corp is a United States-based company, which develops, markets, sells and distributes energy drink beverages and concentrates for energy drink beverages, under various brand names, including Monster Energy, Monster Energy Ultra, Monster Rehab, Monster MAXX, Java Monster, Muscle Monster, Espresso Monster, Punch Monster, Juice Monster, Monster Hydro, Monster HydroSport Super Fuel, Monster Super Fuel, Predator, Fury, Reign Total Body Fuel, Reign Inferno Thermogenic Fuel, Monster Dragon Tea, NOS, Full Throttle, Burn, Mother, Nalu, Ultra Energy, Play and Power Play, Relentless, BPM, BU, Gladiator, Samurai and Live+.</v>
    <v>3666</v>
    <v>Nasdaq Stock Market</v>
    <v>XNAS</v>
    <v>XNAS</v>
    <v>1 Monster Way, CORONA, CA, 92879-7101 US</v>
    <v>86.98</v>
    <v>Beverages</v>
    <v>Stock</v>
    <v>44617.970101967185</v>
    <v>339</v>
    <v>82.13</v>
    <v>44764850000</v>
    <v>MONSTER BEVERAGE CORPORATION</v>
    <v>MONSTER BEVERAGE CORPORATION</v>
    <v>83</v>
    <v>32.880499999999998</v>
    <v>80.349999999999994</v>
    <v>84.57</v>
    <v>84.5</v>
    <v>529323000</v>
    <v>MNST</v>
    <v>MONSTER BEVERAGE CORPORATION (XNAS:MNST)</v>
    <v>5836119</v>
    <v>2976460</v>
    <v>2014</v>
  </rv>
  <rv s="5">
    <v>340</v>
  </rv>
  <rv s="0">
    <fb>82.57</fb>
    <v>8</v>
  </rv>
  <rv s="0">
    <fb>82.78</fb>
    <v>8</v>
  </rv>
  <rv s="0">
    <fb>83.22</fb>
    <v>8</v>
  </rv>
  <rv s="0">
    <fb>82.14</fb>
    <v>8</v>
  </rv>
  <rv s="0">
    <fb>81.27</fb>
    <v>8</v>
  </rv>
  <rv s="0">
    <fb>81.650000000000006</fb>
    <v>8</v>
  </rv>
  <rv s="1">
    <v>https://www.bing.com/financeapi/forcetrigger?t=a1wi77&amp;q=XNAS%3aKHC&amp;form=skydnc</v>
    <v>Learn more on Bing</v>
  </rv>
  <rv s="6">
    <v>en-CA</v>
    <v>a1wi77</v>
    <v>268435456</v>
    <v>1</v>
    <v>Powered by Refinitiv</v>
    <v>9</v>
    <v>THE KRAFT HEINZ COMPANY (XNAS:KHC)</v>
    <v>10</v>
    <v>11</v>
    <v>Finance</v>
    <v>6</v>
    <v>44.95</v>
    <v>32.784999999999997</v>
    <v>0.94950000000000001</v>
    <v>0.75</v>
    <v>-1.0070000000000001E-3</v>
    <v>1.9240999999999998E-2</v>
    <v>-0.04</v>
    <v>USD</v>
    <v>The Kraft Heinz Company (Kraft Heinz) is a global food and beverage company. The Company's segments include United States, International and Canada. It manufactures and markets food and beverage products, including condiments and sauces, dairy, meals, meats, refreshment beverages, coffee, and other grocery products throughout the world. It offers its products under various brands, such as Kraft, Oscar Mayer, Heinz, Philadelphia, Lunchables, Velveeta, Maxwell House, Kool-Aid, Ore-Ida, Jell-O, Master, Quero, Golden Circle and Wattie's. The Company's products are sold through its own sales organizations and through independent brokers, agents, and distributors to chain, wholesale, cooperative and independent grocery accounts, convenience stores, drug stores, value stores, bakeries, pharmacies, mass merchants, club stores, foodservice distributors, and institutions, including hotels, restaurants, hospitals, health care facilities and certain government agencies.</v>
    <v>36000</v>
    <v>Nasdaq Stock Market</v>
    <v>XNAS</v>
    <v>XNAS</v>
    <v>1 Ppg Pl, PITTSBURGH, PA, 15222-5415 US</v>
    <v>40.094999999999999</v>
    <v>Food &amp; Tobacco</v>
    <v>Stock</v>
    <v>44617.997722140622</v>
    <v>348</v>
    <v>39.18</v>
    <v>48619200000</v>
    <v>THE KRAFT HEINZ COMPANY</v>
    <v>THE KRAFT HEINZ COMPANY</v>
    <v>39.18</v>
    <v>63.466500000000003</v>
    <v>38.979999999999997</v>
    <v>39.729999999999997</v>
    <v>39.69</v>
    <v>1223740000</v>
    <v>KHC</v>
    <v>THE KRAFT HEINZ COMPANY (XNAS:KHC)</v>
    <v>7638938</v>
    <v>9420037</v>
    <v>2013</v>
  </rv>
  <rv s="5">
    <v>349</v>
  </rv>
  <rv s="0">
    <fb>34.590000000000003</fb>
    <v>8</v>
  </rv>
  <rv s="0">
    <fb>34.68</fb>
    <v>8</v>
  </rv>
  <rv s="0">
    <fb>36.619999999999997</fb>
    <v>8</v>
  </rv>
  <rv s="0">
    <fb>37.79</fb>
    <v>8</v>
  </rv>
  <rv s="0">
    <fb>38.46</fb>
    <v>8</v>
  </rv>
  <rv s="0">
    <fb>40.4</fb>
    <v>8</v>
  </rv>
  <rv s="1">
    <v>https://www.bing.com/financeapi/forcetrigger?t=a1uwu2&amp;q=XNYS%3aHSY&amp;form=skydnc</v>
    <v>Learn more on Bing</v>
  </rv>
  <rv s="6">
    <v>en-CA</v>
    <v>a1uwu2</v>
    <v>268435456</v>
    <v>1</v>
    <v>Powered by Refinitiv</v>
    <v>9</v>
    <v>THE HERSHEY COMPANY (XNYS:HSY)</v>
    <v>10</v>
    <v>11</v>
    <v>Finance</v>
    <v>6</v>
    <v>207.82</v>
    <v>143.58000000000001</v>
    <v>0.37790000000000001</v>
    <v>7.51</v>
    <v>0</v>
    <v>3.8158999999999998E-2</v>
    <v>0</v>
    <v>USD</v>
    <v>The Hershey Company is a global confectionery company. The Company produces snack, chocolate and non-chocolate confectionery. It operates through two segments: North America and International and Other. Its product offerings include chocolate and non-chocolate confectionery products; gum and mint refreshment products; snack items such as popcorn, protein bars and cookies, spreads, bars and snack bites/mixes, and meat snacks; and pantry items, such as baking ingredients, toppings and beverages. The Company is also engaged in offering pretzel. North America segment includes its operations in in the United States and Canada. International and Other segment includes its operations outside of North America. The Company offers its products under various brands, such as Jolly Rancher, Almond Joy, Brookside, barkTHINS, Cadbury, Good &amp; Plenty, Heath, Kit Kat, Lancaster, Payday, Rolo, Twizzlers, Whoppers and York.</v>
    <v>16620</v>
    <v>New York Stock Exchange</v>
    <v>XNYS</v>
    <v>XNYS</v>
    <v>19 EAST CHOCOLATE AVENUE, EXTERNAL RPTG &amp; COMPLIANCE, HERSHEY, PA, 17033 US</v>
    <v>204.59</v>
    <v>Food &amp; Tobacco</v>
    <v>Stock</v>
    <v>44617.924911724222</v>
    <v>357</v>
    <v>198.02</v>
    <v>41935020000</v>
    <v>THE HERSHEY COMPANY</v>
    <v>THE HERSHEY COMPANY</v>
    <v>198.51</v>
    <v>28.747299999999999</v>
    <v>196.81</v>
    <v>204.32</v>
    <v>204.32</v>
    <v>205241900</v>
    <v>HSY</v>
    <v>THE HERSHEY COMPANY (XNYS:HSY)</v>
    <v>1079986</v>
    <v>1154300</v>
    <v>1927</v>
  </rv>
  <rv s="5">
    <v>358</v>
  </rv>
  <rv s="0">
    <fb>203.35</fb>
    <v>8</v>
  </rv>
  <rv s="0">
    <fb>202.88</fb>
    <v>8</v>
  </rv>
  <rv s="0">
    <fb>202.65</fb>
    <v>8</v>
  </rv>
  <rv s="0">
    <fb>202.03</fb>
    <v>8</v>
  </rv>
  <rv s="0">
    <fb>202.59</fb>
    <v>8</v>
  </rv>
  <rv s="1">
    <v>https://www.bing.com/financeapi/forcetrigger?t=a1tyrw&amp;q=XNYS%3aGM&amp;form=skydnc</v>
    <v>Learn more on Bing</v>
  </rv>
  <rv s="6">
    <v>en-CA</v>
    <v>a1tyrw</v>
    <v>268435456</v>
    <v>1</v>
    <v>Powered by Refinitiv</v>
    <v>9</v>
    <v>GENERAL MOTORS COMPANY (XNYS:GM)</v>
    <v>10</v>
    <v>11</v>
    <v>Finance</v>
    <v>6</v>
    <v>67.209999999999994</v>
    <v>43.91</v>
    <v>1.2203999999999999</v>
    <v>1.08</v>
    <v>-2.1080000000000003E-4</v>
    <v>2.3300999999999999E-2</v>
    <v>-0.01</v>
    <v>USD</v>
    <v>General Motors Company designs, builds and sells trucks, crossovers, cars and automobile parts worldwide. The Company provides automotive financing services through General Motors Financial Company, Inc. (GM Financial). GM North America (GMNA) and GM International (GMI) are its automotive segments. GMNA and GMI meets the demands of customers in North America with vehicles developed, manufactured and marketed under the Buick, Cadillac, Chevrolet, GMC and Holden brands. The Company's segments include GMNA, GMI, Cruise and GM Financial. The Company’s subsidiaries and business units include OnStar LLC, which provides vehicle connectivity services; Cruise LLC, which is in the development and commercialization of self-driving technology; GM Financial Co., is its finance subsidiary, and BrightDrop, which is developing an ecosystem and electrified products and services to help in first to last mile delivery operations.</v>
    <v>157000</v>
    <v>New York Stock Exchange</v>
    <v>XNYS</v>
    <v>XNYS</v>
    <v>300 Renaissance Center, DETROIT, MI, 48265-0001 US</v>
    <v>47.475000000000001</v>
    <v>Automobiles &amp; Auto Parts</v>
    <v>Stock</v>
    <v>44617.922863020314</v>
    <v>365</v>
    <v>45.85</v>
    <v>68916800000</v>
    <v>GENERAL MOTORS COMPANY</v>
    <v>GENERAL MOTORS COMPANY</v>
    <v>46.35</v>
    <v>7.0735999999999999</v>
    <v>46.35</v>
    <v>47.43</v>
    <v>47.42</v>
    <v>1453021000</v>
    <v>GM</v>
    <v>GENERAL MOTORS COMPANY (XNYS:GM)</v>
    <v>13465064</v>
    <v>21889301</v>
    <v>2009</v>
  </rv>
  <rv s="5">
    <v>366</v>
  </rv>
  <rv s="0">
    <fb>48.4</fb>
    <v>8</v>
  </rv>
  <rv s="0">
    <fb>49.67</fb>
    <v>8</v>
  </rv>
  <rv s="0">
    <fb>50.43</fb>
    <v>8</v>
  </rv>
  <rv s="0">
    <fb>48.82</fb>
    <v>8</v>
  </rv>
  <rv s="0">
    <fb>48.6</fb>
    <v>8</v>
  </rv>
  <rv s="0">
    <fb>46.77</fb>
    <v>8</v>
  </rv>
  <rv s="1">
    <v>https://www.bing.com/financeapi/forcetrigger?t=a1tg3m&amp;q=XNAS%3aFTNT&amp;form=skydnc</v>
    <v>Learn more on Bing</v>
  </rv>
  <rv s="6">
    <v>en-CA</v>
    <v>a1tg3m</v>
    <v>268435456</v>
    <v>1</v>
    <v>Powered by Refinitiv</v>
    <v>9</v>
    <v>FORTINET, INC. (XNAS:FTNT)</v>
    <v>10</v>
    <v>11</v>
    <v>Finance</v>
    <v>6</v>
    <v>371.77</v>
    <v>161.13</v>
    <v>1.1565000000000001</v>
    <v>8.52</v>
    <v>-1.2920000000000002E-3</v>
    <v>2.6924E-2</v>
    <v>-0.42</v>
    <v>USD</v>
    <v>Fortinet, Inc. offers cyber security solutions. The Company provides cyber security solutions to a variety of organizations, including enterprises, communication service providers, government organizations and small businesses. Its network security appliances are managed by its FortiOS network operating system. Its Cloud Security portfolio also includes securing applications, including email and Web. Its cloud security offerings are available for deployment in public and private cloud environments, including Amazon Web Services, Microsoft Azure, Google Cloud, Oracle Cloud, Alibaba Cloud, IBM Cloud and VMWare Cloud. It also offers managed intrusion prevention system (IPS) and Web application firewall (WAF) rules delivered by FortiGuard Labs as an overlay service to native security offerings offered by Amazon Web Services. Its public and private cloud security solutions, including virtual appliances and hosted solutions, cover the capabilities of the Fortinet Security Fabric platform.</v>
    <v>9700</v>
    <v>Nasdaq Stock Market</v>
    <v>XNAS</v>
    <v>XNAS</v>
    <v>899 Kifer Rd, SUNNYVALE, CA, 94086-5205 US</v>
    <v>325.56</v>
    <v>Software &amp; IT Services</v>
    <v>Stock</v>
    <v>44617.912653633597</v>
    <v>374</v>
    <v>310</v>
    <v>53132530000</v>
    <v>FORTINET, INC.</v>
    <v>FORTINET, INC.</v>
    <v>316.95999999999998</v>
    <v>89.460800000000006</v>
    <v>316.45</v>
    <v>324.97000000000003</v>
    <v>324.55</v>
    <v>163499800</v>
    <v>FTNT</v>
    <v>FORTINET, INC. (XNAS:FTNT)</v>
    <v>1236480</v>
    <v>1496206</v>
    <v>2000</v>
  </rv>
  <rv s="5">
    <v>375</v>
  </rv>
  <rv s="0">
    <fb>310.35000000000002</fb>
    <v>8</v>
  </rv>
  <rv s="0">
    <fb>322.42</fb>
    <v>8</v>
  </rv>
  <rv s="0">
    <fb>320.36</fb>
    <v>8</v>
  </rv>
  <rv s="0">
    <fb>310.54000000000002</fb>
    <v>8</v>
  </rv>
  <rv s="0">
    <fb>304.85000000000002</fb>
    <v>8</v>
  </rv>
  <rv s="0">
    <fb>297.39999999999998</fb>
    <v>8</v>
  </rv>
  <rv s="1">
    <v>http://en.wikipedia.org/wiki/Ford_Motor_Company</v>
    <v>Wikipedia</v>
  </rv>
  <rv s="2">
    <v>6</v>
    <v>383</v>
  </rv>
  <rv s="3">
    <v>7</v>
    <v>https://www.bing.com/th?id=AMMS_cf0311a5f2d2dcb3110aca1404330618&amp;qlt=95</v>
    <v>384</v>
    <v>0</v>
    <v>https://www.bing.com/images/search?form=xlimg&amp;q=ford+motor+company</v>
    <v>Image of FORD MOTOR COMPANY</v>
  </rv>
  <rv s="1">
    <v>https://www.bing.com/financeapi/forcetrigger?t=a1sjw7&amp;q=XNYS%3aF&amp;form=skydnc</v>
    <v>Learn more on Bing</v>
  </rv>
  <rv s="4">
    <v>en-CA</v>
    <v>a1sjw7</v>
    <v>268435456</v>
    <v>1</v>
    <v>Powered by Refinitiv</v>
    <v>1</v>
    <v>FORD MOTOR COMPANY (XNYS:F)</v>
    <v>4</v>
    <v>5</v>
    <v>Finance</v>
    <v>6</v>
    <v>25.87</v>
    <v>11.14</v>
    <v>1.1218999999999999</v>
    <v>0.68</v>
    <v>-3.3650000000000004E-3</v>
    <v>3.9649999999999998E-2</v>
    <v>-0.06</v>
    <v>USD</v>
    <v>Ford Motor Company is an automobile company that designs, manufactures, markets, and services a full line of Ford trucks, utility vehicles, cars as well as Lincoln luxury vehicles. The Company operates in three segments: Automotive, Mobility and Ford Credit. The Automotive segment is engaged in developing, manufacturing, distributing, and servicing the vehicles, parts and accessories of Ford and Lincoln vehicles. The Mobility segment primarily includes the development of Ford’s autonomous vehicles and related businesses. The Company also holds ownership is Argo AI, which is a developer of autonomous driving systems, and Spin, which is a micro-mobility service provider. The Ford Credit segment is comprised of the Ford Credit business on a consolidated basis, which is primarily vehicle-related financing and leasing activities. Ford Credit offers a wide variety of automotive financing products to and through automotive dealers throughout the world.</v>
    <v>183000</v>
    <v>New York Stock Exchange</v>
    <v>XNYS</v>
    <v>XNYS</v>
    <v>1 American Rd, DEARBORN, MI, 48126-2701 US</v>
    <v>17.899999999999999</v>
    <v>385</v>
    <v>Automobiles &amp; Auto Parts</v>
    <v>Stock</v>
    <v>44617.912883853904</v>
    <v>386</v>
    <v>17.12</v>
    <v>71395730000</v>
    <v>FORD MOTOR COMPANY</v>
    <v>FORD MOTOR COMPANY</v>
    <v>17.25</v>
    <v>4.0229999999999997</v>
    <v>17.149999999999999</v>
    <v>17.829999999999998</v>
    <v>17.77</v>
    <v>4004248000</v>
    <v>F</v>
    <v>FORD MOTOR COMPANY (XNYS:F)</v>
    <v>78887954</v>
    <v>107471668</v>
    <v>1919</v>
  </rv>
  <rv s="5">
    <v>387</v>
  </rv>
  <rv s="0">
    <fb>17.46</fb>
    <v>8</v>
  </rv>
  <rv s="0">
    <fb>18.079999999999998</fb>
    <v>8</v>
  </rv>
  <rv s="0">
    <fb>18.010000000000002</fb>
    <v>8</v>
  </rv>
  <rv s="0">
    <fb>17.54</fb>
    <v>8</v>
  </rv>
  <rv s="0">
    <fb>18.04</fb>
    <v>8</v>
  </rv>
  <rv s="0">
    <fb>17.29</fb>
    <v>8</v>
  </rv>
  <rv s="1">
    <v>https://www.bing.com/financeapi/forcetrigger?t=a1sqcw&amp;q=XNYS%3aFDS&amp;form=skydnc</v>
    <v>Learn more on Bing</v>
  </rv>
  <rv s="6">
    <v>en-CA</v>
    <v>a1sqcw</v>
    <v>268435456</v>
    <v>1</v>
    <v>Powered by Refinitiv</v>
    <v>9</v>
    <v>FACTSET RESEARCH SYSTEMS INC. (XNYS:FDS)</v>
    <v>10</v>
    <v>11</v>
    <v>Finance</v>
    <v>6</v>
    <v>495.39499999999998</v>
    <v>302.92</v>
    <v>0.80889999999999995</v>
    <v>14.73</v>
    <v>0</v>
    <v>3.7576999999999999E-2</v>
    <v>0</v>
    <v>USD</v>
    <v>FactSet Research Systems Inc. is a provider of integrated financial information, analytical applications and services for the investment and corporate communities. The Company operates through three segments: the Americas; Europe, Middle East, and Africa (EMEA); and Asia Pacific. Within each of its segments, the Company delivers information through its four workflow solutions of Research, Analytics and Trading, Content and Technology Solutions (CTS) and Wealth. It serves a range of financial professionals, which includes portfolio managers, investment research professionals, investment bankers, risk and performance analysts, wealth advisors, and corporate clients. The Company provides both insights on global market trends and intelligence on companies and industries, as well as capabilities to monitor portfolio risk and performance and execute trades. It also offers subscription to products and services such as workstations, portfolio analytics, enterprise data and research management.</v>
    <v>10898</v>
    <v>New York Stock Exchange</v>
    <v>XNYS</v>
    <v>XNYS</v>
    <v>45 GLOVER AVENUE, NORWALK, CT, 06850 US</v>
    <v>407.9</v>
    <v>Professional &amp; Commercial Services</v>
    <v>Stock</v>
    <v>44617.881944444445</v>
    <v>395</v>
    <v>390.81</v>
    <v>15373240000</v>
    <v>FACTSET RESEARCH SYSTEMS INC.</v>
    <v>FACTSET RESEARCH SYSTEMS INC.</v>
    <v>394.04</v>
    <v>38.622700000000002</v>
    <v>392</v>
    <v>406.73</v>
    <v>406.73</v>
    <v>37797160</v>
    <v>FDS</v>
    <v>FACTSET RESEARCH SYSTEMS INC. (XNYS:FDS)</v>
    <v>318594</v>
    <v>257240</v>
    <v>1984</v>
  </rv>
  <rv s="5">
    <v>396</v>
  </rv>
  <rv s="0">
    <fb>400.03</fb>
    <v>8</v>
  </rv>
  <rv s="0">
    <fb>408</fb>
    <v>8</v>
  </rv>
  <rv s="0">
    <fb>412.32</fb>
    <v>8</v>
  </rv>
  <rv s="0">
    <fb>405.68</fb>
    <v>8</v>
  </rv>
  <rv s="0">
    <fb>403.01</fb>
    <v>8</v>
  </rv>
  <rv s="0">
    <fb>404.15</fb>
    <v>8</v>
  </rv>
  <rv s="8">
    <v>16</v>
    <v>a21k2w</v>
    <v>Daily</v>
    <v>44606</v>
    <v>44614</v>
    <v>0</v>
    <v>1</v>
    <v>637810848000000000,637812729621873112,0</v>
    <v>0</v>
    <v>a21k2w</v>
    <v>XNAS:QCOM</v>
    <v>1</v>
  </rv>
  <rv s="8">
    <v>16</v>
    <v>a1sqcw</v>
    <v>Daily</v>
    <v>44606</v>
    <v>44614</v>
    <v>0</v>
    <v>1</v>
    <v>637810848000000000,637812729625819613,0</v>
    <v>0</v>
    <v>a1sqcw</v>
    <v>XNYS:FDS</v>
    <v>2</v>
  </rv>
  <rv s="8">
    <v>16</v>
    <v>a1wljc</v>
    <v>Daily</v>
    <v>44606</v>
    <v>44614</v>
    <v>0</v>
    <v>1</v>
    <v>637810848000000000,637812729624636116,0</v>
    <v>0</v>
    <v>a1wljc</v>
    <v>XNYS:KO</v>
    <v>3</v>
  </rv>
  <rv s="8">
    <v>16</v>
    <v>a1slm7</v>
    <v>Daily</v>
    <v>44606</v>
    <v>44614</v>
    <v>0</v>
    <v>1</v>
    <v>637810848000000000,637812729625806823,0</v>
    <v>0</v>
    <v>a1slm7</v>
    <v>XNAS:FB</v>
    <v>4</v>
  </rv>
  <rv s="8">
    <v>16</v>
    <v>a1otrw</v>
    <v>Daily</v>
    <v>44606</v>
    <v>44614</v>
    <v>0</v>
    <v>1</v>
    <v>637810848000000000,637812729621882801,0</v>
    <v>0</v>
    <v>a1otrw</v>
    <v>XNYS:BRK.B</v>
    <v>5</v>
  </rv>
  <rv s="8">
    <v>16</v>
    <v>a1mou2</v>
    <v>Daily</v>
    <v>44606</v>
    <v>44614</v>
    <v>0</v>
    <v>1</v>
    <v>637810848000000000,637812728379336772,0</v>
    <v>0</v>
    <v>a1mou2</v>
    <v>XNAS:AAPL</v>
    <v>6</v>
  </rv>
  <rv s="8">
    <v>16</v>
    <v>a1nhlh</v>
    <v>Daily</v>
    <v>44606</v>
    <v>44614</v>
    <v>0</v>
    <v>1</v>
    <v>637810848000000000,637812729625804373,0</v>
    <v>0</v>
    <v>a1nhlh</v>
    <v>XNAS:AMZN</v>
    <v>7</v>
  </rv>
  <rv s="8">
    <v>16</v>
    <v>a1w8ec</v>
    <v>Daily</v>
    <v>44606</v>
    <v>44614</v>
    <v>0</v>
    <v>1</v>
    <v>637810848000000000,637812729625820555,0</v>
    <v>0</v>
    <v>a1w8ec</v>
    <v>XNYS:JNJ</v>
    <v>8</v>
  </rv>
  <rv s="8">
    <v>16</v>
    <v>a1u3rw</v>
    <v>Daily</v>
    <v>44606</v>
    <v>44614</v>
    <v>0</v>
    <v>1</v>
    <v>637810848000000000,637812729621877093,0</v>
    <v>0</v>
    <v>a1u3rw</v>
    <v>XNAS:GOOGL</v>
    <v>9</v>
  </rv>
  <rv s="8">
    <v>16</v>
    <v>a256cw</v>
    <v>Daily</v>
    <v>44606</v>
    <v>44614</v>
    <v>0</v>
    <v>1</v>
    <v>637810848000000000,637812729625814331,0</v>
    <v>0</v>
    <v>a256cw</v>
    <v>XNYS:V</v>
    <v>10</v>
  </rv>
  <rv s="8">
    <v>16</v>
    <v>a1o4sm</v>
    <v>Daily</v>
    <v>44606</v>
    <v>44614</v>
    <v>0</v>
    <v>1</v>
    <v>637810848000000000,637812729621887050,0</v>
    <v>0</v>
    <v>a1o4sm</v>
    <v>XNYS:BAC</v>
    <v>11</v>
  </rv>
  <rv s="8">
    <v>16</v>
    <v>a1yjxm</v>
    <v>Daily</v>
    <v>44606</v>
    <v>44614</v>
    <v>0</v>
    <v>1</v>
    <v>637810848000000000,637812729621862735,0</v>
    <v>0</v>
    <v>a1yjxm</v>
    <v>XNYS:NKE</v>
    <v>12</v>
  </rv>
  <rv s="8">
    <v>16</v>
    <v>a25tgh</v>
    <v>Daily</v>
    <v>44606</v>
    <v>44614</v>
    <v>0</v>
    <v>1</v>
    <v>637810848000000000,637812729621862889,0</v>
    <v>0</v>
    <v>a25tgh</v>
    <v>XNYS:WFC</v>
    <v>13</v>
  </rv>
  <rv s="8">
    <v>16</v>
    <v>a1u3p2</v>
    <v>Daily</v>
    <v>44606</v>
    <v>44614</v>
    <v>0</v>
    <v>1</v>
    <v>637810848000000000,637812729621885703,0</v>
    <v>0</v>
    <v>a1u3p2</v>
    <v>XNAS:GOOG</v>
    <v>14</v>
  </rv>
  <rv s="8">
    <v>16</v>
    <v>a1oxur</v>
    <v>Daily</v>
    <v>44606</v>
    <v>44614</v>
    <v>0</v>
    <v>1</v>
    <v>637810848000000000,637812729625819803,0</v>
    <v>0</v>
    <v>a1oxur</v>
    <v>XNYS:BSX</v>
    <v>15</v>
  </rv>
  <rv s="8">
    <v>16</v>
    <v>a24kar</v>
    <v>Daily</v>
    <v>44606</v>
    <v>44614</v>
    <v>0</v>
    <v>1</v>
    <v>637810848000000000,637812729557644788,0</v>
    <v>0</v>
    <v>a24kar</v>
    <v>XNAS:TSLA</v>
    <v>16</v>
  </rv>
  <rv s="8">
    <v>16</v>
    <v>a1tg3m</v>
    <v>Daily</v>
    <v>44606</v>
    <v>44614</v>
    <v>0</v>
    <v>1</v>
    <v>637810848000000000,637812729625820917,0</v>
    <v>0</v>
    <v>a1tg3m</v>
    <v>XNAS:FTNT</v>
    <v>17</v>
  </rv>
  <rv s="8">
    <v>16</v>
    <v>a1r2z2</v>
    <v>Daily</v>
    <v>44606</v>
    <v>44614</v>
    <v>0</v>
    <v>1</v>
    <v>637810848000000000,637812729621858817,0</v>
    <v>0</v>
    <v>a1r2z2</v>
    <v>XNYS:DIS</v>
    <v>18</v>
  </rv>
  <rv s="8">
    <v>16</v>
    <v>a1v6nm</v>
    <v>Daily</v>
    <v>44606</v>
    <v>44614</v>
    <v>0</v>
    <v>1</v>
    <v>637810848000000000,637812729621875746,0</v>
    <v>0</v>
    <v>a1v6nm</v>
    <v>XNYS:IBM</v>
    <v>19</v>
  </rv>
  <rv s="8">
    <v>16</v>
    <v>a1vmf2</v>
    <v>Daily</v>
    <v>44606</v>
    <v>44614</v>
    <v>0</v>
    <v>1</v>
    <v>637810848000000000,637812729621906963,0</v>
    <v>0</v>
    <v>a1vmf2</v>
    <v>XNAS:INTC</v>
    <v>20</v>
  </rv>
  <rv s="8">
    <v>16</v>
    <v>a1u7xm</v>
    <v>Daily</v>
    <v>44606</v>
    <v>44614</v>
    <v>0</v>
    <v>1</v>
    <v>637810848000000000,637812729624647609,0</v>
    <v>0</v>
    <v>a1u7xm</v>
    <v>XNYS:GS</v>
    <v>21</v>
  </rv>
  <rv s="8">
    <v>16</v>
    <v>a1xzim</v>
    <v>Daily</v>
    <v>44606</v>
    <v>44614</v>
    <v>0</v>
    <v>1</v>
    <v>637810848000000000,637812729624636116,0</v>
    <v>0</v>
    <v>a1xzim</v>
    <v>XNAS:MSFT</v>
    <v>22</v>
  </rv>
  <rv s="8">
    <v>16</v>
    <v>a25552</v>
    <v>Daily</v>
    <v>44606</v>
    <v>44614</v>
    <v>0</v>
    <v>1</v>
    <v>637810848000000000,637812729624645716,0</v>
    <v>0</v>
    <v>a25552</v>
    <v>XNYS:RTX</v>
    <v>23</v>
  </rv>
  <rv s="8">
    <v>16</v>
    <v>a1xth7</v>
    <v>Daily</v>
    <v>44606</v>
    <v>44614</v>
    <v>0</v>
    <v>1</v>
    <v>637810848000000000,637812729625821415,0</v>
    <v>0</v>
    <v>a1xth7</v>
    <v>XNAS:MNST</v>
    <v>24</v>
  </rv>
  <rv s="8">
    <v>16</v>
    <v>a1wzw7</v>
    <v>Daily</v>
    <v>44606</v>
    <v>44614</v>
    <v>0</v>
    <v>1</v>
    <v>637810848000000000,637812729625820917,0</v>
    <v>0</v>
    <v>a1wzw7</v>
    <v>XNYS:LMT</v>
    <v>25</v>
  </rv>
  <rv s="8">
    <v>16</v>
    <v>a22k9c</v>
    <v>Daily</v>
    <v>44606</v>
    <v>44614</v>
    <v>0</v>
    <v>1</v>
    <v>637810848000000000,637812729624622013,0</v>
    <v>0</v>
    <v>a22k9c</v>
    <v>XNAS:SBUX</v>
    <v>26</v>
  </rv>
  <rv s="8">
    <v>16</v>
    <v>a1wi77</v>
    <v>Daily</v>
    <v>44606</v>
    <v>44614</v>
    <v>0</v>
    <v>1</v>
    <v>637810848000000000,637812729625841326,0</v>
    <v>0</v>
    <v>a1wi77</v>
    <v>XNAS:KHC</v>
    <v>27</v>
  </rv>
  <rv s="8">
    <v>16</v>
    <v>a24op2</v>
    <v>Daily</v>
    <v>44606</v>
    <v>44614</v>
    <v>0</v>
    <v>1</v>
    <v>637810848000000000,637812729624629058,0</v>
    <v>0</v>
    <v>a24op2</v>
    <v>XNYS:TWTR</v>
    <v>28</v>
  </rv>
  <rv s="8">
    <v>16</v>
    <v>a1zbec</v>
    <v>Daily</v>
    <v>44606</v>
    <v>44614</v>
    <v>0</v>
    <v>1</v>
    <v>637810848000000000,637812729624633352,0</v>
    <v>0</v>
    <v>a1zbec</v>
    <v>XNYS:ORCL</v>
    <v>29</v>
  </rv>
  <rv s="8">
    <v>16</v>
    <v>axyhnm</v>
    <v>Daily</v>
    <v>44606</v>
    <v>44614</v>
    <v>0</v>
    <v>1</v>
    <v>637810848000000000,637812729624626036,0</v>
    <v>0</v>
    <v>axyhnm</v>
    <v>XNAS:PEP</v>
    <v>30</v>
  </rv>
  <rv s="8">
    <v>16</v>
    <v>a1yv52</v>
    <v>Daily</v>
    <v>44606</v>
    <v>44614</v>
    <v>0</v>
    <v>1</v>
    <v>637810848000000000,637812729624623821,0</v>
    <v>0</v>
    <v>a1yv52</v>
    <v>XNAS:NVDA</v>
    <v>31</v>
  </rv>
  <rv s="8">
    <v>16</v>
    <v>a1waa2</v>
    <v>Daily</v>
    <v>44606</v>
    <v>44614</v>
    <v>0</v>
    <v>1</v>
    <v>637810848000000000,637812729624643734,0</v>
    <v>0</v>
    <v>a1waa2</v>
    <v>XNYS:JPM</v>
    <v>32</v>
  </rv>
  <rv s="8">
    <v>16</v>
    <v>a21icw</v>
    <v>Daily</v>
    <v>44606</v>
    <v>44614</v>
    <v>0</v>
    <v>1</v>
    <v>637810848000000000,637812729624643734,0</v>
    <v>0</v>
    <v>a21icw</v>
    <v>XNAS:PYPL</v>
    <v>33</v>
  </rv>
  <rv s="8">
    <v>16</v>
    <v>a1sjw7</v>
    <v>Daily</v>
    <v>44606</v>
    <v>44614</v>
    <v>0</v>
    <v>1</v>
    <v>637810848000000000,637812729624637361,0</v>
    <v>0</v>
    <v>a1sjw7</v>
    <v>XNYS:F</v>
    <v>34</v>
  </rv>
  <rv s="8">
    <v>16</v>
    <v>a1xdec</v>
    <v>Daily</v>
    <v>44606</v>
    <v>44614</v>
    <v>0</v>
    <v>1</v>
    <v>637810848000000000,637812729624635763,0</v>
    <v>0</v>
    <v>a1xdec</v>
    <v>XNYS:MCD</v>
    <v>35</v>
  </rv>
  <rv s="8">
    <v>16</v>
    <v>a1uwu2</v>
    <v>Daily</v>
    <v>44606</v>
    <v>44614</v>
    <v>0</v>
    <v>1</v>
    <v>637810848000000000,637812729624636116,0</v>
    <v>0</v>
    <v>a1uwu2</v>
    <v>XNYS:HSY</v>
    <v>36</v>
  </rv>
  <rv s="8">
    <v>16</v>
    <v>a1sqr7</v>
    <v>Daily</v>
    <v>44606</v>
    <v>44614</v>
    <v>0</v>
    <v>1</v>
    <v>637810848000000000,637812729624627681,0</v>
    <v>0</v>
    <v>a1sqr7</v>
    <v>XNYS:FDX</v>
    <v>37</v>
  </rv>
  <rv s="8">
    <v>16</v>
    <v>a1tyrw</v>
    <v>Daily</v>
    <v>44606</v>
    <v>44614</v>
    <v>0</v>
    <v>1</v>
    <v>637810848000000000,637812729624638925,0</v>
    <v>0</v>
    <v>a1tyrw</v>
    <v>XNYS:GM</v>
    <v>38</v>
  </rv>
  <rv s="8">
    <v>16</v>
    <v>a1ygoc</v>
    <v>Daily</v>
    <v>44606</v>
    <v>44614</v>
    <v>0</v>
    <v>1</v>
    <v>637810848000000000,637812729624639503,0</v>
    <v>0</v>
    <v>a1ygoc</v>
    <v>XNAS:NFLX</v>
    <v>39</v>
  </rv>
</rvData>
</file>

<file path=xl/richData/rdrichvaluestructure.xml><?xml version="1.0" encoding="utf-8"?>
<rvStructures xmlns="http://schemas.microsoft.com/office/spreadsheetml/2017/richdata" count="9">
  <s t="_formattednumber">
    <k n="_Format" t="spb"/>
  </s>
  <s t="_hyperlink">
    <k n="Address" t="s"/>
    <k n="Text" t="s"/>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3">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7">
    <spb s="0">
      <v>1</v>
    </spb>
    <spb s="1">
      <v>0</v>
      <v>Name</v>
      <v>LearnMoreOnLink</v>
    </spb>
    <spb s="2">
      <v>0</v>
      <v>0</v>
    </spb>
    <spb s="3">
      <v>0</v>
      <v>0</v>
      <v>0</v>
    </spb>
    <spb s="4">
      <v>2</v>
      <v>3</v>
      <v>3</v>
      <v>3</v>
      <v>3</v>
    </spb>
    <spb s="5">
      <v>2</v>
      <v>3</v>
      <v>3</v>
      <v>2</v>
      <v>4</v>
      <v>2</v>
      <v>5</v>
      <v>2</v>
      <v>2</v>
      <v>6</v>
      <v>6</v>
      <v>7</v>
      <v>8</v>
      <v>2</v>
      <v>2</v>
      <v>2</v>
      <v>6</v>
      <v>9</v>
      <v>10</v>
      <v>11</v>
      <v>6</v>
      <v>2</v>
      <v>2</v>
      <v>7</v>
    </spb>
    <spb s="6">
      <v>at close</v>
      <v>from previous close</v>
      <v>from previous close</v>
      <v>Source: Nasdaq Last Sale</v>
      <v>GMT</v>
      <v>Real-Time Nasdaq Last Sale</v>
      <v>from close</v>
      <v>from close</v>
    </spb>
    <spb s="7">
      <v>Powered by Refinitiv</v>
    </spb>
    <spb s="0">
      <v>2</v>
    </spb>
    <spb s="1">
      <v>1</v>
      <v>Name</v>
      <v>LearnMoreOnLink</v>
    </spb>
    <spb s="8">
      <v>3</v>
      <v>3</v>
      <v>3</v>
      <v>3</v>
    </spb>
    <spb s="9">
      <v>2</v>
      <v>3</v>
      <v>3</v>
      <v>2</v>
      <v>4</v>
      <v>2</v>
      <v>2</v>
      <v>2</v>
      <v>6</v>
      <v>6</v>
      <v>7</v>
      <v>8</v>
      <v>2</v>
      <v>2</v>
      <v>2</v>
      <v>6</v>
      <v>9</v>
      <v>10</v>
      <v>11</v>
      <v>6</v>
      <v>2</v>
      <v>2</v>
      <v>7</v>
    </spb>
    <spb s="1">
      <v>2</v>
      <v>Name</v>
      <v>LearnMoreOnLink</v>
    </spb>
    <spb s="10">
      <v>12</v>
      <v>3</v>
      <v>3</v>
      <v>12</v>
      <v>4</v>
      <v>12</v>
      <v>5</v>
      <v>12</v>
      <v>12</v>
      <v>6</v>
      <v>6</v>
      <v>7</v>
      <v>8</v>
      <v>12</v>
      <v>12</v>
      <v>12</v>
      <v>6</v>
      <v>9</v>
      <v>10</v>
      <v>11</v>
      <v>6</v>
    </spb>
    <spb s="11">
      <v>Delayed 15 minutes</v>
      <v>from previous close</v>
      <v>from previous close</v>
      <v>GMT</v>
    </spb>
    <spb s="6">
      <v>at close</v>
      <v>from previous close</v>
      <v>from previous close</v>
      <v>Source: Nasdaq</v>
      <v>GMT</v>
      <v>Delayed 15 minutes</v>
      <v>from close</v>
      <v>from close</v>
    </spb>
    <spb s="12">
      <v>1</v>
      <v>2</v>
    </spb>
  </spbData>
</supportingPropertyBags>
</file>

<file path=xl/richData/rdsupportingpropertybagstructure.xml><?xml version="1.0" encoding="utf-8"?>
<spbStructures xmlns="http://schemas.microsoft.com/office/spreadsheetml/2017/richdata2" count="13">
  <s>
    <k n="_Self" t="i"/>
  </s>
  <s>
    <k n="^Order" t="spba"/>
    <k n="TitleProperty" t="s"/>
    <k n="SubTitleProperty" t="s"/>
  </s>
  <s>
    <k n="ShowInDotNotation" t="b"/>
    <k n="ShowInAutoComplete" t="b"/>
  </s>
  <s>
    <k n="ShowInCardView" t="b"/>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name"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yyyy/mm/dd\ h:mm"/>
    </x:dxf>
    <x:dxf>
      <x:numFmt numFmtId="14" formatCode="0.00%"/>
    </x:dxf>
    <x:dxf>
      <x:numFmt numFmtId="3" formatCode="#,##0"/>
    </x:dxf>
    <x:dxf>
      <x:numFmt numFmtId="4" formatCode="#,##0.00"/>
    </x:dxf>
    <x:dxf>
      <x:numFmt numFmtId="1" formatCode="0"/>
    </x:dxf>
    <x:dxf>
      <x:numFmt numFmtId="19" formatCode="yyyy/mm/dd"/>
    </x:dxf>
  </dxfs>
  <richProperties>
    <rPr n="NumberFormat" t="s"/>
    <rPr n="IsTitleField" t="b"/>
    <rPr n="IsHeroField" t="b"/>
  </richProperties>
  <richStyles>
    <rSty dxfid="7"/>
    <rSty dxfid="1">
      <rpv i="0">_([$$-en-US]* #,##0.00_);_([$$-en-US]* (#,##0.00);_([$$-en-US]* "-"??_);_(@_)</rpv>
    </rSty>
    <rSty dxfid="5">
      <rpv i="0">#,##0.00</rpv>
    </rSty>
    <rSty>
      <rpv i="1">1</rpv>
    </rSty>
    <rSty>
      <rpv i="2">1</rpv>
    </rSty>
    <rSty dxfid="4">
      <rpv i="0">#,##0</rpv>
    </rSty>
    <rSty dxfid="3"/>
    <rSty dxfid="1">
      <rpv i="0">_([$$-en-US]* #,##0_);_([$$-en-US]* (#,##0);_([$$-en-US]* "-"_);_(@_)</rpv>
    </rSty>
    <rSty dxfid="2"/>
    <rSty dxfid="6">
      <rpv i="0">0</rpv>
    </rSty>
    <rSty dxfid="0">
      <rpv i="0">0.00</rpv>
    </rSty>
    <rSty dxfid="1">
      <rpv i="0">_([$€-x-euro2] * #,##0.00_);_([$€-x-euro2] * (#,##0.00);_([$€-x-euro2] *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2DE8527-29FB-4D84-90D9-A1332EF4E40F}" name="Table7" displayName="Table7" ref="O4:R12" totalsRowShown="0">
  <autoFilter ref="O4:R12" xr:uid="{E2DE8527-29FB-4D84-90D9-A1332EF4E40F}"/>
  <tableColumns count="4">
    <tableColumn id="1" xr3:uid="{418E35AA-B6E1-4E5B-8FD9-5865212BF8A8}" name="Date" dataDxfId="4" dataCellStyle="Normal 3"/>
    <tableColumn id="2" xr3:uid="{FCC3186B-5E02-4EBB-A2C1-002FB9B721A0}" name="Weekly New York Harbor Conventional Gasoline Regular Spot Price FOB  (Dollars per Gallon)" dataCellStyle="Normal 3"/>
    <tableColumn id="3" xr3:uid="{3DDBC544-7E09-475E-8295-A14E211B8CD1}" name="Total gain unhedged">
      <calculatedColumnFormula>(P5-2.302)*5040000</calculatedColumnFormula>
    </tableColumn>
    <tableColumn id="4" xr3:uid="{2527488A-0D2F-4089-92E0-6DDCE6C6F8F3}" name="Total gains hedged (approximated)">
      <calculatedColumnFormula>10*42000*((P5-2.302)/0.757015219)</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FC819C-4E42-48B2-A0AF-B5EC7BF35B97}" name="Table1" displayName="Table1" ref="G43:M50" totalsRowShown="0" headerRowDxfId="3">
  <autoFilter ref="G43:M50" xr:uid="{67FC819C-4E42-48B2-A0AF-B5EC7BF35B97}"/>
  <tableColumns count="7">
    <tableColumn id="1" xr3:uid="{BD673B44-1DEF-4363-91C9-8C7A1A8FE3CE}" name="Date" dataDxfId="2"/>
    <tableColumn id="2" xr3:uid="{29F8535E-AA76-4012-B1B0-EEA6B3B8A61E}" name="2022-02-14"/>
    <tableColumn id="3" xr3:uid="{A595CE6C-20CE-4A3C-8A7D-1F37FCAABB25}" name="2022-02-15"/>
    <tableColumn id="4" xr3:uid="{BDD5BE86-0FCF-4574-B562-25540AA0B758}" name="2022-02-16"/>
    <tableColumn id="5" xr3:uid="{8B983AA2-0264-4287-AE00-9A40B6EA1C95}" name="2022-02-17"/>
    <tableColumn id="6" xr3:uid="{C4F97F8D-81E6-4C35-8581-6851533495E3}" name="2022-02-18"/>
    <tableColumn id="7" xr3:uid="{0C1C8DAF-FE8E-460A-9BBE-FD16FF0F6047}" name="2022-02-2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D216A75-7418-4878-B681-BD86BFC6846E}" name="Table5" displayName="Table5" ref="O43:U50" totalsRowShown="0" headerRowDxfId="1">
  <autoFilter ref="O43:U50" xr:uid="{5D216A75-7418-4878-B681-BD86BFC6846E}"/>
  <tableColumns count="7">
    <tableColumn id="1" xr3:uid="{91FEDDC2-1869-4C50-80EC-66ACB26F396A}" name="Date" dataDxfId="0"/>
    <tableColumn id="2" xr3:uid="{3301D5B0-87C0-4A8D-BA88-4DB106890E63}" name="2022-02-14"/>
    <tableColumn id="3" xr3:uid="{60DAEDFD-0C2C-4230-8092-95688D60FAFA}" name="2022-02-15"/>
    <tableColumn id="4" xr3:uid="{397EED9E-8A15-4211-BAA8-1BF14C513029}" name="2022-02-16"/>
    <tableColumn id="5" xr3:uid="{1C753658-5397-48A3-85CE-38D407B4024C}" name="2022-02-17"/>
    <tableColumn id="6" xr3:uid="{7EDA0EBB-100E-499F-802B-F6679C85BBED}" name="2022-02-18"/>
    <tableColumn id="7" xr3:uid="{FD7448C0-0018-4F70-A44D-641345EF0675}" name="2022-02-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76"/>
  <sheetViews>
    <sheetView topLeftCell="F22" workbookViewId="0">
      <selection activeCell="B2" sqref="B2"/>
    </sheetView>
  </sheetViews>
  <sheetFormatPr defaultRowHeight="15" x14ac:dyDescent="0.25"/>
  <cols>
    <col min="1" max="1" width="21.85546875" customWidth="1"/>
    <col min="2" max="2" width="33.28515625" customWidth="1"/>
    <col min="3" max="3" width="13.5703125" style="12" customWidth="1"/>
    <col min="4" max="4" width="6.7109375" style="6" customWidth="1"/>
    <col min="5" max="5" width="18.42578125" customWidth="1"/>
    <col min="6" max="6" width="26.5703125" customWidth="1"/>
    <col min="7" max="7" width="13" style="12" customWidth="1"/>
    <col min="8" max="8" width="25" customWidth="1"/>
    <col min="9" max="9" width="13.85546875" style="12" customWidth="1"/>
    <col min="10" max="10" width="22.85546875" customWidth="1"/>
    <col min="11" max="11" width="13.28515625" style="12" customWidth="1"/>
    <col min="12" max="12" width="26.5703125" customWidth="1"/>
    <col min="13" max="13" width="18.140625" style="12" customWidth="1"/>
    <col min="14" max="14" width="9.140625" style="6"/>
    <col min="15" max="15" width="20.5703125" customWidth="1"/>
    <col min="16" max="16" width="18.85546875" customWidth="1"/>
    <col min="17" max="17" width="25.85546875" customWidth="1"/>
    <col min="19" max="19" width="19.5703125" customWidth="1"/>
  </cols>
  <sheetData>
    <row r="1" spans="1:19" ht="18" customHeight="1" x14ac:dyDescent="0.25">
      <c r="A1" s="2" t="s">
        <v>1</v>
      </c>
      <c r="E1" s="33" t="s">
        <v>6</v>
      </c>
      <c r="F1" s="34"/>
      <c r="G1" s="34"/>
    </row>
    <row r="2" spans="1:19" ht="107.25" customHeight="1" x14ac:dyDescent="0.25">
      <c r="A2" s="1" t="s">
        <v>0</v>
      </c>
      <c r="B2" s="3" t="s">
        <v>2</v>
      </c>
      <c r="C2" s="14" t="s">
        <v>3</v>
      </c>
      <c r="E2" s="35" t="s">
        <v>0</v>
      </c>
      <c r="F2" s="36" t="s">
        <v>8</v>
      </c>
      <c r="G2" s="36" t="s">
        <v>7</v>
      </c>
      <c r="H2" s="8" t="s">
        <v>5</v>
      </c>
      <c r="I2" s="13" t="s">
        <v>10</v>
      </c>
      <c r="J2" s="9" t="s">
        <v>9</v>
      </c>
      <c r="K2" s="14" t="s">
        <v>11</v>
      </c>
      <c r="L2" s="9" t="s">
        <v>4</v>
      </c>
      <c r="M2" s="13" t="s">
        <v>12</v>
      </c>
      <c r="P2" s="2" t="s">
        <v>13</v>
      </c>
      <c r="Q2" s="2" t="s">
        <v>18</v>
      </c>
      <c r="S2" s="2" t="s">
        <v>19</v>
      </c>
    </row>
    <row r="3" spans="1:19" x14ac:dyDescent="0.25">
      <c r="A3" s="5">
        <v>40550</v>
      </c>
      <c r="B3" s="4">
        <v>2.4420000000000002</v>
      </c>
      <c r="E3" s="37">
        <v>40550</v>
      </c>
      <c r="F3" s="38">
        <v>2.4289999999999998</v>
      </c>
      <c r="G3" s="38"/>
      <c r="H3" s="7">
        <v>2.5270000000000001</v>
      </c>
      <c r="I3" s="15"/>
      <c r="J3" s="10">
        <v>2.4340000000000002</v>
      </c>
      <c r="L3" s="10">
        <v>2.532</v>
      </c>
    </row>
    <row r="4" spans="1:19" x14ac:dyDescent="0.25">
      <c r="A4" s="5">
        <v>40557</v>
      </c>
      <c r="B4" s="4">
        <v>2.4740000000000002</v>
      </c>
      <c r="C4" s="12">
        <f>(B4-B3)/B3</f>
        <v>1.3104013104013115E-2</v>
      </c>
      <c r="E4" s="37">
        <v>40557</v>
      </c>
      <c r="F4" s="38">
        <v>2.4670000000000001</v>
      </c>
      <c r="G4" s="38">
        <f>(F4-F3)/F3</f>
        <v>1.5644298065047451E-2</v>
      </c>
      <c r="H4" s="7">
        <v>2.58</v>
      </c>
      <c r="I4" s="15">
        <f>(H4-H3)/H3</f>
        <v>2.0973486347447539E-2</v>
      </c>
      <c r="J4" s="10">
        <v>2.4790000000000001</v>
      </c>
      <c r="K4" s="12">
        <f>(J4-J3)/J3</f>
        <v>1.8488085456039412E-2</v>
      </c>
      <c r="L4" s="10">
        <v>2.5859999999999999</v>
      </c>
      <c r="M4" s="12">
        <f>(L4-L3)/L3</f>
        <v>2.1327014218009411E-2</v>
      </c>
      <c r="O4" s="16" t="s">
        <v>1</v>
      </c>
      <c r="P4">
        <f>STDEV(C3:C576)</f>
        <v>4.6382412731998252E-2</v>
      </c>
    </row>
    <row r="5" spans="1:19" x14ac:dyDescent="0.25">
      <c r="A5" s="5">
        <v>40564</v>
      </c>
      <c r="B5" s="4">
        <v>2.464</v>
      </c>
      <c r="C5" s="12">
        <f t="shared" ref="C5:C68" si="0">(B5-B4)/B4</f>
        <v>-4.0420371867422112E-3</v>
      </c>
      <c r="E5" s="37">
        <v>40564</v>
      </c>
      <c r="F5" s="38">
        <v>2.4609999999999999</v>
      </c>
      <c r="G5" s="38">
        <f t="shared" ref="G5:G68" si="1">(F5-F4)/F4</f>
        <v>-2.4321037697609352E-3</v>
      </c>
      <c r="H5" s="7">
        <v>2.5859999999999999</v>
      </c>
      <c r="I5" s="15">
        <f t="shared" ref="I5:I68" si="2">(H5-H4)/H4</f>
        <v>2.325581395348753E-3</v>
      </c>
      <c r="J5" s="10">
        <v>2.4780000000000002</v>
      </c>
      <c r="K5" s="12">
        <f t="shared" ref="K5:K68" si="3">(J5-J4)/J4</f>
        <v>-4.0338846308991117E-4</v>
      </c>
      <c r="L5" s="10">
        <v>2.5920000000000001</v>
      </c>
      <c r="M5" s="12">
        <f t="shared" ref="M5:M68" si="4">(L5-L4)/L4</f>
        <v>2.3201856148492759E-3</v>
      </c>
      <c r="O5" t="s">
        <v>14</v>
      </c>
      <c r="P5">
        <f>STDEV(G3:G576)</f>
        <v>4.8159474539822937E-2</v>
      </c>
      <c r="Q5" s="34">
        <f>CORREL(C:C, G:G)</f>
        <v>0.87006621526233963</v>
      </c>
      <c r="S5">
        <f>Q5*(P4/P5)</f>
        <v>0.83796118388076257</v>
      </c>
    </row>
    <row r="6" spans="1:19" x14ac:dyDescent="0.25">
      <c r="A6" s="5">
        <v>40571</v>
      </c>
      <c r="B6" s="4">
        <v>2.411</v>
      </c>
      <c r="C6" s="12">
        <f t="shared" si="0"/>
        <v>-2.1509740259740236E-2</v>
      </c>
      <c r="E6" s="37">
        <v>40571</v>
      </c>
      <c r="F6" s="38">
        <v>2.4049999999999998</v>
      </c>
      <c r="G6" s="38">
        <f t="shared" si="1"/>
        <v>-2.2754977651361256E-2</v>
      </c>
      <c r="H6" s="7">
        <v>2.56</v>
      </c>
      <c r="I6" s="15">
        <f t="shared" si="2"/>
        <v>-1.0054137664346405E-2</v>
      </c>
      <c r="J6" s="10">
        <v>2.4329999999999998</v>
      </c>
      <c r="K6" s="12">
        <f t="shared" si="3"/>
        <v>-1.8159806295399664E-2</v>
      </c>
      <c r="L6" s="10">
        <v>2.57</v>
      </c>
      <c r="M6" s="12">
        <f t="shared" si="4"/>
        <v>-8.4876543209877475E-3</v>
      </c>
      <c r="O6" t="s">
        <v>16</v>
      </c>
      <c r="P6">
        <f>STDEV(I:I)</f>
        <v>4.2171737521679471E-2</v>
      </c>
      <c r="Q6">
        <f>CORREL(C:C, I:I)</f>
        <v>0.8213970025367856</v>
      </c>
      <c r="S6">
        <f>Q6*(P4/P6)</f>
        <v>0.90341012790620623</v>
      </c>
    </row>
    <row r="7" spans="1:19" x14ac:dyDescent="0.25">
      <c r="A7" s="5">
        <v>40578</v>
      </c>
      <c r="B7" s="4">
        <v>2.4660000000000002</v>
      </c>
      <c r="C7" s="12">
        <f t="shared" si="0"/>
        <v>2.2812111157196249E-2</v>
      </c>
      <c r="E7" s="37">
        <v>40578</v>
      </c>
      <c r="F7" s="38">
        <v>2.4889999999999999</v>
      </c>
      <c r="G7" s="38">
        <f t="shared" si="1"/>
        <v>3.4927234927234964E-2</v>
      </c>
      <c r="H7" s="7">
        <v>2.6480000000000001</v>
      </c>
      <c r="I7" s="15">
        <f t="shared" si="2"/>
        <v>3.4375000000000031E-2</v>
      </c>
      <c r="J7" s="10">
        <v>2.609</v>
      </c>
      <c r="K7" s="12">
        <f t="shared" si="3"/>
        <v>7.2338676531031723E-2</v>
      </c>
      <c r="L7" s="10">
        <v>2.6539999999999999</v>
      </c>
      <c r="M7" s="12">
        <f t="shared" si="4"/>
        <v>3.2684824902723765E-2</v>
      </c>
      <c r="O7" t="s">
        <v>17</v>
      </c>
      <c r="P7">
        <f>STDEV(K:K)</f>
        <v>4.5523516052444708E-2</v>
      </c>
      <c r="Q7">
        <f>CORREL(C:C, K:K)</f>
        <v>0.85564930143977891</v>
      </c>
      <c r="S7">
        <f>Q7*(P4/P7)</f>
        <v>0.87179292143218656</v>
      </c>
    </row>
    <row r="8" spans="1:19" x14ac:dyDescent="0.25">
      <c r="A8" s="5">
        <v>40585</v>
      </c>
      <c r="B8" s="4">
        <v>2.4710000000000001</v>
      </c>
      <c r="C8" s="12">
        <f t="shared" si="0"/>
        <v>2.0275750202757067E-3</v>
      </c>
      <c r="E8" s="37">
        <v>40585</v>
      </c>
      <c r="F8" s="38">
        <v>2.4809999999999999</v>
      </c>
      <c r="G8" s="38">
        <f t="shared" si="1"/>
        <v>-3.2141422257934943E-3</v>
      </c>
      <c r="H8" s="7">
        <v>2.6389999999999998</v>
      </c>
      <c r="I8" s="15">
        <f t="shared" si="2"/>
        <v>-3.3987915407856272E-3</v>
      </c>
      <c r="J8" s="10">
        <v>2.6219999999999999</v>
      </c>
      <c r="K8" s="12">
        <f t="shared" si="3"/>
        <v>4.9827520122651976E-3</v>
      </c>
      <c r="L8" s="10">
        <v>2.6459999999999999</v>
      </c>
      <c r="M8" s="12">
        <f t="shared" si="4"/>
        <v>-3.0143180105501157E-3</v>
      </c>
      <c r="O8" t="s">
        <v>15</v>
      </c>
      <c r="P8">
        <f>STDEV(M:M)</f>
        <v>4.0695650901978291E-2</v>
      </c>
      <c r="Q8">
        <f>CORREL(C:C, M:M)</f>
        <v>0.80302596715067098</v>
      </c>
      <c r="S8">
        <f>Q8*(P4/P8)</f>
        <v>0.91523986021523207</v>
      </c>
    </row>
    <row r="9" spans="1:19" x14ac:dyDescent="0.25">
      <c r="A9" s="5">
        <v>40592</v>
      </c>
      <c r="B9" s="4">
        <v>2.5110000000000001</v>
      </c>
      <c r="C9" s="12">
        <f t="shared" si="0"/>
        <v>1.6187778227438297E-2</v>
      </c>
      <c r="E9" s="37">
        <v>40592</v>
      </c>
      <c r="F9" s="38">
        <v>2.5259999999999998</v>
      </c>
      <c r="G9" s="38">
        <f t="shared" si="1"/>
        <v>1.813784764207978E-2</v>
      </c>
      <c r="H9" s="7">
        <v>2.68</v>
      </c>
      <c r="I9" s="15">
        <f t="shared" si="2"/>
        <v>1.5536187949981194E-2</v>
      </c>
      <c r="J9" s="10">
        <v>2.6640000000000001</v>
      </c>
      <c r="K9" s="12">
        <f t="shared" si="3"/>
        <v>1.6018306636155707E-2</v>
      </c>
      <c r="L9" s="10">
        <v>2.6869999999999998</v>
      </c>
      <c r="M9" s="12">
        <f t="shared" si="4"/>
        <v>1.5495086923658325E-2</v>
      </c>
    </row>
    <row r="10" spans="1:19" x14ac:dyDescent="0.25">
      <c r="A10" s="5">
        <v>40599</v>
      </c>
      <c r="B10" s="4">
        <v>2.7309999999999999</v>
      </c>
      <c r="C10" s="12">
        <f t="shared" si="0"/>
        <v>8.7614496216646645E-2</v>
      </c>
      <c r="E10" s="37">
        <v>40599</v>
      </c>
      <c r="F10" s="38">
        <v>2.6930000000000001</v>
      </c>
      <c r="G10" s="38">
        <f t="shared" si="1"/>
        <v>6.6112430720506835E-2</v>
      </c>
      <c r="H10" s="7">
        <v>2.863</v>
      </c>
      <c r="I10" s="15">
        <f t="shared" si="2"/>
        <v>6.8283582089552167E-2</v>
      </c>
      <c r="J10" s="10">
        <v>2.8490000000000002</v>
      </c>
      <c r="K10" s="12">
        <f t="shared" si="3"/>
        <v>6.9444444444444461E-2</v>
      </c>
      <c r="L10" s="10">
        <v>2.863</v>
      </c>
      <c r="M10" s="12">
        <f t="shared" si="4"/>
        <v>6.550055824339418E-2</v>
      </c>
    </row>
    <row r="11" spans="1:19" x14ac:dyDescent="0.25">
      <c r="A11" s="5">
        <v>40606</v>
      </c>
      <c r="B11" s="4">
        <v>2.8639999999999999</v>
      </c>
      <c r="C11" s="12">
        <f t="shared" si="0"/>
        <v>4.8700109849871845E-2</v>
      </c>
      <c r="E11" s="37">
        <v>40606</v>
      </c>
      <c r="F11" s="38">
        <v>2.9630000000000001</v>
      </c>
      <c r="G11" s="38">
        <f t="shared" si="1"/>
        <v>0.10025993316004457</v>
      </c>
      <c r="H11" s="7">
        <v>3.0009999999999999</v>
      </c>
      <c r="I11" s="15">
        <f t="shared" si="2"/>
        <v>4.8201187565490709E-2</v>
      </c>
      <c r="J11" s="10">
        <v>3.0030000000000001</v>
      </c>
      <c r="K11" s="12">
        <f t="shared" si="3"/>
        <v>5.4054054054054022E-2</v>
      </c>
      <c r="L11" s="10">
        <v>2.992</v>
      </c>
      <c r="M11" s="12">
        <f t="shared" si="4"/>
        <v>4.5057631854697869E-2</v>
      </c>
    </row>
    <row r="12" spans="1:19" x14ac:dyDescent="0.25">
      <c r="A12" s="5">
        <v>40613</v>
      </c>
      <c r="B12" s="4">
        <v>2.8319999999999999</v>
      </c>
      <c r="C12" s="12">
        <f t="shared" si="0"/>
        <v>-1.117318435754191E-2</v>
      </c>
      <c r="E12" s="37">
        <v>40613</v>
      </c>
      <c r="F12" s="38">
        <v>2.9969999999999999</v>
      </c>
      <c r="G12" s="38">
        <f t="shared" si="1"/>
        <v>1.1474856564292882E-2</v>
      </c>
      <c r="H12" s="7">
        <v>2.996</v>
      </c>
      <c r="I12" s="15">
        <f t="shared" si="2"/>
        <v>-1.666111296234553E-3</v>
      </c>
      <c r="J12" s="10">
        <v>3.0030000000000001</v>
      </c>
      <c r="K12" s="12">
        <f t="shared" si="3"/>
        <v>0</v>
      </c>
      <c r="L12" s="10">
        <v>2.9820000000000002</v>
      </c>
      <c r="M12" s="12">
        <f t="shared" si="4"/>
        <v>-3.3422459893047416E-3</v>
      </c>
    </row>
    <row r="13" spans="1:19" x14ac:dyDescent="0.25">
      <c r="A13" s="5">
        <v>40620</v>
      </c>
      <c r="B13" s="4">
        <v>2.734</v>
      </c>
      <c r="C13" s="12">
        <f t="shared" si="0"/>
        <v>-3.4604519774011251E-2</v>
      </c>
      <c r="E13" s="37">
        <v>40620</v>
      </c>
      <c r="F13" s="38">
        <v>2.9009999999999998</v>
      </c>
      <c r="G13" s="38">
        <f t="shared" si="1"/>
        <v>-3.203203203203206E-2</v>
      </c>
      <c r="H13" s="7">
        <v>2.899</v>
      </c>
      <c r="I13" s="15">
        <f t="shared" si="2"/>
        <v>-3.237650200267022E-2</v>
      </c>
      <c r="J13" s="10">
        <v>2.9060000000000001</v>
      </c>
      <c r="K13" s="12">
        <f t="shared" si="3"/>
        <v>-3.230103230103229E-2</v>
      </c>
      <c r="L13" s="10">
        <v>2.8849999999999998</v>
      </c>
      <c r="M13" s="12">
        <f t="shared" si="4"/>
        <v>-3.2528504359490416E-2</v>
      </c>
    </row>
    <row r="14" spans="1:19" x14ac:dyDescent="0.25">
      <c r="A14" s="5">
        <v>40627</v>
      </c>
      <c r="B14" s="4">
        <v>2.8460000000000001</v>
      </c>
      <c r="C14" s="12">
        <f t="shared" si="0"/>
        <v>4.096561814191664E-2</v>
      </c>
      <c r="E14" s="37">
        <v>40627</v>
      </c>
      <c r="F14" s="38">
        <v>3.0230000000000001</v>
      </c>
      <c r="G14" s="38">
        <f t="shared" si="1"/>
        <v>4.2054463977938758E-2</v>
      </c>
      <c r="H14" s="7">
        <v>3.02</v>
      </c>
      <c r="I14" s="15">
        <f t="shared" si="2"/>
        <v>4.1738530527768193E-2</v>
      </c>
      <c r="J14" s="10">
        <v>3.03</v>
      </c>
      <c r="K14" s="12">
        <f t="shared" si="3"/>
        <v>4.2670337233310277E-2</v>
      </c>
      <c r="L14" s="10">
        <v>3.0049999999999999</v>
      </c>
      <c r="M14" s="12">
        <f t="shared" si="4"/>
        <v>4.1594454072790332E-2</v>
      </c>
    </row>
    <row r="15" spans="1:19" x14ac:dyDescent="0.25">
      <c r="A15" s="5">
        <v>40634</v>
      </c>
      <c r="B15" s="4">
        <v>2.972</v>
      </c>
      <c r="C15" s="12">
        <f t="shared" si="0"/>
        <v>4.427266338721008E-2</v>
      </c>
      <c r="E15" s="37">
        <v>40634</v>
      </c>
      <c r="F15" s="38">
        <v>3.0790000000000002</v>
      </c>
      <c r="G15" s="38">
        <f t="shared" si="1"/>
        <v>1.8524644392987115E-2</v>
      </c>
      <c r="H15" s="7">
        <v>3.0579999999999998</v>
      </c>
      <c r="I15" s="15">
        <f t="shared" si="2"/>
        <v>1.258278145695358E-2</v>
      </c>
      <c r="J15" s="10">
        <v>3.073</v>
      </c>
      <c r="K15" s="12">
        <f t="shared" si="3"/>
        <v>1.4191419141914241E-2</v>
      </c>
      <c r="L15" s="10">
        <v>3.04</v>
      </c>
      <c r="M15" s="12">
        <f t="shared" si="4"/>
        <v>1.1647254575707202E-2</v>
      </c>
    </row>
    <row r="16" spans="1:19" x14ac:dyDescent="0.25">
      <c r="A16" s="5">
        <v>40641</v>
      </c>
      <c r="B16" s="4">
        <v>3.117</v>
      </c>
      <c r="C16" s="12">
        <f t="shared" si="0"/>
        <v>4.8788694481830423E-2</v>
      </c>
      <c r="E16" s="37">
        <v>40641</v>
      </c>
      <c r="F16" s="38">
        <v>3.202</v>
      </c>
      <c r="G16" s="38">
        <f t="shared" si="1"/>
        <v>3.9948035076323406E-2</v>
      </c>
      <c r="H16" s="7">
        <v>3.1709999999999998</v>
      </c>
      <c r="I16" s="15">
        <f t="shared" si="2"/>
        <v>3.6952256376716806E-2</v>
      </c>
      <c r="J16" s="10">
        <v>3.1859999999999999</v>
      </c>
      <c r="K16" s="12">
        <f t="shared" si="3"/>
        <v>3.6771884152294175E-2</v>
      </c>
      <c r="L16" s="10">
        <v>3.1509999999999998</v>
      </c>
      <c r="M16" s="12">
        <f t="shared" si="4"/>
        <v>3.6513157894736761E-2</v>
      </c>
    </row>
    <row r="17" spans="1:13" x14ac:dyDescent="0.25">
      <c r="A17" s="5">
        <v>40648</v>
      </c>
      <c r="B17" s="4">
        <v>3.133</v>
      </c>
      <c r="C17" s="12">
        <f t="shared" si="0"/>
        <v>5.133140840551817E-3</v>
      </c>
      <c r="E17" s="37">
        <v>40648</v>
      </c>
      <c r="F17" s="38">
        <v>3.226</v>
      </c>
      <c r="G17" s="38">
        <f t="shared" si="1"/>
        <v>7.4953154278575955E-3</v>
      </c>
      <c r="H17" s="7">
        <v>3.1789999999999998</v>
      </c>
      <c r="I17" s="15">
        <f t="shared" si="2"/>
        <v>2.5228634500157705E-3</v>
      </c>
      <c r="J17" s="10">
        <v>3.2010000000000001</v>
      </c>
      <c r="K17" s="12">
        <f t="shared" si="3"/>
        <v>4.7080979284369502E-3</v>
      </c>
      <c r="L17" s="10">
        <v>3.1560000000000001</v>
      </c>
      <c r="M17" s="12">
        <f t="shared" si="4"/>
        <v>1.5867978419550422E-3</v>
      </c>
    </row>
    <row r="18" spans="1:13" x14ac:dyDescent="0.25">
      <c r="A18" s="5">
        <v>40655</v>
      </c>
      <c r="B18" s="4">
        <v>3.1920000000000002</v>
      </c>
      <c r="C18" s="12">
        <f t="shared" si="0"/>
        <v>1.8831790616023032E-2</v>
      </c>
      <c r="E18" s="37">
        <v>40655</v>
      </c>
      <c r="F18" s="38">
        <v>3.2679999999999998</v>
      </c>
      <c r="G18" s="38">
        <f t="shared" si="1"/>
        <v>1.3019218846869131E-2</v>
      </c>
      <c r="H18" s="7">
        <v>3.2069999999999999</v>
      </c>
      <c r="I18" s="15">
        <f t="shared" si="2"/>
        <v>8.8078011953444564E-3</v>
      </c>
      <c r="J18" s="10">
        <v>3.2349999999999999</v>
      </c>
      <c r="K18" s="12">
        <f t="shared" si="3"/>
        <v>1.0621680724773448E-2</v>
      </c>
      <c r="L18" s="10">
        <v>3.181</v>
      </c>
      <c r="M18" s="12">
        <f t="shared" si="4"/>
        <v>7.9214195183776644E-3</v>
      </c>
    </row>
    <row r="19" spans="1:13" x14ac:dyDescent="0.25">
      <c r="A19" s="5">
        <v>40662</v>
      </c>
      <c r="B19" s="4">
        <v>3.29</v>
      </c>
      <c r="C19" s="12">
        <f t="shared" si="0"/>
        <v>3.0701754385964869E-2</v>
      </c>
      <c r="E19" s="37">
        <v>40662</v>
      </c>
      <c r="F19" s="38">
        <v>3.399</v>
      </c>
      <c r="G19" s="38">
        <f t="shared" si="1"/>
        <v>4.0085679314565553E-2</v>
      </c>
      <c r="H19" s="7">
        <v>3.2989999999999999</v>
      </c>
      <c r="I19" s="15">
        <f t="shared" si="2"/>
        <v>2.8687246647957621E-2</v>
      </c>
      <c r="J19" s="10">
        <v>3.3420000000000001</v>
      </c>
      <c r="K19" s="12">
        <f t="shared" si="3"/>
        <v>3.3075734157650763E-2</v>
      </c>
      <c r="L19" s="10">
        <v>3.262</v>
      </c>
      <c r="M19" s="12">
        <f t="shared" si="4"/>
        <v>2.5463690663313412E-2</v>
      </c>
    </row>
    <row r="20" spans="1:13" x14ac:dyDescent="0.25">
      <c r="A20" s="5">
        <v>40669</v>
      </c>
      <c r="B20" s="4">
        <v>3.1589999999999998</v>
      </c>
      <c r="C20" s="12">
        <f t="shared" si="0"/>
        <v>-3.9817629179331376E-2</v>
      </c>
      <c r="E20" s="37">
        <v>40669</v>
      </c>
      <c r="F20" s="38">
        <v>3.2370000000000001</v>
      </c>
      <c r="G20" s="38">
        <f t="shared" si="1"/>
        <v>-4.7661076787290355E-2</v>
      </c>
      <c r="H20" s="7">
        <v>3.121</v>
      </c>
      <c r="I20" s="15">
        <f t="shared" si="2"/>
        <v>-5.3955744164898435E-2</v>
      </c>
      <c r="J20" s="10">
        <v>3.1720000000000002</v>
      </c>
      <c r="K20" s="12">
        <f t="shared" si="3"/>
        <v>-5.0867743865948514E-2</v>
      </c>
      <c r="L20" s="10">
        <v>3.08</v>
      </c>
      <c r="M20" s="12">
        <f t="shared" si="4"/>
        <v>-5.5793991416308995E-2</v>
      </c>
    </row>
    <row r="21" spans="1:13" x14ac:dyDescent="0.25">
      <c r="A21" s="5">
        <v>40676</v>
      </c>
      <c r="B21" s="4">
        <v>3.1520000000000001</v>
      </c>
      <c r="C21" s="12">
        <f t="shared" si="0"/>
        <v>-2.2158911047798903E-3</v>
      </c>
      <c r="E21" s="37">
        <v>40676</v>
      </c>
      <c r="F21" s="38">
        <v>3.1840000000000002</v>
      </c>
      <c r="G21" s="38">
        <f t="shared" si="1"/>
        <v>-1.6373185047883824E-2</v>
      </c>
      <c r="H21" s="7">
        <v>3.0270000000000001</v>
      </c>
      <c r="I21" s="15">
        <f t="shared" si="2"/>
        <v>-3.0118551746235137E-2</v>
      </c>
      <c r="J21" s="10">
        <v>3.0939999999999999</v>
      </c>
      <c r="K21" s="12">
        <f t="shared" si="3"/>
        <v>-2.4590163934426319E-2</v>
      </c>
      <c r="L21" s="10">
        <v>2.98</v>
      </c>
      <c r="M21" s="12">
        <f t="shared" si="4"/>
        <v>-3.2467532467532492E-2</v>
      </c>
    </row>
    <row r="22" spans="1:13" x14ac:dyDescent="0.25">
      <c r="A22" s="5">
        <v>40683</v>
      </c>
      <c r="B22" s="4">
        <v>2.8650000000000002</v>
      </c>
      <c r="C22" s="12">
        <f t="shared" si="0"/>
        <v>-9.1053299492385761E-2</v>
      </c>
      <c r="E22" s="37">
        <v>40683</v>
      </c>
      <c r="F22" s="38">
        <v>2.9340000000000002</v>
      </c>
      <c r="G22" s="38">
        <f t="shared" si="1"/>
        <v>-7.8517587939698485E-2</v>
      </c>
      <c r="H22" s="7">
        <v>2.8849999999999998</v>
      </c>
      <c r="I22" s="15">
        <f t="shared" si="2"/>
        <v>-4.691113313511739E-2</v>
      </c>
      <c r="J22" s="10">
        <v>2.907</v>
      </c>
      <c r="K22" s="12">
        <f t="shared" si="3"/>
        <v>-6.0439560439560391E-2</v>
      </c>
      <c r="L22" s="10">
        <v>2.863</v>
      </c>
      <c r="M22" s="12">
        <f t="shared" si="4"/>
        <v>-3.9261744966442948E-2</v>
      </c>
    </row>
    <row r="23" spans="1:13" x14ac:dyDescent="0.25">
      <c r="A23" s="5">
        <v>40690</v>
      </c>
      <c r="B23" s="4">
        <v>2.9329999999999998</v>
      </c>
      <c r="C23" s="12">
        <f t="shared" si="0"/>
        <v>2.3734729493891663E-2</v>
      </c>
      <c r="E23" s="37">
        <v>40690</v>
      </c>
      <c r="F23" s="38">
        <v>3.0169999999999999</v>
      </c>
      <c r="G23" s="38">
        <f t="shared" si="1"/>
        <v>2.8289025221540469E-2</v>
      </c>
      <c r="H23" s="7">
        <v>2.9470000000000001</v>
      </c>
      <c r="I23" s="15">
        <f t="shared" si="2"/>
        <v>2.1490467937608417E-2</v>
      </c>
      <c r="J23" s="10">
        <v>2.9780000000000002</v>
      </c>
      <c r="K23" s="12">
        <f t="shared" si="3"/>
        <v>2.4423804609563182E-2</v>
      </c>
      <c r="L23" s="10">
        <v>2.9180000000000001</v>
      </c>
      <c r="M23" s="12">
        <f t="shared" si="4"/>
        <v>1.921061823262318E-2</v>
      </c>
    </row>
    <row r="24" spans="1:13" x14ac:dyDescent="0.25">
      <c r="A24" s="5">
        <v>40697</v>
      </c>
      <c r="B24" s="4">
        <v>2.9239999999999999</v>
      </c>
      <c r="C24" s="12">
        <f t="shared" si="0"/>
        <v>-3.0685305148311958E-3</v>
      </c>
      <c r="E24" s="37">
        <v>40697</v>
      </c>
      <c r="F24" s="38">
        <v>3.0219999999999998</v>
      </c>
      <c r="G24" s="38">
        <f t="shared" si="1"/>
        <v>1.6572754391779561E-3</v>
      </c>
      <c r="H24" s="7">
        <v>2.956</v>
      </c>
      <c r="I24" s="15">
        <f t="shared" si="2"/>
        <v>3.0539531727179835E-3</v>
      </c>
      <c r="J24" s="10">
        <v>2.9790000000000001</v>
      </c>
      <c r="K24" s="12">
        <f t="shared" si="3"/>
        <v>3.3579583613159496E-4</v>
      </c>
      <c r="L24" s="10">
        <v>2.8580000000000001</v>
      </c>
      <c r="M24" s="12">
        <f t="shared" si="4"/>
        <v>-2.0562028786840318E-2</v>
      </c>
    </row>
    <row r="25" spans="1:13" x14ac:dyDescent="0.25">
      <c r="A25" s="5">
        <v>40704</v>
      </c>
      <c r="B25" s="4">
        <v>2.899</v>
      </c>
      <c r="C25" s="12">
        <f t="shared" si="0"/>
        <v>-8.549931600547166E-3</v>
      </c>
      <c r="E25" s="37">
        <v>40704</v>
      </c>
      <c r="F25" s="38">
        <v>3</v>
      </c>
      <c r="G25" s="38">
        <f t="shared" si="1"/>
        <v>-7.2799470549304432E-3</v>
      </c>
      <c r="H25" s="7">
        <v>2.964</v>
      </c>
      <c r="I25" s="15">
        <f t="shared" si="2"/>
        <v>2.7063599458728035E-3</v>
      </c>
      <c r="J25" s="10">
        <v>2.9780000000000002</v>
      </c>
      <c r="K25" s="12">
        <f t="shared" si="3"/>
        <v>-3.3568311513927152E-4</v>
      </c>
      <c r="L25" s="10">
        <v>2.8490000000000002</v>
      </c>
      <c r="M25" s="12">
        <f t="shared" si="4"/>
        <v>-3.1490552834149395E-3</v>
      </c>
    </row>
    <row r="26" spans="1:13" x14ac:dyDescent="0.25">
      <c r="A26" s="5">
        <v>40711</v>
      </c>
      <c r="B26" s="4">
        <v>2.8679999999999999</v>
      </c>
      <c r="C26" s="12">
        <f t="shared" si="0"/>
        <v>-1.0693342531907603E-2</v>
      </c>
      <c r="E26" s="37">
        <v>40711</v>
      </c>
      <c r="F26" s="38">
        <v>2.976</v>
      </c>
      <c r="G26" s="38">
        <f t="shared" si="1"/>
        <v>-8.0000000000000071E-3</v>
      </c>
      <c r="H26" s="7">
        <v>2.9159999999999999</v>
      </c>
      <c r="I26" s="15">
        <f t="shared" si="2"/>
        <v>-1.6194331983805682E-2</v>
      </c>
      <c r="J26" s="10">
        <v>2.9340000000000002</v>
      </c>
      <c r="K26" s="12">
        <f t="shared" si="3"/>
        <v>-1.4775016789791819E-2</v>
      </c>
      <c r="L26" s="10">
        <v>2.8010000000000002</v>
      </c>
      <c r="M26" s="12">
        <f t="shared" si="4"/>
        <v>-1.6848016848016862E-2</v>
      </c>
    </row>
    <row r="27" spans="1:13" x14ac:dyDescent="0.25">
      <c r="A27" s="5">
        <v>40718</v>
      </c>
      <c r="B27" s="4">
        <v>2.7389999999999999</v>
      </c>
      <c r="C27" s="12">
        <f t="shared" si="0"/>
        <v>-4.4979079497907956E-2</v>
      </c>
      <c r="E27" s="37">
        <v>40718</v>
      </c>
      <c r="F27" s="38">
        <v>2.8759999999999999</v>
      </c>
      <c r="G27" s="38">
        <f t="shared" si="1"/>
        <v>-3.3602150537634441E-2</v>
      </c>
      <c r="H27" s="7">
        <v>2.8010000000000002</v>
      </c>
      <c r="I27" s="15">
        <f t="shared" si="2"/>
        <v>-3.9437585733881952E-2</v>
      </c>
      <c r="J27" s="10">
        <v>2.8210000000000002</v>
      </c>
      <c r="K27" s="12">
        <f t="shared" si="3"/>
        <v>-3.8513974096796175E-2</v>
      </c>
      <c r="L27" s="10">
        <v>2.6880000000000002</v>
      </c>
      <c r="M27" s="12">
        <f t="shared" si="4"/>
        <v>-4.0342734737593713E-2</v>
      </c>
    </row>
    <row r="28" spans="1:13" x14ac:dyDescent="0.25">
      <c r="A28" s="5">
        <v>40725</v>
      </c>
      <c r="B28" s="4">
        <v>2.7959999999999998</v>
      </c>
      <c r="C28" s="12">
        <f t="shared" si="0"/>
        <v>2.0810514786418381E-2</v>
      </c>
      <c r="E28" s="37">
        <v>40725</v>
      </c>
      <c r="F28" s="38">
        <v>2.9420000000000002</v>
      </c>
      <c r="G28" s="38">
        <f t="shared" si="1"/>
        <v>2.2948539638386747E-2</v>
      </c>
      <c r="H28" s="7">
        <v>2.8260000000000001</v>
      </c>
      <c r="I28" s="15">
        <f t="shared" si="2"/>
        <v>8.9253837915030023E-3</v>
      </c>
      <c r="J28" s="10">
        <v>2.8780000000000001</v>
      </c>
      <c r="K28" s="12">
        <f t="shared" si="3"/>
        <v>2.0205600850762118E-2</v>
      </c>
      <c r="L28" s="10">
        <v>2.726</v>
      </c>
      <c r="M28" s="12">
        <f t="shared" si="4"/>
        <v>1.4136904761904691E-2</v>
      </c>
    </row>
    <row r="29" spans="1:13" x14ac:dyDescent="0.25">
      <c r="A29" s="5">
        <v>40732</v>
      </c>
      <c r="B29" s="4">
        <v>2.9729999999999999</v>
      </c>
      <c r="C29" s="12">
        <f t="shared" si="0"/>
        <v>6.3304721030042935E-2</v>
      </c>
      <c r="E29" s="37">
        <v>40732</v>
      </c>
      <c r="F29" s="38">
        <v>3.0489999999999999</v>
      </c>
      <c r="G29" s="38">
        <f t="shared" si="1"/>
        <v>3.6369816451393526E-2</v>
      </c>
      <c r="H29" s="7">
        <v>2.8719999999999999</v>
      </c>
      <c r="I29" s="15">
        <f t="shared" si="2"/>
        <v>1.6277423920735959E-2</v>
      </c>
      <c r="J29" s="10">
        <v>3.0059999999999998</v>
      </c>
      <c r="K29" s="12">
        <f t="shared" si="3"/>
        <v>4.4475330090340395E-2</v>
      </c>
      <c r="L29" s="10">
        <v>2.839</v>
      </c>
      <c r="M29" s="12">
        <f t="shared" si="4"/>
        <v>4.1452677916360967E-2</v>
      </c>
    </row>
    <row r="30" spans="1:13" x14ac:dyDescent="0.25">
      <c r="A30" s="5">
        <v>40739</v>
      </c>
      <c r="B30" s="4">
        <v>3.0430000000000001</v>
      </c>
      <c r="C30" s="12">
        <f t="shared" si="0"/>
        <v>2.3545240497813754E-2</v>
      </c>
      <c r="E30" s="37">
        <v>40739</v>
      </c>
      <c r="F30" s="38">
        <v>3.1150000000000002</v>
      </c>
      <c r="G30" s="38">
        <f t="shared" si="1"/>
        <v>2.1646441456215245E-2</v>
      </c>
      <c r="H30" s="7">
        <v>2.9180000000000001</v>
      </c>
      <c r="I30" s="15">
        <f t="shared" si="2"/>
        <v>1.6016713091922097E-2</v>
      </c>
      <c r="J30" s="10">
        <v>3.0590000000000002</v>
      </c>
      <c r="K30" s="12">
        <f t="shared" si="3"/>
        <v>1.7631403858948898E-2</v>
      </c>
      <c r="L30" s="10">
        <v>2.8809999999999998</v>
      </c>
      <c r="M30" s="12">
        <f t="shared" si="4"/>
        <v>1.4793941528707227E-2</v>
      </c>
    </row>
    <row r="31" spans="1:13" x14ac:dyDescent="0.25">
      <c r="A31" s="5">
        <v>40746</v>
      </c>
      <c r="B31" s="4">
        <v>3.0390000000000001</v>
      </c>
      <c r="C31" s="12">
        <f t="shared" si="0"/>
        <v>-1.3144922773578717E-3</v>
      </c>
      <c r="E31" s="37">
        <v>40746</v>
      </c>
      <c r="F31" s="38">
        <v>3.1179999999999999</v>
      </c>
      <c r="G31" s="38">
        <f t="shared" si="1"/>
        <v>9.630818619581603E-4</v>
      </c>
      <c r="H31" s="7">
        <v>2.9359999999999999</v>
      </c>
      <c r="I31" s="15">
        <f t="shared" si="2"/>
        <v>6.1686086360520191E-3</v>
      </c>
      <c r="J31" s="10">
        <v>3.0710000000000002</v>
      </c>
      <c r="K31" s="12">
        <f t="shared" si="3"/>
        <v>3.922850604772805E-3</v>
      </c>
      <c r="L31" s="10">
        <v>2.9</v>
      </c>
      <c r="M31" s="12">
        <f t="shared" si="4"/>
        <v>6.5949323151683892E-3</v>
      </c>
    </row>
    <row r="32" spans="1:13" x14ac:dyDescent="0.25">
      <c r="A32" s="5">
        <v>40753</v>
      </c>
      <c r="B32" s="4">
        <v>3.048</v>
      </c>
      <c r="C32" s="12">
        <f t="shared" si="0"/>
        <v>2.9615004935833814E-3</v>
      </c>
      <c r="E32" s="37">
        <v>40753</v>
      </c>
      <c r="F32" s="38">
        <v>3.1309999999999998</v>
      </c>
      <c r="G32" s="38">
        <f t="shared" si="1"/>
        <v>4.1693393200769409E-3</v>
      </c>
      <c r="H32" s="7">
        <v>2.9420000000000002</v>
      </c>
      <c r="I32" s="15">
        <f t="shared" si="2"/>
        <v>2.0435967302453091E-3</v>
      </c>
      <c r="J32" s="10">
        <v>3.077</v>
      </c>
      <c r="K32" s="12">
        <f t="shared" si="3"/>
        <v>1.9537609899054975E-3</v>
      </c>
      <c r="L32" s="10">
        <v>2.9060000000000001</v>
      </c>
      <c r="M32" s="12">
        <f t="shared" si="4"/>
        <v>2.0689655172414579E-3</v>
      </c>
    </row>
    <row r="33" spans="1:13" x14ac:dyDescent="0.25">
      <c r="A33" s="5">
        <v>40760</v>
      </c>
      <c r="B33" s="4">
        <v>2.8889999999999998</v>
      </c>
      <c r="C33" s="12">
        <f t="shared" si="0"/>
        <v>-5.2165354330708742E-2</v>
      </c>
      <c r="E33" s="37">
        <v>40760</v>
      </c>
      <c r="F33" s="38">
        <v>2.9129999999999998</v>
      </c>
      <c r="G33" s="38">
        <f t="shared" si="1"/>
        <v>-6.9626317470456722E-2</v>
      </c>
      <c r="H33" s="7">
        <v>2.762</v>
      </c>
      <c r="I33" s="15">
        <f t="shared" si="2"/>
        <v>-6.1182868796736962E-2</v>
      </c>
      <c r="J33" s="10">
        <v>2.7890000000000001</v>
      </c>
      <c r="K33" s="12">
        <f t="shared" si="3"/>
        <v>-9.3597660058498483E-2</v>
      </c>
      <c r="L33" s="10">
        <v>2.75</v>
      </c>
      <c r="M33" s="12">
        <f t="shared" si="4"/>
        <v>-5.3682037164487315E-2</v>
      </c>
    </row>
    <row r="34" spans="1:13" x14ac:dyDescent="0.25">
      <c r="A34" s="5">
        <v>40767</v>
      </c>
      <c r="B34" s="4">
        <v>2.7410000000000001</v>
      </c>
      <c r="C34" s="12">
        <f t="shared" si="0"/>
        <v>-5.1228798892350193E-2</v>
      </c>
      <c r="E34" s="37">
        <v>40767</v>
      </c>
      <c r="F34" s="38">
        <v>2.758</v>
      </c>
      <c r="G34" s="38">
        <f t="shared" si="1"/>
        <v>-5.32097493992447E-2</v>
      </c>
      <c r="H34" s="7">
        <v>2.5750000000000002</v>
      </c>
      <c r="I34" s="15">
        <f t="shared" si="2"/>
        <v>-6.7704561911658162E-2</v>
      </c>
      <c r="J34" s="10">
        <v>2.605</v>
      </c>
      <c r="K34" s="12">
        <f t="shared" si="3"/>
        <v>-6.5973467192542185E-2</v>
      </c>
      <c r="L34" s="10">
        <v>2.5640000000000001</v>
      </c>
      <c r="M34" s="12">
        <f t="shared" si="4"/>
        <v>-6.7636363636363619E-2</v>
      </c>
    </row>
    <row r="35" spans="1:13" x14ac:dyDescent="0.25">
      <c r="A35" s="5">
        <v>40774</v>
      </c>
      <c r="B35" s="4">
        <v>2.8069999999999999</v>
      </c>
      <c r="C35" s="12">
        <f t="shared" si="0"/>
        <v>2.4078803356439197E-2</v>
      </c>
      <c r="E35" s="37">
        <v>40774</v>
      </c>
      <c r="F35" s="38">
        <v>2.8450000000000002</v>
      </c>
      <c r="G35" s="38">
        <f t="shared" si="1"/>
        <v>3.1544597534445315E-2</v>
      </c>
      <c r="H35" s="7">
        <v>2.6709999999999998</v>
      </c>
      <c r="I35" s="15">
        <f t="shared" si="2"/>
        <v>3.7281553398058109E-2</v>
      </c>
      <c r="J35" s="10">
        <v>2.7080000000000002</v>
      </c>
      <c r="K35" s="12">
        <f t="shared" si="3"/>
        <v>3.9539347408829251E-2</v>
      </c>
      <c r="L35" s="10">
        <v>2.6549999999999998</v>
      </c>
      <c r="M35" s="12">
        <f t="shared" si="4"/>
        <v>3.549141965678617E-2</v>
      </c>
    </row>
    <row r="36" spans="1:13" x14ac:dyDescent="0.25">
      <c r="A36" s="5">
        <v>40781</v>
      </c>
      <c r="B36" s="4">
        <v>2.8620000000000001</v>
      </c>
      <c r="C36" s="12">
        <f t="shared" si="0"/>
        <v>1.9593872461702942E-2</v>
      </c>
      <c r="E36" s="37">
        <v>40781</v>
      </c>
      <c r="F36" s="38">
        <v>2.899</v>
      </c>
      <c r="G36" s="38">
        <f t="shared" si="1"/>
        <v>1.8980667838312766E-2</v>
      </c>
      <c r="H36" s="7">
        <v>2.7130000000000001</v>
      </c>
      <c r="I36" s="15">
        <f t="shared" si="2"/>
        <v>1.5724447772369997E-2</v>
      </c>
      <c r="J36" s="10">
        <v>2.7610000000000001</v>
      </c>
      <c r="K36" s="12">
        <f t="shared" si="3"/>
        <v>1.9571639586410609E-2</v>
      </c>
      <c r="L36" s="10">
        <v>2.69</v>
      </c>
      <c r="M36" s="12">
        <f t="shared" si="4"/>
        <v>1.3182674199623406E-2</v>
      </c>
    </row>
    <row r="37" spans="1:13" x14ac:dyDescent="0.25">
      <c r="A37" s="5">
        <v>40788</v>
      </c>
      <c r="B37" s="4">
        <v>2.911</v>
      </c>
      <c r="C37" s="12">
        <f t="shared" si="0"/>
        <v>1.7120894479385022E-2</v>
      </c>
      <c r="E37" s="37">
        <v>40788</v>
      </c>
      <c r="F37" s="38">
        <v>2.9329999999999998</v>
      </c>
      <c r="G37" s="38">
        <f t="shared" si="1"/>
        <v>1.1728182131769509E-2</v>
      </c>
      <c r="H37" s="7">
        <v>2.7829999999999999</v>
      </c>
      <c r="I37" s="15">
        <f t="shared" si="2"/>
        <v>2.5801695539992568E-2</v>
      </c>
      <c r="J37" s="10">
        <v>2.8220000000000001</v>
      </c>
      <c r="K37" s="12">
        <f t="shared" si="3"/>
        <v>2.2093444404201353E-2</v>
      </c>
      <c r="L37" s="10">
        <v>2.7679999999999998</v>
      </c>
      <c r="M37" s="12">
        <f t="shared" si="4"/>
        <v>2.8996282527880984E-2</v>
      </c>
    </row>
    <row r="38" spans="1:13" x14ac:dyDescent="0.25">
      <c r="A38" s="5">
        <v>40795</v>
      </c>
      <c r="B38" s="4">
        <v>2.9369999999999998</v>
      </c>
      <c r="C38" s="12">
        <f t="shared" si="0"/>
        <v>8.931638612160701E-3</v>
      </c>
      <c r="E38" s="37">
        <v>40795</v>
      </c>
      <c r="F38" s="38">
        <v>2.847</v>
      </c>
      <c r="G38" s="38">
        <f t="shared" si="1"/>
        <v>-2.9321513808387267E-2</v>
      </c>
      <c r="H38" s="7">
        <v>2.7759999999999998</v>
      </c>
      <c r="I38" s="15">
        <f t="shared" si="2"/>
        <v>-2.5152712899748895E-3</v>
      </c>
      <c r="J38" s="10">
        <v>2.802</v>
      </c>
      <c r="K38" s="12">
        <f t="shared" si="3"/>
        <v>-7.0871722182849102E-3</v>
      </c>
      <c r="L38" s="10">
        <v>2.77</v>
      </c>
      <c r="M38" s="12">
        <f t="shared" si="4"/>
        <v>7.2254335260123702E-4</v>
      </c>
    </row>
    <row r="39" spans="1:13" x14ac:dyDescent="0.25">
      <c r="A39" s="5">
        <v>40802</v>
      </c>
      <c r="B39" s="4">
        <v>2.794</v>
      </c>
      <c r="C39" s="12">
        <f t="shared" si="0"/>
        <v>-4.8689138576778958E-2</v>
      </c>
      <c r="E39" s="37">
        <v>40802</v>
      </c>
      <c r="F39" s="38">
        <v>2.7549999999999999</v>
      </c>
      <c r="G39" s="38">
        <f t="shared" si="1"/>
        <v>-3.2314717246224124E-2</v>
      </c>
      <c r="H39" s="7">
        <v>2.7130000000000001</v>
      </c>
      <c r="I39" s="15">
        <f t="shared" si="2"/>
        <v>-2.2694524495677135E-2</v>
      </c>
      <c r="J39" s="10">
        <v>2.73</v>
      </c>
      <c r="K39" s="12">
        <f t="shared" si="3"/>
        <v>-2.5695931477516084E-2</v>
      </c>
      <c r="L39" s="10">
        <v>2.7109999999999999</v>
      </c>
      <c r="M39" s="12">
        <f t="shared" si="4"/>
        <v>-2.1299638989169735E-2</v>
      </c>
    </row>
    <row r="40" spans="1:13" x14ac:dyDescent="0.25">
      <c r="A40" s="5">
        <v>40809</v>
      </c>
      <c r="B40" s="4">
        <v>2.6779999999999999</v>
      </c>
      <c r="C40" s="12">
        <f t="shared" si="0"/>
        <v>-4.1517537580529743E-2</v>
      </c>
      <c r="E40" s="37">
        <v>40809</v>
      </c>
      <c r="F40" s="38">
        <v>2.6360000000000001</v>
      </c>
      <c r="G40" s="38">
        <f t="shared" si="1"/>
        <v>-4.3194192377495381E-2</v>
      </c>
      <c r="H40" s="7">
        <v>2.6</v>
      </c>
      <c r="I40" s="15">
        <f t="shared" si="2"/>
        <v>-4.1651308514559525E-2</v>
      </c>
      <c r="J40" s="10">
        <v>2.617</v>
      </c>
      <c r="K40" s="12">
        <f t="shared" si="3"/>
        <v>-4.1391941391941391E-2</v>
      </c>
      <c r="L40" s="10">
        <v>2.5960000000000001</v>
      </c>
      <c r="M40" s="12">
        <f t="shared" si="4"/>
        <v>-4.2419771302102463E-2</v>
      </c>
    </row>
    <row r="41" spans="1:13" x14ac:dyDescent="0.25">
      <c r="A41" s="5">
        <v>40816</v>
      </c>
      <c r="B41" s="4">
        <v>2.6349999999999998</v>
      </c>
      <c r="C41" s="12">
        <f t="shared" si="0"/>
        <v>-1.6056758775205432E-2</v>
      </c>
      <c r="E41" s="37">
        <v>40816</v>
      </c>
      <c r="F41" s="38">
        <v>2.6320000000000001</v>
      </c>
      <c r="G41" s="38">
        <f t="shared" si="1"/>
        <v>-1.5174506828528086E-3</v>
      </c>
      <c r="H41" s="7">
        <v>2.5329999999999999</v>
      </c>
      <c r="I41" s="15">
        <f t="shared" si="2"/>
        <v>-2.5769230769230832E-2</v>
      </c>
      <c r="J41" s="10">
        <v>2.5670000000000002</v>
      </c>
      <c r="K41" s="12">
        <f t="shared" si="3"/>
        <v>-1.9105846388994964E-2</v>
      </c>
      <c r="L41" s="10">
        <v>2.5169999999999999</v>
      </c>
      <c r="M41" s="12">
        <f t="shared" si="4"/>
        <v>-3.0431432973805923E-2</v>
      </c>
    </row>
    <row r="42" spans="1:13" x14ac:dyDescent="0.25">
      <c r="A42" s="5">
        <v>40823</v>
      </c>
      <c r="B42" s="4">
        <v>2.71</v>
      </c>
      <c r="C42" s="12">
        <f t="shared" si="0"/>
        <v>2.8462998102466861E-2</v>
      </c>
      <c r="E42" s="37">
        <v>40823</v>
      </c>
      <c r="F42" s="38">
        <v>2.58</v>
      </c>
      <c r="G42" s="38">
        <f t="shared" si="1"/>
        <v>-1.9756838905775093E-2</v>
      </c>
      <c r="H42" s="7">
        <v>2.4860000000000002</v>
      </c>
      <c r="I42" s="15">
        <f t="shared" si="2"/>
        <v>-1.8555073035925667E-2</v>
      </c>
      <c r="J42" s="10">
        <v>2.52</v>
      </c>
      <c r="K42" s="12">
        <f t="shared" si="3"/>
        <v>-1.8309310479158607E-2</v>
      </c>
      <c r="L42" s="10">
        <v>2.4729999999999999</v>
      </c>
      <c r="M42" s="12">
        <f t="shared" si="4"/>
        <v>-1.7481128327373873E-2</v>
      </c>
    </row>
    <row r="43" spans="1:13" x14ac:dyDescent="0.25">
      <c r="A43" s="5">
        <v>40830</v>
      </c>
      <c r="B43" s="4">
        <v>2.8820000000000001</v>
      </c>
      <c r="C43" s="12">
        <f t="shared" si="0"/>
        <v>6.346863468634692E-2</v>
      </c>
      <c r="E43" s="37">
        <v>40830</v>
      </c>
      <c r="F43" s="38">
        <v>2.7549999999999999</v>
      </c>
      <c r="G43" s="38">
        <f t="shared" si="1"/>
        <v>6.7829457364341011E-2</v>
      </c>
      <c r="H43" s="7">
        <v>2.6589999999999998</v>
      </c>
      <c r="I43" s="15">
        <f t="shared" si="2"/>
        <v>6.9589702333064996E-2</v>
      </c>
      <c r="J43" s="10">
        <v>2.6920000000000002</v>
      </c>
      <c r="K43" s="12">
        <f t="shared" si="3"/>
        <v>6.8253968253968317E-2</v>
      </c>
      <c r="L43" s="10">
        <v>2.6419999999999999</v>
      </c>
      <c r="M43" s="12">
        <f t="shared" si="4"/>
        <v>6.8338050950262852E-2</v>
      </c>
    </row>
    <row r="44" spans="1:13" x14ac:dyDescent="0.25">
      <c r="A44" s="5">
        <v>40837</v>
      </c>
      <c r="B44" s="4">
        <v>2.7719999999999998</v>
      </c>
      <c r="C44" s="12">
        <f t="shared" si="0"/>
        <v>-3.8167938931297822E-2</v>
      </c>
      <c r="E44" s="37">
        <v>40837</v>
      </c>
      <c r="F44" s="38">
        <v>2.7040000000000002</v>
      </c>
      <c r="G44" s="38">
        <f t="shared" si="1"/>
        <v>-1.8511796733212238E-2</v>
      </c>
      <c r="H44" s="7">
        <v>2.661</v>
      </c>
      <c r="I44" s="15">
        <f t="shared" si="2"/>
        <v>7.5216246709297629E-4</v>
      </c>
      <c r="J44" s="10">
        <v>2.677</v>
      </c>
      <c r="K44" s="12">
        <f t="shared" si="3"/>
        <v>-5.5720653789004919E-3</v>
      </c>
      <c r="L44" s="10">
        <v>2.6539999999999999</v>
      </c>
      <c r="M44" s="12">
        <f t="shared" si="4"/>
        <v>4.5420136260408825E-3</v>
      </c>
    </row>
    <row r="45" spans="1:13" x14ac:dyDescent="0.25">
      <c r="A45" s="5">
        <v>40844</v>
      </c>
      <c r="B45" s="4">
        <v>2.7440000000000002</v>
      </c>
      <c r="C45" s="12">
        <f t="shared" si="0"/>
        <v>-1.0101010101009951E-2</v>
      </c>
      <c r="E45" s="37">
        <v>40844</v>
      </c>
      <c r="F45" s="38">
        <v>2.6930000000000001</v>
      </c>
      <c r="G45" s="38">
        <f t="shared" si="1"/>
        <v>-4.0680473372781507E-3</v>
      </c>
      <c r="H45" s="7">
        <v>2.6509999999999998</v>
      </c>
      <c r="I45" s="15">
        <f t="shared" si="2"/>
        <v>-3.7579857196543519E-3</v>
      </c>
      <c r="J45" s="10">
        <v>2.665</v>
      </c>
      <c r="K45" s="12">
        <f t="shared" si="3"/>
        <v>-4.482629809488237E-3</v>
      </c>
      <c r="L45" s="10">
        <v>2.6459999999999999</v>
      </c>
      <c r="M45" s="12">
        <f t="shared" si="4"/>
        <v>-3.0143180105501157E-3</v>
      </c>
    </row>
    <row r="46" spans="1:13" x14ac:dyDescent="0.25">
      <c r="A46" s="5">
        <v>40851</v>
      </c>
      <c r="B46" s="4">
        <v>2.7029999999999998</v>
      </c>
      <c r="C46" s="12">
        <f t="shared" si="0"/>
        <v>-1.4941690962099258E-2</v>
      </c>
      <c r="E46" s="37">
        <v>40851</v>
      </c>
      <c r="F46" s="38">
        <v>2.64</v>
      </c>
      <c r="G46" s="38">
        <f t="shared" si="1"/>
        <v>-1.9680653546230945E-2</v>
      </c>
      <c r="H46" s="7">
        <v>2.6120000000000001</v>
      </c>
      <c r="I46" s="15">
        <f t="shared" si="2"/>
        <v>-1.4711429649188874E-2</v>
      </c>
      <c r="J46" s="10">
        <v>2.6190000000000002</v>
      </c>
      <c r="K46" s="12">
        <f t="shared" si="3"/>
        <v>-1.7260787992495242E-2</v>
      </c>
      <c r="L46" s="10">
        <v>2.6139999999999999</v>
      </c>
      <c r="M46" s="12">
        <f t="shared" si="4"/>
        <v>-1.2093726379440676E-2</v>
      </c>
    </row>
    <row r="47" spans="1:13" x14ac:dyDescent="0.25">
      <c r="A47" s="5">
        <v>40858</v>
      </c>
      <c r="B47" s="4">
        <v>2.7189999999999999</v>
      </c>
      <c r="C47" s="12">
        <f t="shared" si="0"/>
        <v>5.9193488716241267E-3</v>
      </c>
      <c r="E47" s="37">
        <v>40858</v>
      </c>
      <c r="F47" s="38">
        <v>2.6640000000000001</v>
      </c>
      <c r="G47" s="38">
        <f t="shared" si="1"/>
        <v>9.0909090909090991E-3</v>
      </c>
      <c r="H47" s="7">
        <v>2.661</v>
      </c>
      <c r="I47" s="15">
        <f t="shared" si="2"/>
        <v>1.8759571209800891E-2</v>
      </c>
      <c r="J47" s="10">
        <v>2.6579999999999999</v>
      </c>
      <c r="K47" s="12">
        <f t="shared" si="3"/>
        <v>1.4891179839633333E-2</v>
      </c>
      <c r="L47" s="10">
        <v>2.6720000000000002</v>
      </c>
      <c r="M47" s="12">
        <f t="shared" si="4"/>
        <v>2.2188217291507373E-2</v>
      </c>
    </row>
    <row r="48" spans="1:13" x14ac:dyDescent="0.25">
      <c r="A48" s="5">
        <v>40865</v>
      </c>
      <c r="B48" s="4">
        <v>2.577</v>
      </c>
      <c r="C48" s="12">
        <f t="shared" si="0"/>
        <v>-5.222508275101137E-2</v>
      </c>
      <c r="E48" s="37">
        <v>40865</v>
      </c>
      <c r="F48" s="38">
        <v>2.5470000000000002</v>
      </c>
      <c r="G48" s="38">
        <f t="shared" si="1"/>
        <v>-4.3918918918918914E-2</v>
      </c>
      <c r="H48" s="7">
        <v>2.5649999999999999</v>
      </c>
      <c r="I48" s="15">
        <f t="shared" si="2"/>
        <v>-3.607666290868098E-2</v>
      </c>
      <c r="J48" s="10">
        <v>2.5539999999999998</v>
      </c>
      <c r="K48" s="12">
        <f t="shared" si="3"/>
        <v>-3.9127163280662187E-2</v>
      </c>
      <c r="L48" s="10">
        <v>2.5819999999999999</v>
      </c>
      <c r="M48" s="12">
        <f t="shared" si="4"/>
        <v>-3.3682634730539035E-2</v>
      </c>
    </row>
    <row r="49" spans="1:13" x14ac:dyDescent="0.25">
      <c r="A49" s="5">
        <v>40872</v>
      </c>
      <c r="B49" s="4">
        <v>2.548</v>
      </c>
      <c r="C49" s="12">
        <f t="shared" si="0"/>
        <v>-1.1253395421032176E-2</v>
      </c>
      <c r="E49" s="37">
        <v>40872</v>
      </c>
      <c r="F49" s="38">
        <v>2.504</v>
      </c>
      <c r="G49" s="38">
        <f t="shared" si="1"/>
        <v>-1.6882606988614112E-2</v>
      </c>
      <c r="H49" s="7">
        <v>2.5230000000000001</v>
      </c>
      <c r="I49" s="15">
        <f t="shared" si="2"/>
        <v>-1.6374269005847882E-2</v>
      </c>
      <c r="J49" s="10">
        <v>2.5099999999999998</v>
      </c>
      <c r="K49" s="12">
        <f t="shared" si="3"/>
        <v>-1.7227877838684433E-2</v>
      </c>
      <c r="L49" s="10">
        <v>2.5390000000000001</v>
      </c>
      <c r="M49" s="12">
        <f t="shared" si="4"/>
        <v>-1.6653756777691597E-2</v>
      </c>
    </row>
    <row r="50" spans="1:13" x14ac:dyDescent="0.25">
      <c r="A50" s="5">
        <v>40879</v>
      </c>
      <c r="B50" s="4">
        <v>2.6019999999999999</v>
      </c>
      <c r="C50" s="12">
        <f t="shared" si="0"/>
        <v>2.1193092621663981E-2</v>
      </c>
      <c r="E50" s="37">
        <v>40879</v>
      </c>
      <c r="F50" s="38">
        <v>2.56</v>
      </c>
      <c r="G50" s="38">
        <f t="shared" si="1"/>
        <v>2.2364217252396186E-2</v>
      </c>
      <c r="H50" s="7">
        <v>2.5779999999999998</v>
      </c>
      <c r="I50" s="15">
        <f t="shared" si="2"/>
        <v>2.1799445105033576E-2</v>
      </c>
      <c r="J50" s="10">
        <v>2.5619999999999998</v>
      </c>
      <c r="K50" s="12">
        <f t="shared" si="3"/>
        <v>2.0717131474103607E-2</v>
      </c>
      <c r="L50" s="10">
        <v>2.6469999999999998</v>
      </c>
      <c r="M50" s="12">
        <f t="shared" si="4"/>
        <v>4.2536431666010101E-2</v>
      </c>
    </row>
    <row r="51" spans="1:13" x14ac:dyDescent="0.25">
      <c r="A51" s="5">
        <v>40886</v>
      </c>
      <c r="B51" s="4">
        <v>2.6360000000000001</v>
      </c>
      <c r="C51" s="12">
        <f t="shared" si="0"/>
        <v>1.306687163720225E-2</v>
      </c>
      <c r="E51" s="37">
        <v>40886</v>
      </c>
      <c r="F51" s="38">
        <v>2.6019999999999999</v>
      </c>
      <c r="G51" s="38">
        <f t="shared" si="1"/>
        <v>1.6406249999999928E-2</v>
      </c>
      <c r="H51" s="7">
        <v>2.6309999999999998</v>
      </c>
      <c r="I51" s="15">
        <f t="shared" si="2"/>
        <v>2.0558572536850249E-2</v>
      </c>
      <c r="J51" s="10">
        <v>2.6120000000000001</v>
      </c>
      <c r="K51" s="12">
        <f t="shared" si="3"/>
        <v>1.9516003122560605E-2</v>
      </c>
      <c r="L51" s="10">
        <v>2.7719999999999998</v>
      </c>
      <c r="M51" s="12">
        <f t="shared" si="4"/>
        <v>4.7223271628258408E-2</v>
      </c>
    </row>
    <row r="52" spans="1:13" x14ac:dyDescent="0.25">
      <c r="A52" s="5">
        <v>40893</v>
      </c>
      <c r="B52" s="4">
        <v>2.5680000000000001</v>
      </c>
      <c r="C52" s="12">
        <f t="shared" si="0"/>
        <v>-2.5796661608497747E-2</v>
      </c>
      <c r="E52" s="37">
        <v>40893</v>
      </c>
      <c r="F52" s="38">
        <v>2.5329999999999999</v>
      </c>
      <c r="G52" s="38">
        <f t="shared" si="1"/>
        <v>-2.6518063028439644E-2</v>
      </c>
      <c r="H52" s="7">
        <v>2.5590000000000002</v>
      </c>
      <c r="I52" s="15">
        <f t="shared" si="2"/>
        <v>-2.7366020524515252E-2</v>
      </c>
      <c r="J52" s="10">
        <v>2.544</v>
      </c>
      <c r="K52" s="12">
        <f t="shared" si="3"/>
        <v>-2.6033690658499257E-2</v>
      </c>
      <c r="L52" s="10">
        <v>2.694</v>
      </c>
      <c r="M52" s="12">
        <f t="shared" si="4"/>
        <v>-2.8138528138528084E-2</v>
      </c>
    </row>
    <row r="53" spans="1:13" x14ac:dyDescent="0.25">
      <c r="A53" s="5">
        <v>40900</v>
      </c>
      <c r="B53" s="4">
        <v>2.6389999999999998</v>
      </c>
      <c r="C53" s="12">
        <f t="shared" si="0"/>
        <v>2.7647975077881515E-2</v>
      </c>
      <c r="E53" s="37">
        <v>40900</v>
      </c>
      <c r="F53" s="38">
        <v>2.6030000000000002</v>
      </c>
      <c r="G53" s="38">
        <f t="shared" si="1"/>
        <v>2.7635215159889572E-2</v>
      </c>
      <c r="H53" s="7">
        <v>2.6110000000000002</v>
      </c>
      <c r="I53" s="15">
        <f t="shared" si="2"/>
        <v>2.0320437670965238E-2</v>
      </c>
      <c r="J53" s="10">
        <v>2.6040000000000001</v>
      </c>
      <c r="K53" s="12">
        <f t="shared" si="3"/>
        <v>2.3584905660377378E-2</v>
      </c>
      <c r="L53" s="10">
        <v>2.734</v>
      </c>
      <c r="M53" s="12">
        <f t="shared" si="4"/>
        <v>1.4847809948032678E-2</v>
      </c>
    </row>
    <row r="54" spans="1:13" x14ac:dyDescent="0.25">
      <c r="A54" s="5">
        <v>40907</v>
      </c>
      <c r="B54" s="4">
        <v>2.698</v>
      </c>
      <c r="C54" s="12">
        <f t="shared" si="0"/>
        <v>2.2356953391436212E-2</v>
      </c>
      <c r="E54" s="37">
        <v>40907</v>
      </c>
      <c r="F54" s="38">
        <v>2.673</v>
      </c>
      <c r="G54" s="38">
        <f t="shared" si="1"/>
        <v>2.6892047637341467E-2</v>
      </c>
      <c r="H54" s="7">
        <v>2.6640000000000001</v>
      </c>
      <c r="I54" s="15">
        <f t="shared" si="2"/>
        <v>2.029873611643046E-2</v>
      </c>
      <c r="J54" s="10">
        <v>2.6629999999999998</v>
      </c>
      <c r="K54" s="12">
        <f t="shared" si="3"/>
        <v>2.2657450076804808E-2</v>
      </c>
      <c r="L54" s="10">
        <v>2.7789999999999999</v>
      </c>
      <c r="M54" s="12">
        <f t="shared" si="4"/>
        <v>1.6459400146305755E-2</v>
      </c>
    </row>
    <row r="55" spans="1:13" x14ac:dyDescent="0.25">
      <c r="A55" s="5">
        <v>40914</v>
      </c>
      <c r="B55" s="4">
        <v>2.778</v>
      </c>
      <c r="C55" s="12">
        <f t="shared" si="0"/>
        <v>2.9651593773165334E-2</v>
      </c>
      <c r="E55" s="37">
        <v>40914</v>
      </c>
      <c r="F55" s="38">
        <v>2.7549999999999999</v>
      </c>
      <c r="G55" s="38">
        <f t="shared" si="1"/>
        <v>3.0677141788252843E-2</v>
      </c>
      <c r="H55" s="7">
        <v>2.8919999999999999</v>
      </c>
      <c r="I55" s="15">
        <f t="shared" si="2"/>
        <v>8.5585585585585489E-2</v>
      </c>
      <c r="J55" s="10">
        <v>2.7650000000000001</v>
      </c>
      <c r="K55" s="12">
        <f t="shared" si="3"/>
        <v>3.8302666165978341E-2</v>
      </c>
      <c r="L55" s="10">
        <v>2.8879999999999999</v>
      </c>
      <c r="M55" s="12">
        <f t="shared" si="4"/>
        <v>3.9222741993522846E-2</v>
      </c>
    </row>
    <row r="56" spans="1:13" x14ac:dyDescent="0.25">
      <c r="A56" s="5">
        <v>40921</v>
      </c>
      <c r="B56" s="4">
        <v>2.774</v>
      </c>
      <c r="C56" s="12">
        <f t="shared" si="0"/>
        <v>-1.439884809215264E-3</v>
      </c>
      <c r="E56" s="37">
        <v>40921</v>
      </c>
      <c r="F56" s="38">
        <v>2.7519999999999998</v>
      </c>
      <c r="G56" s="38">
        <f t="shared" si="1"/>
        <v>-1.0889292196007672E-3</v>
      </c>
      <c r="H56" s="7">
        <v>2.8860000000000001</v>
      </c>
      <c r="I56" s="15">
        <f t="shared" si="2"/>
        <v>-2.0746887966804229E-3</v>
      </c>
      <c r="J56" s="10">
        <v>2.7589999999999999</v>
      </c>
      <c r="K56" s="12">
        <f t="shared" si="3"/>
        <v>-2.1699819168174419E-3</v>
      </c>
      <c r="L56" s="10">
        <v>2.8809999999999998</v>
      </c>
      <c r="M56" s="12">
        <f t="shared" si="4"/>
        <v>-2.4238227146814811E-3</v>
      </c>
    </row>
    <row r="57" spans="1:13" x14ac:dyDescent="0.25">
      <c r="A57" s="5">
        <v>40928</v>
      </c>
      <c r="B57" s="4">
        <v>2.831</v>
      </c>
      <c r="C57" s="12">
        <f t="shared" si="0"/>
        <v>2.054794520547943E-2</v>
      </c>
      <c r="E57" s="37">
        <v>40928</v>
      </c>
      <c r="F57" s="38">
        <v>2.7989999999999999</v>
      </c>
      <c r="G57" s="38">
        <f t="shared" si="1"/>
        <v>1.7078488372093081E-2</v>
      </c>
      <c r="H57" s="7">
        <v>2.9340000000000002</v>
      </c>
      <c r="I57" s="15">
        <f t="shared" si="2"/>
        <v>1.6632016632016647E-2</v>
      </c>
      <c r="J57" s="10">
        <v>2.8050000000000002</v>
      </c>
      <c r="K57" s="12">
        <f t="shared" si="3"/>
        <v>1.6672707502718473E-2</v>
      </c>
      <c r="L57" s="10">
        <v>2.923</v>
      </c>
      <c r="M57" s="12">
        <f t="shared" si="4"/>
        <v>1.4578271433530115E-2</v>
      </c>
    </row>
    <row r="58" spans="1:13" x14ac:dyDescent="0.25">
      <c r="A58" s="5">
        <v>40935</v>
      </c>
      <c r="B58" s="4">
        <v>2.867</v>
      </c>
      <c r="C58" s="12">
        <f t="shared" si="0"/>
        <v>1.2716354645001777E-2</v>
      </c>
      <c r="E58" s="37">
        <v>40935</v>
      </c>
      <c r="F58" s="38">
        <v>2.8380000000000001</v>
      </c>
      <c r="G58" s="38">
        <f t="shared" si="1"/>
        <v>1.3933547695605626E-2</v>
      </c>
      <c r="H58" s="7">
        <v>2.968</v>
      </c>
      <c r="I58" s="15">
        <f t="shared" si="2"/>
        <v>1.1588275391956308E-2</v>
      </c>
      <c r="J58" s="10">
        <v>2.8420000000000001</v>
      </c>
      <c r="K58" s="12">
        <f t="shared" si="3"/>
        <v>1.3190730837789632E-2</v>
      </c>
      <c r="L58" s="10">
        <v>2.9540000000000002</v>
      </c>
      <c r="M58" s="12">
        <f t="shared" si="4"/>
        <v>1.0605542251111919E-2</v>
      </c>
    </row>
    <row r="59" spans="1:13" x14ac:dyDescent="0.25">
      <c r="A59" s="5">
        <v>40942</v>
      </c>
      <c r="B59" s="4">
        <v>2.91</v>
      </c>
      <c r="C59" s="12">
        <f t="shared" si="0"/>
        <v>1.4998256016742291E-2</v>
      </c>
      <c r="E59" s="37">
        <v>40942</v>
      </c>
      <c r="F59" s="38">
        <v>2.887</v>
      </c>
      <c r="G59" s="38">
        <f t="shared" si="1"/>
        <v>1.7265680056377707E-2</v>
      </c>
      <c r="H59" s="7">
        <v>3.0030000000000001</v>
      </c>
      <c r="I59" s="15">
        <f t="shared" si="2"/>
        <v>1.1792452830188727E-2</v>
      </c>
      <c r="J59" s="10">
        <v>2.964</v>
      </c>
      <c r="K59" s="12">
        <f t="shared" si="3"/>
        <v>4.2927515833919731E-2</v>
      </c>
      <c r="L59" s="10">
        <v>2.9790000000000001</v>
      </c>
      <c r="M59" s="12">
        <f t="shared" si="4"/>
        <v>8.4631008801624615E-3</v>
      </c>
    </row>
    <row r="60" spans="1:13" x14ac:dyDescent="0.25">
      <c r="A60" s="5">
        <v>40949</v>
      </c>
      <c r="B60" s="4">
        <v>2.988</v>
      </c>
      <c r="C60" s="12">
        <f t="shared" si="0"/>
        <v>2.6804123711340153E-2</v>
      </c>
      <c r="E60" s="37">
        <v>40949</v>
      </c>
      <c r="F60" s="38">
        <v>2.964</v>
      </c>
      <c r="G60" s="38">
        <f t="shared" si="1"/>
        <v>2.6671285071007952E-2</v>
      </c>
      <c r="H60" s="7">
        <v>3.0920000000000001</v>
      </c>
      <c r="I60" s="15">
        <f t="shared" si="2"/>
        <v>2.9637029637029626E-2</v>
      </c>
      <c r="J60" s="10">
        <v>3.1040000000000001</v>
      </c>
      <c r="K60" s="12">
        <f t="shared" si="3"/>
        <v>4.7233468286099908E-2</v>
      </c>
      <c r="L60" s="10">
        <v>3.0619999999999998</v>
      </c>
      <c r="M60" s="12">
        <f t="shared" si="4"/>
        <v>2.7861698556562516E-2</v>
      </c>
    </row>
    <row r="61" spans="1:13" x14ac:dyDescent="0.25">
      <c r="A61" s="5">
        <v>40956</v>
      </c>
      <c r="B61" s="4">
        <v>3.0249999999999999</v>
      </c>
      <c r="C61" s="12">
        <f t="shared" si="0"/>
        <v>1.238286479250332E-2</v>
      </c>
      <c r="E61" s="37">
        <v>40956</v>
      </c>
      <c r="F61" s="38">
        <v>3.0129999999999999</v>
      </c>
      <c r="G61" s="38">
        <f t="shared" si="1"/>
        <v>1.6531713900134932E-2</v>
      </c>
      <c r="H61" s="7">
        <v>3.1619999999999999</v>
      </c>
      <c r="I61" s="15">
        <f t="shared" si="2"/>
        <v>2.263906856403617E-2</v>
      </c>
      <c r="J61" s="10">
        <v>3.173</v>
      </c>
      <c r="K61" s="12">
        <f t="shared" si="3"/>
        <v>2.2229381443298953E-2</v>
      </c>
      <c r="L61" s="10">
        <v>3.1309999999999998</v>
      </c>
      <c r="M61" s="12">
        <f t="shared" si="4"/>
        <v>2.2534291312867393E-2</v>
      </c>
    </row>
    <row r="62" spans="1:13" x14ac:dyDescent="0.25">
      <c r="A62" s="5">
        <v>40963</v>
      </c>
      <c r="B62" s="4">
        <v>3.113</v>
      </c>
      <c r="C62" s="12">
        <f t="shared" si="0"/>
        <v>2.9090909090909119E-2</v>
      </c>
      <c r="E62" s="37">
        <v>40963</v>
      </c>
      <c r="F62" s="38">
        <v>3.1059999999999999</v>
      </c>
      <c r="G62" s="38">
        <f t="shared" si="1"/>
        <v>3.086624626617988E-2</v>
      </c>
      <c r="H62" s="7">
        <v>3.2709999999999999</v>
      </c>
      <c r="I62" s="15">
        <f t="shared" si="2"/>
        <v>3.4471853257432003E-2</v>
      </c>
      <c r="J62" s="10">
        <v>3.2810000000000001</v>
      </c>
      <c r="K62" s="12">
        <f t="shared" si="3"/>
        <v>3.4037188780334099E-2</v>
      </c>
      <c r="L62" s="10">
        <v>3.242</v>
      </c>
      <c r="M62" s="12">
        <f t="shared" si="4"/>
        <v>3.5451932290003263E-2</v>
      </c>
    </row>
    <row r="63" spans="1:13" x14ac:dyDescent="0.25">
      <c r="A63" s="5">
        <v>40970</v>
      </c>
      <c r="B63" s="4">
        <v>3.1739999999999999</v>
      </c>
      <c r="C63" s="12">
        <f t="shared" si="0"/>
        <v>1.959524574365562E-2</v>
      </c>
      <c r="E63" s="37">
        <v>40970</v>
      </c>
      <c r="F63" s="38">
        <v>3.1669999999999998</v>
      </c>
      <c r="G63" s="38">
        <f t="shared" si="1"/>
        <v>1.9639407598197021E-2</v>
      </c>
      <c r="H63" s="7">
        <v>3.2629999999999999</v>
      </c>
      <c r="I63" s="15">
        <f t="shared" si="2"/>
        <v>-2.4457352491592805E-3</v>
      </c>
      <c r="J63" s="10">
        <v>3.2789999999999999</v>
      </c>
      <c r="K63" s="12">
        <f t="shared" si="3"/>
        <v>-6.0957025297172314E-4</v>
      </c>
      <c r="L63" s="10">
        <v>3.23</v>
      </c>
      <c r="M63" s="12">
        <f t="shared" si="4"/>
        <v>-3.7014188772362773E-3</v>
      </c>
    </row>
    <row r="64" spans="1:13" x14ac:dyDescent="0.25">
      <c r="A64" s="5">
        <v>40977</v>
      </c>
      <c r="B64" s="4">
        <v>3.0430000000000001</v>
      </c>
      <c r="C64" s="12">
        <f t="shared" si="0"/>
        <v>-4.1272841839949524E-2</v>
      </c>
      <c r="E64" s="37">
        <v>40977</v>
      </c>
      <c r="F64" s="38">
        <v>3.2839999999999998</v>
      </c>
      <c r="G64" s="38">
        <f t="shared" si="1"/>
        <v>3.6943479633722763E-2</v>
      </c>
      <c r="H64" s="7">
        <v>3.262</v>
      </c>
      <c r="I64" s="15">
        <f t="shared" si="2"/>
        <v>-3.0646644192457552E-4</v>
      </c>
      <c r="J64" s="10">
        <v>3.2829999999999999</v>
      </c>
      <c r="K64" s="12">
        <f t="shared" si="3"/>
        <v>1.2198841110094552E-3</v>
      </c>
      <c r="L64" s="10">
        <v>3.23</v>
      </c>
      <c r="M64" s="12">
        <f t="shared" si="4"/>
        <v>0</v>
      </c>
    </row>
    <row r="65" spans="1:13" x14ac:dyDescent="0.25">
      <c r="A65" s="5">
        <v>40984</v>
      </c>
      <c r="B65" s="4">
        <v>3.117</v>
      </c>
      <c r="C65" s="12">
        <f t="shared" si="0"/>
        <v>2.431810713112055E-2</v>
      </c>
      <c r="E65" s="37">
        <v>40984</v>
      </c>
      <c r="F65" s="38">
        <v>3.3340000000000001</v>
      </c>
      <c r="G65" s="38">
        <f t="shared" si="1"/>
        <v>1.5225334957369144E-2</v>
      </c>
      <c r="H65" s="7">
        <v>3.3039999999999998</v>
      </c>
      <c r="I65" s="15">
        <f t="shared" si="2"/>
        <v>1.2875536480686638E-2</v>
      </c>
      <c r="J65" s="10">
        <v>3.331</v>
      </c>
      <c r="K65" s="12">
        <f t="shared" si="3"/>
        <v>1.4620773682607384E-2</v>
      </c>
      <c r="L65" s="10">
        <v>3.2679999999999998</v>
      </c>
      <c r="M65" s="12">
        <f t="shared" si="4"/>
        <v>1.1764705882352884E-2</v>
      </c>
    </row>
    <row r="66" spans="1:13" x14ac:dyDescent="0.25">
      <c r="A66" s="5">
        <v>40991</v>
      </c>
      <c r="B66" s="4">
        <v>3.2189999999999999</v>
      </c>
      <c r="C66" s="12">
        <f t="shared" si="0"/>
        <v>3.2723772858517762E-2</v>
      </c>
      <c r="E66" s="37">
        <v>40991</v>
      </c>
      <c r="F66" s="38">
        <v>3.363</v>
      </c>
      <c r="G66" s="38">
        <f t="shared" si="1"/>
        <v>8.6982603479303887E-3</v>
      </c>
      <c r="H66" s="7">
        <v>3.3109999999999999</v>
      </c>
      <c r="I66" s="15">
        <f t="shared" si="2"/>
        <v>2.1186440677966457E-3</v>
      </c>
      <c r="J66" s="10">
        <v>3.351</v>
      </c>
      <c r="K66" s="12">
        <f t="shared" si="3"/>
        <v>6.0042029420594471E-3</v>
      </c>
      <c r="L66" s="10">
        <v>3.2669999999999999</v>
      </c>
      <c r="M66" s="12">
        <f t="shared" si="4"/>
        <v>-3.0599755201955015E-4</v>
      </c>
    </row>
    <row r="67" spans="1:13" x14ac:dyDescent="0.25">
      <c r="A67" s="5">
        <v>40998</v>
      </c>
      <c r="B67" s="4">
        <v>3.3069999999999999</v>
      </c>
      <c r="C67" s="12">
        <f t="shared" si="0"/>
        <v>2.7337682510096328E-2</v>
      </c>
      <c r="E67" s="37">
        <v>40998</v>
      </c>
      <c r="F67" s="38">
        <v>3.4020000000000001</v>
      </c>
      <c r="G67" s="38">
        <f t="shared" si="1"/>
        <v>1.1596788581623593E-2</v>
      </c>
      <c r="H67" s="7">
        <v>3.3069999999999999</v>
      </c>
      <c r="I67" s="15">
        <f t="shared" si="2"/>
        <v>-1.2080942313500464E-3</v>
      </c>
      <c r="J67" s="10">
        <v>3.359</v>
      </c>
      <c r="K67" s="12">
        <f t="shared" si="3"/>
        <v>2.387347060578934E-3</v>
      </c>
      <c r="L67" s="10">
        <v>3.2549999999999999</v>
      </c>
      <c r="M67" s="12">
        <f t="shared" si="4"/>
        <v>-3.6730945821854947E-3</v>
      </c>
    </row>
    <row r="68" spans="1:13" x14ac:dyDescent="0.25">
      <c r="A68" s="5">
        <v>41005</v>
      </c>
      <c r="B68" s="4">
        <v>3.3610000000000002</v>
      </c>
      <c r="C68" s="12">
        <f t="shared" si="0"/>
        <v>1.6328999092833467E-2</v>
      </c>
      <c r="E68" s="37">
        <v>41005</v>
      </c>
      <c r="F68" s="38">
        <v>3.363</v>
      </c>
      <c r="G68" s="38">
        <f t="shared" si="1"/>
        <v>-1.1463844797178173E-2</v>
      </c>
      <c r="H68" s="7">
        <v>3.23</v>
      </c>
      <c r="I68" s="15">
        <f t="shared" si="2"/>
        <v>-2.3283943150892036E-2</v>
      </c>
      <c r="J68" s="10">
        <v>3.2919999999999998</v>
      </c>
      <c r="K68" s="12">
        <f t="shared" si="3"/>
        <v>-1.9946412622804457E-2</v>
      </c>
      <c r="L68" s="10">
        <v>3.1749999999999998</v>
      </c>
      <c r="M68" s="12">
        <f t="shared" si="4"/>
        <v>-2.4577572964669763E-2</v>
      </c>
    </row>
    <row r="69" spans="1:13" x14ac:dyDescent="0.25">
      <c r="A69" s="5">
        <v>41012</v>
      </c>
      <c r="B69" s="4">
        <v>3.278</v>
      </c>
      <c r="C69" s="12">
        <f t="shared" ref="C69:C132" si="5">(B69-B68)/B68</f>
        <v>-2.4695031240702225E-2</v>
      </c>
      <c r="E69" s="37">
        <v>41012</v>
      </c>
      <c r="F69" s="38">
        <v>3.3090000000000002</v>
      </c>
      <c r="G69" s="38">
        <f t="shared" ref="G69:G132" si="6">(F69-F68)/F68</f>
        <v>-1.605709188224794E-2</v>
      </c>
      <c r="H69" s="7">
        <v>3.17</v>
      </c>
      <c r="I69" s="15">
        <f t="shared" ref="I69:I132" si="7">(H69-H68)/H68</f>
        <v>-1.8575851393188871E-2</v>
      </c>
      <c r="J69" s="10">
        <v>3.234</v>
      </c>
      <c r="K69" s="12">
        <f t="shared" ref="K69:K132" si="8">(J69-J68)/J68</f>
        <v>-1.7618469015795817E-2</v>
      </c>
      <c r="L69" s="10">
        <v>3.1179999999999999</v>
      </c>
      <c r="M69" s="12">
        <f t="shared" ref="M69:M132" si="9">(L69-L68)/L68</f>
        <v>-1.7952755905511791E-2</v>
      </c>
    </row>
    <row r="70" spans="1:13" x14ac:dyDescent="0.25">
      <c r="A70" s="5">
        <v>41019</v>
      </c>
      <c r="B70" s="4">
        <v>3.1539999999999999</v>
      </c>
      <c r="C70" s="12">
        <f t="shared" si="5"/>
        <v>-3.7827943868212359E-2</v>
      </c>
      <c r="E70" s="37">
        <v>41019</v>
      </c>
      <c r="F70" s="38">
        <v>3.2</v>
      </c>
      <c r="G70" s="38">
        <f t="shared" si="6"/>
        <v>-3.2940465397401024E-2</v>
      </c>
      <c r="H70" s="7">
        <v>3.1</v>
      </c>
      <c r="I70" s="15">
        <f t="shared" si="7"/>
        <v>-2.2082018927444744E-2</v>
      </c>
      <c r="J70" s="10">
        <v>3.149</v>
      </c>
      <c r="K70" s="12">
        <f t="shared" si="8"/>
        <v>-2.6283240568954844E-2</v>
      </c>
      <c r="L70" s="10">
        <v>3.0569999999999999</v>
      </c>
      <c r="M70" s="12">
        <f t="shared" si="9"/>
        <v>-1.9563822963438084E-2</v>
      </c>
    </row>
    <row r="71" spans="1:13" x14ac:dyDescent="0.25">
      <c r="A71" s="5">
        <v>41026</v>
      </c>
      <c r="B71" s="4">
        <v>3.09</v>
      </c>
      <c r="C71" s="12">
        <f t="shared" si="5"/>
        <v>-2.0291693088142059E-2</v>
      </c>
      <c r="E71" s="37">
        <v>41026</v>
      </c>
      <c r="F71" s="38">
        <v>3.1779999999999999</v>
      </c>
      <c r="G71" s="38">
        <f t="shared" si="6"/>
        <v>-6.8750000000000755E-3</v>
      </c>
      <c r="H71" s="7">
        <v>3.0880000000000001</v>
      </c>
      <c r="I71" s="15">
        <f t="shared" si="7"/>
        <v>-3.8709677419354873E-3</v>
      </c>
      <c r="J71" s="10">
        <v>3.1339999999999999</v>
      </c>
      <c r="K71" s="12">
        <f t="shared" si="8"/>
        <v>-4.7634169577644089E-3</v>
      </c>
      <c r="L71" s="10">
        <v>3.0459999999999998</v>
      </c>
      <c r="M71" s="12">
        <f t="shared" si="9"/>
        <v>-3.5982989859339619E-3</v>
      </c>
    </row>
    <row r="72" spans="1:13" x14ac:dyDescent="0.25">
      <c r="A72" s="5">
        <v>41033</v>
      </c>
      <c r="B72" s="4">
        <v>2.9860000000000002</v>
      </c>
      <c r="C72" s="12">
        <f t="shared" si="5"/>
        <v>-3.3656957928802474E-2</v>
      </c>
      <c r="E72" s="37">
        <v>41033</v>
      </c>
      <c r="F72" s="38">
        <v>3.077</v>
      </c>
      <c r="G72" s="38">
        <f t="shared" si="6"/>
        <v>-3.1780994336060409E-2</v>
      </c>
      <c r="H72" s="7">
        <v>2.9969999999999999</v>
      </c>
      <c r="I72" s="15">
        <f t="shared" si="7"/>
        <v>-2.9468911917098509E-2</v>
      </c>
      <c r="J72" s="10">
        <v>3.0339999999999998</v>
      </c>
      <c r="K72" s="12">
        <f t="shared" si="8"/>
        <v>-3.1908104658583313E-2</v>
      </c>
      <c r="L72" s="10">
        <v>2.9620000000000002</v>
      </c>
      <c r="M72" s="12">
        <f t="shared" si="9"/>
        <v>-2.7577150361129229E-2</v>
      </c>
    </row>
    <row r="73" spans="1:13" x14ac:dyDescent="0.25">
      <c r="A73" s="5">
        <v>41040</v>
      </c>
      <c r="B73" s="4">
        <v>2.9329999999999998</v>
      </c>
      <c r="C73" s="12">
        <f t="shared" si="5"/>
        <v>-1.7749497655726851E-2</v>
      </c>
      <c r="E73" s="37">
        <v>41040</v>
      </c>
      <c r="F73" s="38">
        <v>3.0009999999999999</v>
      </c>
      <c r="G73" s="38">
        <f t="shared" si="6"/>
        <v>-2.4699382515437136E-2</v>
      </c>
      <c r="H73" s="7">
        <v>2.8929999999999998</v>
      </c>
      <c r="I73" s="15">
        <f t="shared" si="7"/>
        <v>-3.4701368034701398E-2</v>
      </c>
      <c r="J73" s="10">
        <v>2.94</v>
      </c>
      <c r="K73" s="12">
        <f t="shared" si="8"/>
        <v>-3.0982201713908988E-2</v>
      </c>
      <c r="L73" s="10">
        <v>2.8519999999999999</v>
      </c>
      <c r="M73" s="12">
        <f t="shared" si="9"/>
        <v>-3.7137069547603076E-2</v>
      </c>
    </row>
    <row r="74" spans="1:13" x14ac:dyDescent="0.25">
      <c r="A74" s="5">
        <v>41047</v>
      </c>
      <c r="B74" s="4">
        <v>2.875</v>
      </c>
      <c r="C74" s="12">
        <f t="shared" si="5"/>
        <v>-1.977497442891232E-2</v>
      </c>
      <c r="E74" s="37">
        <v>41047</v>
      </c>
      <c r="F74" s="38">
        <v>2.9180000000000001</v>
      </c>
      <c r="G74" s="38">
        <f t="shared" si="6"/>
        <v>-2.7657447517494084E-2</v>
      </c>
      <c r="H74" s="7">
        <v>2.8149999999999999</v>
      </c>
      <c r="I74" s="15">
        <f t="shared" si="7"/>
        <v>-2.6961631524369117E-2</v>
      </c>
      <c r="J74" s="10">
        <v>2.859</v>
      </c>
      <c r="K74" s="12">
        <f t="shared" si="8"/>
        <v>-2.7551020408163252E-2</v>
      </c>
      <c r="L74" s="10">
        <v>2.7759999999999998</v>
      </c>
      <c r="M74" s="12">
        <f t="shared" si="9"/>
        <v>-2.6647966339410963E-2</v>
      </c>
    </row>
    <row r="75" spans="1:13" x14ac:dyDescent="0.25">
      <c r="A75" s="5">
        <v>41054</v>
      </c>
      <c r="B75" s="4">
        <v>2.827</v>
      </c>
      <c r="C75" s="12">
        <f t="shared" si="5"/>
        <v>-1.6695652173913059E-2</v>
      </c>
      <c r="E75" s="37">
        <v>41054</v>
      </c>
      <c r="F75" s="38">
        <v>2.9039999999999999</v>
      </c>
      <c r="G75" s="38">
        <f t="shared" si="6"/>
        <v>-4.7978067169294836E-3</v>
      </c>
      <c r="H75" s="7">
        <v>2.7850000000000001</v>
      </c>
      <c r="I75" s="15">
        <f t="shared" si="7"/>
        <v>-1.0657193605683768E-2</v>
      </c>
      <c r="J75" s="10">
        <v>2.835</v>
      </c>
      <c r="K75" s="12">
        <f t="shared" si="8"/>
        <v>-8.3945435466946557E-3</v>
      </c>
      <c r="L75" s="10">
        <v>2.742</v>
      </c>
      <c r="M75" s="12">
        <f t="shared" si="9"/>
        <v>-1.2247838616714629E-2</v>
      </c>
    </row>
    <row r="76" spans="1:13" x14ac:dyDescent="0.25">
      <c r="A76" s="5">
        <v>41061</v>
      </c>
      <c r="B76" s="4">
        <v>2.714</v>
      </c>
      <c r="C76" s="12">
        <f t="shared" si="5"/>
        <v>-3.997170145030067E-2</v>
      </c>
      <c r="E76" s="37">
        <v>41061</v>
      </c>
      <c r="F76" s="38">
        <v>2.8119999999999998</v>
      </c>
      <c r="G76" s="38">
        <f t="shared" si="6"/>
        <v>-3.1680440771349891E-2</v>
      </c>
      <c r="H76" s="7">
        <v>2.677</v>
      </c>
      <c r="I76" s="15">
        <f t="shared" si="7"/>
        <v>-3.8779174147217266E-2</v>
      </c>
      <c r="J76" s="10">
        <v>2.7309999999999999</v>
      </c>
      <c r="K76" s="12">
        <f t="shared" si="8"/>
        <v>-3.6684303350970053E-2</v>
      </c>
      <c r="L76" s="10">
        <v>2.6059999999999999</v>
      </c>
      <c r="M76" s="12">
        <f t="shared" si="9"/>
        <v>-4.9598832968636077E-2</v>
      </c>
    </row>
    <row r="77" spans="1:13" x14ac:dyDescent="0.25">
      <c r="A77" s="5">
        <v>41068</v>
      </c>
      <c r="B77" s="4">
        <v>2.6829999999999998</v>
      </c>
      <c r="C77" s="12">
        <f t="shared" si="5"/>
        <v>-1.1422254974207862E-2</v>
      </c>
      <c r="E77" s="37">
        <v>41068</v>
      </c>
      <c r="F77" s="38">
        <v>2.6829999999999998</v>
      </c>
      <c r="G77" s="38">
        <f t="shared" si="6"/>
        <v>-4.5874822190611668E-2</v>
      </c>
      <c r="H77" s="7">
        <v>2.5680000000000001</v>
      </c>
      <c r="I77" s="15">
        <f t="shared" si="7"/>
        <v>-4.0717220769518114E-2</v>
      </c>
      <c r="J77" s="10">
        <v>2.6190000000000002</v>
      </c>
      <c r="K77" s="12">
        <f t="shared" si="8"/>
        <v>-4.1010618820944582E-2</v>
      </c>
      <c r="L77" s="10">
        <v>2.415</v>
      </c>
      <c r="M77" s="12">
        <f t="shared" si="9"/>
        <v>-7.3292402148887117E-2</v>
      </c>
    </row>
    <row r="78" spans="1:13" x14ac:dyDescent="0.25">
      <c r="A78" s="5">
        <v>41075</v>
      </c>
      <c r="B78" s="4">
        <v>2.6720000000000002</v>
      </c>
      <c r="C78" s="12">
        <f t="shared" si="5"/>
        <v>-4.0998881848675651E-3</v>
      </c>
      <c r="E78" s="37">
        <v>41075</v>
      </c>
      <c r="F78" s="38">
        <v>2.6680000000000001</v>
      </c>
      <c r="G78" s="38">
        <f t="shared" si="6"/>
        <v>-5.5907566157285433E-3</v>
      </c>
      <c r="H78" s="7">
        <v>2.5390000000000001</v>
      </c>
      <c r="I78" s="15">
        <f t="shared" si="7"/>
        <v>-1.1292834890965699E-2</v>
      </c>
      <c r="J78" s="10">
        <v>2.597</v>
      </c>
      <c r="K78" s="12">
        <f t="shared" si="8"/>
        <v>-8.4001527300497283E-3</v>
      </c>
      <c r="L78" s="10">
        <v>2.3769999999999998</v>
      </c>
      <c r="M78" s="12">
        <f t="shared" si="9"/>
        <v>-1.5734989648033233E-2</v>
      </c>
    </row>
    <row r="79" spans="1:13" x14ac:dyDescent="0.25">
      <c r="A79" s="5">
        <v>41082</v>
      </c>
      <c r="B79" s="4">
        <v>2.5350000000000001</v>
      </c>
      <c r="C79" s="12">
        <f t="shared" si="5"/>
        <v>-5.1272455089820361E-2</v>
      </c>
      <c r="E79" s="37">
        <v>41082</v>
      </c>
      <c r="F79" s="38">
        <v>2.6030000000000002</v>
      </c>
      <c r="G79" s="38">
        <f t="shared" si="6"/>
        <v>-2.4362818590704625E-2</v>
      </c>
      <c r="H79" s="7">
        <v>2.4540000000000002</v>
      </c>
      <c r="I79" s="15">
        <f t="shared" si="7"/>
        <v>-3.3477747144545079E-2</v>
      </c>
      <c r="J79" s="10">
        <v>2.5169999999999999</v>
      </c>
      <c r="K79" s="12">
        <f t="shared" si="8"/>
        <v>-3.080477474008474E-2</v>
      </c>
      <c r="L79" s="10">
        <v>2.2890000000000001</v>
      </c>
      <c r="M79" s="12">
        <f t="shared" si="9"/>
        <v>-3.7021455616322946E-2</v>
      </c>
    </row>
    <row r="80" spans="1:13" x14ac:dyDescent="0.25">
      <c r="A80" s="5">
        <v>41089</v>
      </c>
      <c r="B80" s="4">
        <v>2.5150000000000001</v>
      </c>
      <c r="C80" s="12">
        <f t="shared" si="5"/>
        <v>-7.88954635108482E-3</v>
      </c>
      <c r="E80" s="37">
        <v>41089</v>
      </c>
      <c r="F80" s="38">
        <v>2.6509999999999998</v>
      </c>
      <c r="G80" s="38">
        <f t="shared" si="6"/>
        <v>1.8440261237034034E-2</v>
      </c>
      <c r="H80" s="7">
        <v>2.4510000000000001</v>
      </c>
      <c r="I80" s="15">
        <f t="shared" si="7"/>
        <v>-1.2224938875306085E-3</v>
      </c>
      <c r="J80" s="10">
        <v>2.5259999999999998</v>
      </c>
      <c r="K80" s="12">
        <f t="shared" si="8"/>
        <v>3.5756853396900663E-3</v>
      </c>
      <c r="L80" s="10">
        <v>2.2850000000000001</v>
      </c>
      <c r="M80" s="12">
        <f t="shared" si="9"/>
        <v>-1.7474879860200976E-3</v>
      </c>
    </row>
    <row r="81" spans="1:13" x14ac:dyDescent="0.25">
      <c r="A81" s="5">
        <v>41096</v>
      </c>
      <c r="B81" s="4">
        <v>2.6640000000000001</v>
      </c>
      <c r="C81" s="12">
        <f t="shared" si="5"/>
        <v>5.924453280318092E-2</v>
      </c>
      <c r="E81" s="37">
        <v>41096</v>
      </c>
      <c r="F81" s="38">
        <v>2.7069999999999999</v>
      </c>
      <c r="G81" s="38">
        <f t="shared" si="6"/>
        <v>2.1124104111655998E-2</v>
      </c>
      <c r="H81" s="7">
        <v>2.427</v>
      </c>
      <c r="I81" s="15">
        <f t="shared" si="7"/>
        <v>-9.7919216646266908E-3</v>
      </c>
      <c r="J81" s="10">
        <v>2.6070000000000002</v>
      </c>
      <c r="K81" s="12">
        <f t="shared" si="8"/>
        <v>3.2066508313539355E-2</v>
      </c>
      <c r="L81" s="10">
        <v>2.39</v>
      </c>
      <c r="M81" s="12">
        <f t="shared" si="9"/>
        <v>4.595185995623631E-2</v>
      </c>
    </row>
    <row r="82" spans="1:13" x14ac:dyDescent="0.25">
      <c r="A82" s="5">
        <v>41103</v>
      </c>
      <c r="B82" s="4">
        <v>2.7690000000000001</v>
      </c>
      <c r="C82" s="12">
        <f t="shared" si="5"/>
        <v>3.9414414414414407E-2</v>
      </c>
      <c r="E82" s="37">
        <v>41103</v>
      </c>
      <c r="F82" s="38">
        <v>2.78</v>
      </c>
      <c r="G82" s="38">
        <f t="shared" si="6"/>
        <v>2.696712227558181E-2</v>
      </c>
      <c r="H82" s="7">
        <v>2.456</v>
      </c>
      <c r="I82" s="15">
        <f t="shared" si="7"/>
        <v>1.1948908117016857E-2</v>
      </c>
      <c r="J82" s="10">
        <v>2.6509999999999998</v>
      </c>
      <c r="K82" s="12">
        <f t="shared" si="8"/>
        <v>1.687763713080153E-2</v>
      </c>
      <c r="L82" s="10">
        <v>2.4140000000000001</v>
      </c>
      <c r="M82" s="12">
        <f t="shared" si="9"/>
        <v>1.0041841004184109E-2</v>
      </c>
    </row>
    <row r="83" spans="1:13" x14ac:dyDescent="0.25">
      <c r="A83" s="5">
        <v>41110</v>
      </c>
      <c r="B83" s="4">
        <v>2.82</v>
      </c>
      <c r="C83" s="12">
        <f t="shared" si="5"/>
        <v>1.8418201516792961E-2</v>
      </c>
      <c r="E83" s="37">
        <v>41110</v>
      </c>
      <c r="F83" s="38">
        <v>2.8929999999999998</v>
      </c>
      <c r="G83" s="38">
        <f t="shared" si="6"/>
        <v>4.0647482014388489E-2</v>
      </c>
      <c r="H83" s="7">
        <v>2.5990000000000002</v>
      </c>
      <c r="I83" s="15">
        <f t="shared" si="7"/>
        <v>5.8224755700325828E-2</v>
      </c>
      <c r="J83" s="10">
        <v>2.7850000000000001</v>
      </c>
      <c r="K83" s="12">
        <f t="shared" si="8"/>
        <v>5.0546963410034083E-2</v>
      </c>
      <c r="L83" s="10">
        <v>2.5489999999999999</v>
      </c>
      <c r="M83" s="12">
        <f t="shared" si="9"/>
        <v>5.5923777961888889E-2</v>
      </c>
    </row>
    <row r="84" spans="1:13" x14ac:dyDescent="0.25">
      <c r="A84" s="5">
        <v>41117</v>
      </c>
      <c r="B84" s="4">
        <v>2.7109999999999999</v>
      </c>
      <c r="C84" s="12">
        <f t="shared" si="5"/>
        <v>-3.8652482269503546E-2</v>
      </c>
      <c r="E84" s="37">
        <v>41117</v>
      </c>
      <c r="F84" s="38">
        <v>2.84</v>
      </c>
      <c r="G84" s="38">
        <f t="shared" si="6"/>
        <v>-1.8320082958866207E-2</v>
      </c>
      <c r="H84" s="7">
        <v>2.57</v>
      </c>
      <c r="I84" s="15">
        <f t="shared" si="7"/>
        <v>-1.1158137745286786E-2</v>
      </c>
      <c r="J84" s="10">
        <v>2.7480000000000002</v>
      </c>
      <c r="K84" s="12">
        <f t="shared" si="8"/>
        <v>-1.3285457809694765E-2</v>
      </c>
      <c r="L84" s="10">
        <v>2.524</v>
      </c>
      <c r="M84" s="12">
        <f t="shared" si="9"/>
        <v>-9.8077677520595971E-3</v>
      </c>
    </row>
    <row r="85" spans="1:13" x14ac:dyDescent="0.25">
      <c r="A85" s="5">
        <v>41124</v>
      </c>
      <c r="B85" s="4">
        <v>2.8370000000000002</v>
      </c>
      <c r="C85" s="12">
        <f t="shared" si="5"/>
        <v>4.6477314644042915E-2</v>
      </c>
      <c r="E85" s="37">
        <v>41124</v>
      </c>
      <c r="F85" s="38">
        <v>2.8969999999999998</v>
      </c>
      <c r="G85" s="38">
        <f t="shared" si="6"/>
        <v>2.0070422535211248E-2</v>
      </c>
      <c r="H85" s="7">
        <v>2.601</v>
      </c>
      <c r="I85" s="15">
        <f t="shared" si="7"/>
        <v>1.2062256809338576E-2</v>
      </c>
      <c r="J85" s="10">
        <v>2.7149999999999999</v>
      </c>
      <c r="K85" s="12">
        <f t="shared" si="8"/>
        <v>-1.2008733624454279E-2</v>
      </c>
      <c r="L85" s="10">
        <v>2.56</v>
      </c>
      <c r="M85" s="12">
        <f t="shared" si="9"/>
        <v>1.4263074484944545E-2</v>
      </c>
    </row>
    <row r="86" spans="1:13" x14ac:dyDescent="0.25">
      <c r="A86" s="5">
        <v>41131</v>
      </c>
      <c r="B86" s="4">
        <v>2.9870000000000001</v>
      </c>
      <c r="C86" s="12">
        <f t="shared" si="5"/>
        <v>5.2872752908001378E-2</v>
      </c>
      <c r="E86" s="37">
        <v>41131</v>
      </c>
      <c r="F86" s="38">
        <v>2.98</v>
      </c>
      <c r="G86" s="38">
        <f t="shared" si="6"/>
        <v>2.8650327925440176E-2</v>
      </c>
      <c r="H86" s="7">
        <v>2.72</v>
      </c>
      <c r="I86" s="15">
        <f t="shared" si="7"/>
        <v>4.5751633986928185E-2</v>
      </c>
      <c r="J86" s="10">
        <v>2.7789999999999999</v>
      </c>
      <c r="K86" s="12">
        <f t="shared" si="8"/>
        <v>2.3572744014732989E-2</v>
      </c>
      <c r="L86" s="10">
        <v>2.6840000000000002</v>
      </c>
      <c r="M86" s="12">
        <f t="shared" si="9"/>
        <v>4.8437500000000043E-2</v>
      </c>
    </row>
    <row r="87" spans="1:13" x14ac:dyDescent="0.25">
      <c r="A87" s="5">
        <v>41138</v>
      </c>
      <c r="B87" s="4">
        <v>3.0019999999999998</v>
      </c>
      <c r="C87" s="12">
        <f t="shared" si="5"/>
        <v>5.021760964177998E-3</v>
      </c>
      <c r="E87" s="37">
        <v>41138</v>
      </c>
      <c r="F87" s="38">
        <v>3.0369999999999999</v>
      </c>
      <c r="G87" s="38">
        <f t="shared" si="6"/>
        <v>1.9127516778523469E-2</v>
      </c>
      <c r="H87" s="7">
        <v>2.798</v>
      </c>
      <c r="I87" s="15">
        <f t="shared" si="7"/>
        <v>2.8676470588235237E-2</v>
      </c>
      <c r="J87" s="10">
        <v>2.859</v>
      </c>
      <c r="K87" s="12">
        <f t="shared" si="8"/>
        <v>2.8787333573227807E-2</v>
      </c>
      <c r="L87" s="10">
        <v>2.76</v>
      </c>
      <c r="M87" s="12">
        <f t="shared" si="9"/>
        <v>2.8315946348733093E-2</v>
      </c>
    </row>
    <row r="88" spans="1:13" x14ac:dyDescent="0.25">
      <c r="A88" s="5">
        <v>41145</v>
      </c>
      <c r="B88" s="4">
        <v>3.0409999999999999</v>
      </c>
      <c r="C88" s="12">
        <f t="shared" si="5"/>
        <v>1.2991339107261876E-2</v>
      </c>
      <c r="E88" s="37">
        <v>41145</v>
      </c>
      <c r="F88" s="38">
        <v>3.0790000000000002</v>
      </c>
      <c r="G88" s="38">
        <f t="shared" si="6"/>
        <v>1.3829436944353065E-2</v>
      </c>
      <c r="H88" s="7">
        <v>2.8460000000000001</v>
      </c>
      <c r="I88" s="15">
        <f t="shared" si="7"/>
        <v>1.715511079342389E-2</v>
      </c>
      <c r="J88" s="10">
        <v>2.915</v>
      </c>
      <c r="K88" s="12">
        <f t="shared" si="8"/>
        <v>1.9587268275620864E-2</v>
      </c>
      <c r="L88" s="10">
        <v>2.802</v>
      </c>
      <c r="M88" s="12">
        <f t="shared" si="9"/>
        <v>1.521739130434792E-2</v>
      </c>
    </row>
    <row r="89" spans="1:13" x14ac:dyDescent="0.25">
      <c r="A89" s="5">
        <v>41152</v>
      </c>
      <c r="B89" s="4">
        <v>3.1459999999999999</v>
      </c>
      <c r="C89" s="12">
        <f t="shared" si="5"/>
        <v>3.452811575139756E-2</v>
      </c>
      <c r="E89" s="37">
        <v>41152</v>
      </c>
      <c r="F89" s="38">
        <v>3.1139999999999999</v>
      </c>
      <c r="G89" s="38">
        <f t="shared" si="6"/>
        <v>1.1367327054238291E-2</v>
      </c>
      <c r="H89" s="7">
        <v>2.8420000000000001</v>
      </c>
      <c r="I89" s="15">
        <f t="shared" si="7"/>
        <v>-1.4054813773717511E-3</v>
      </c>
      <c r="J89" s="10">
        <v>2.9359999999999999</v>
      </c>
      <c r="K89" s="12">
        <f t="shared" si="8"/>
        <v>7.2041166380788701E-3</v>
      </c>
      <c r="L89" s="10">
        <v>2.7850000000000001</v>
      </c>
      <c r="M89" s="12">
        <f t="shared" si="9"/>
        <v>-6.0670949321912577E-3</v>
      </c>
    </row>
    <row r="90" spans="1:13" x14ac:dyDescent="0.25">
      <c r="A90" s="5">
        <v>41159</v>
      </c>
      <c r="B90" s="4">
        <v>3.2440000000000002</v>
      </c>
      <c r="C90" s="12">
        <f t="shared" si="5"/>
        <v>3.1150667514303978E-2</v>
      </c>
      <c r="E90" s="37">
        <v>41159</v>
      </c>
      <c r="F90" s="38">
        <v>2.9780000000000002</v>
      </c>
      <c r="G90" s="38">
        <f t="shared" si="6"/>
        <v>-4.3673731535003112E-2</v>
      </c>
      <c r="H90" s="7">
        <v>2.8069999999999999</v>
      </c>
      <c r="I90" s="15">
        <f t="shared" si="7"/>
        <v>-1.231527093596064E-2</v>
      </c>
      <c r="J90" s="10">
        <v>2.8730000000000002</v>
      </c>
      <c r="K90" s="12">
        <f t="shared" si="8"/>
        <v>-2.1457765667574839E-2</v>
      </c>
      <c r="L90" s="10">
        <v>2.78</v>
      </c>
      <c r="M90" s="12">
        <f t="shared" si="9"/>
        <v>-1.7953321364453634E-3</v>
      </c>
    </row>
    <row r="91" spans="1:13" x14ac:dyDescent="0.25">
      <c r="A91" s="5">
        <v>41166</v>
      </c>
      <c r="B91" s="4">
        <v>3.335</v>
      </c>
      <c r="C91" s="12">
        <f t="shared" si="5"/>
        <v>2.8051787916152818E-2</v>
      </c>
      <c r="E91" s="37">
        <v>41166</v>
      </c>
      <c r="F91" s="38">
        <v>3.0089999999999999</v>
      </c>
      <c r="G91" s="38">
        <f t="shared" si="6"/>
        <v>1.0409670920080487E-2</v>
      </c>
      <c r="H91" s="7">
        <v>2.8479999999999999</v>
      </c>
      <c r="I91" s="15">
        <f t="shared" si="7"/>
        <v>1.4606341289633035E-2</v>
      </c>
      <c r="J91" s="10">
        <v>2.911</v>
      </c>
      <c r="K91" s="12">
        <f t="shared" si="8"/>
        <v>1.3226592412112707E-2</v>
      </c>
      <c r="L91" s="10">
        <v>2.8220000000000001</v>
      </c>
      <c r="M91" s="12">
        <f t="shared" si="9"/>
        <v>1.5107913669064842E-2</v>
      </c>
    </row>
    <row r="92" spans="1:13" x14ac:dyDescent="0.25">
      <c r="A92" s="5">
        <v>41173</v>
      </c>
      <c r="B92" s="4">
        <v>3.1339999999999999</v>
      </c>
      <c r="C92" s="12">
        <f t="shared" si="5"/>
        <v>-6.0269865067466288E-2</v>
      </c>
      <c r="E92" s="37">
        <v>41173</v>
      </c>
      <c r="F92" s="38">
        <v>2.903</v>
      </c>
      <c r="G92" s="38">
        <f t="shared" si="6"/>
        <v>-3.5227650382186733E-2</v>
      </c>
      <c r="H92" s="7">
        <v>2.7330000000000001</v>
      </c>
      <c r="I92" s="15">
        <f t="shared" si="7"/>
        <v>-4.0379213483145986E-2</v>
      </c>
      <c r="J92" s="10">
        <v>2.7989999999999999</v>
      </c>
      <c r="K92" s="12">
        <f t="shared" si="8"/>
        <v>-3.8474750944692576E-2</v>
      </c>
      <c r="L92" s="10">
        <v>2.7040000000000002</v>
      </c>
      <c r="M92" s="12">
        <f t="shared" si="9"/>
        <v>-4.1814316087880894E-2</v>
      </c>
    </row>
    <row r="93" spans="1:13" x14ac:dyDescent="0.25">
      <c r="A93" s="5">
        <v>41180</v>
      </c>
      <c r="B93" s="4">
        <v>3.363</v>
      </c>
      <c r="C93" s="12">
        <f t="shared" si="5"/>
        <v>7.3069559668155745E-2</v>
      </c>
      <c r="E93" s="37">
        <v>41180</v>
      </c>
      <c r="F93" s="38">
        <v>3.09</v>
      </c>
      <c r="G93" s="38">
        <f t="shared" si="6"/>
        <v>6.4416121253875247E-2</v>
      </c>
      <c r="H93" s="7">
        <v>2.7519999999999998</v>
      </c>
      <c r="I93" s="15">
        <f t="shared" si="7"/>
        <v>6.9520673252834548E-3</v>
      </c>
      <c r="J93" s="10">
        <v>2.86</v>
      </c>
      <c r="K93" s="12">
        <f t="shared" si="8"/>
        <v>2.1793497677742031E-2</v>
      </c>
      <c r="L93" s="10">
        <v>2.7010000000000001</v>
      </c>
      <c r="M93" s="12">
        <f t="shared" si="9"/>
        <v>-1.1094674556213437E-3</v>
      </c>
    </row>
    <row r="94" spans="1:13" x14ac:dyDescent="0.25">
      <c r="A94" s="5">
        <v>41187</v>
      </c>
      <c r="B94" s="4">
        <v>3.234</v>
      </c>
      <c r="C94" s="12">
        <f t="shared" si="5"/>
        <v>-3.8358608385370203E-2</v>
      </c>
      <c r="E94" s="37">
        <v>41187</v>
      </c>
      <c r="F94" s="38">
        <v>2.8969999999999998</v>
      </c>
      <c r="G94" s="38">
        <f t="shared" si="6"/>
        <v>-6.2459546925566364E-2</v>
      </c>
      <c r="H94" s="7">
        <v>2.7080000000000002</v>
      </c>
      <c r="I94" s="15">
        <f t="shared" si="7"/>
        <v>-1.5988372093023111E-2</v>
      </c>
      <c r="J94" s="10">
        <v>2.7650000000000001</v>
      </c>
      <c r="K94" s="12">
        <f t="shared" si="8"/>
        <v>-3.3216783216783133E-2</v>
      </c>
      <c r="L94" s="10">
        <v>2.698</v>
      </c>
      <c r="M94" s="12">
        <f t="shared" si="9"/>
        <v>-1.1106997408367692E-3</v>
      </c>
    </row>
    <row r="95" spans="1:13" x14ac:dyDescent="0.25">
      <c r="A95" s="5">
        <v>41194</v>
      </c>
      <c r="B95" s="4">
        <v>3.1629999999999998</v>
      </c>
      <c r="C95" s="12">
        <f t="shared" si="5"/>
        <v>-2.1954236239950579E-2</v>
      </c>
      <c r="E95" s="37">
        <v>41194</v>
      </c>
      <c r="F95" s="38">
        <v>2.9319999999999999</v>
      </c>
      <c r="G95" s="38">
        <f t="shared" si="6"/>
        <v>1.2081463583016963E-2</v>
      </c>
      <c r="H95" s="7">
        <v>2.7749999999999999</v>
      </c>
      <c r="I95" s="15">
        <f t="shared" si="7"/>
        <v>2.4741506646971834E-2</v>
      </c>
      <c r="J95" s="10">
        <v>2.819</v>
      </c>
      <c r="K95" s="12">
        <f t="shared" si="8"/>
        <v>1.9529837251356173E-2</v>
      </c>
      <c r="L95" s="10">
        <v>2.7650000000000001</v>
      </c>
      <c r="M95" s="12">
        <f t="shared" si="9"/>
        <v>2.4833209785026008E-2</v>
      </c>
    </row>
    <row r="96" spans="1:13" x14ac:dyDescent="0.25">
      <c r="A96" s="5">
        <v>41201</v>
      </c>
      <c r="B96" s="4">
        <v>2.8969999999999998</v>
      </c>
      <c r="C96" s="12">
        <f t="shared" si="5"/>
        <v>-8.4097375908947211E-2</v>
      </c>
      <c r="E96" s="37">
        <v>41201</v>
      </c>
      <c r="F96" s="38">
        <v>2.7839999999999998</v>
      </c>
      <c r="G96" s="38">
        <f t="shared" si="6"/>
        <v>-5.0477489768076443E-2</v>
      </c>
      <c r="H96" s="7">
        <v>2.7410000000000001</v>
      </c>
      <c r="I96" s="15">
        <f t="shared" si="7"/>
        <v>-1.2252252252252184E-2</v>
      </c>
      <c r="J96" s="10">
        <v>2.7530000000000001</v>
      </c>
      <c r="K96" s="12">
        <f t="shared" si="8"/>
        <v>-2.341255764455475E-2</v>
      </c>
      <c r="L96" s="10">
        <v>2.742</v>
      </c>
      <c r="M96" s="12">
        <f t="shared" si="9"/>
        <v>-8.3182640144665934E-3</v>
      </c>
    </row>
    <row r="97" spans="1:13" x14ac:dyDescent="0.25">
      <c r="A97" s="5">
        <v>41208</v>
      </c>
      <c r="B97" s="4">
        <v>2.7170000000000001</v>
      </c>
      <c r="C97" s="12">
        <f t="shared" si="5"/>
        <v>-6.2133241284086892E-2</v>
      </c>
      <c r="E97" s="37">
        <v>41208</v>
      </c>
      <c r="F97" s="38">
        <v>2.6459999999999999</v>
      </c>
      <c r="G97" s="38">
        <f t="shared" si="6"/>
        <v>-4.9568965517241347E-2</v>
      </c>
      <c r="H97" s="7">
        <v>2.6110000000000002</v>
      </c>
      <c r="I97" s="15">
        <f t="shared" si="7"/>
        <v>-4.7427946005107587E-2</v>
      </c>
      <c r="J97" s="10">
        <v>2.6179999999999999</v>
      </c>
      <c r="K97" s="12">
        <f t="shared" si="8"/>
        <v>-4.9037413730475925E-2</v>
      </c>
      <c r="L97" s="10">
        <v>2.6150000000000002</v>
      </c>
      <c r="M97" s="12">
        <f t="shared" si="9"/>
        <v>-4.6316557257476215E-2</v>
      </c>
    </row>
    <row r="98" spans="1:13" x14ac:dyDescent="0.25">
      <c r="A98" s="5">
        <v>41215</v>
      </c>
      <c r="B98" s="4">
        <v>2.73</v>
      </c>
      <c r="C98" s="12">
        <f t="shared" si="5"/>
        <v>4.7846889952152744E-3</v>
      </c>
      <c r="E98" s="37">
        <v>41215</v>
      </c>
      <c r="F98" s="38">
        <v>2.6909999999999998</v>
      </c>
      <c r="G98" s="38">
        <f t="shared" si="6"/>
        <v>1.7006802721088409E-2</v>
      </c>
      <c r="H98" s="7">
        <v>2.601</v>
      </c>
      <c r="I98" s="15">
        <f t="shared" si="7"/>
        <v>-3.8299502106473498E-3</v>
      </c>
      <c r="J98" s="10">
        <v>2.6110000000000002</v>
      </c>
      <c r="K98" s="12">
        <f t="shared" si="8"/>
        <v>-2.6737967914437256E-3</v>
      </c>
      <c r="L98" s="10">
        <v>2.61</v>
      </c>
      <c r="M98" s="12">
        <f t="shared" si="9"/>
        <v>-1.9120458891014674E-3</v>
      </c>
    </row>
    <row r="99" spans="1:13" x14ac:dyDescent="0.25">
      <c r="A99" s="5">
        <v>41222</v>
      </c>
      <c r="B99" s="4">
        <v>2.81</v>
      </c>
      <c r="C99" s="12">
        <f t="shared" si="5"/>
        <v>2.9304029304029332E-2</v>
      </c>
      <c r="E99" s="37">
        <v>41222</v>
      </c>
      <c r="F99" s="38">
        <v>2.6429999999999998</v>
      </c>
      <c r="G99" s="38">
        <f t="shared" si="6"/>
        <v>-1.7837235228539593E-2</v>
      </c>
      <c r="H99" s="7">
        <v>2.6259999999999999</v>
      </c>
      <c r="I99" s="15">
        <f t="shared" si="7"/>
        <v>9.6116878123798204E-3</v>
      </c>
      <c r="J99" s="10">
        <v>2.62</v>
      </c>
      <c r="K99" s="12">
        <f t="shared" si="8"/>
        <v>3.4469551895824958E-3</v>
      </c>
      <c r="L99" s="10">
        <v>2.6459999999999999</v>
      </c>
      <c r="M99" s="12">
        <f t="shared" si="9"/>
        <v>1.3793103448275876E-2</v>
      </c>
    </row>
    <row r="100" spans="1:13" x14ac:dyDescent="0.25">
      <c r="A100" s="5">
        <v>41229</v>
      </c>
      <c r="B100" s="4">
        <v>2.9209999999999998</v>
      </c>
      <c r="C100" s="12">
        <f t="shared" si="5"/>
        <v>3.9501779359430521E-2</v>
      </c>
      <c r="E100" s="37">
        <v>41229</v>
      </c>
      <c r="F100" s="38">
        <v>2.6829999999999998</v>
      </c>
      <c r="G100" s="38">
        <f t="shared" si="6"/>
        <v>1.5134317063942504E-2</v>
      </c>
      <c r="H100" s="7">
        <v>2.653</v>
      </c>
      <c r="I100" s="15">
        <f t="shared" si="7"/>
        <v>1.0281797410510333E-2</v>
      </c>
      <c r="J100" s="10">
        <v>2.6520000000000001</v>
      </c>
      <c r="K100" s="12">
        <f t="shared" si="8"/>
        <v>1.2213740458015277E-2</v>
      </c>
      <c r="L100" s="10">
        <v>2.67</v>
      </c>
      <c r="M100" s="12">
        <f t="shared" si="9"/>
        <v>9.0702947845805078E-3</v>
      </c>
    </row>
    <row r="101" spans="1:13" x14ac:dyDescent="0.25">
      <c r="A101" s="5">
        <v>41236</v>
      </c>
      <c r="B101" s="4">
        <v>2.8180000000000001</v>
      </c>
      <c r="C101" s="12">
        <f t="shared" si="5"/>
        <v>-3.526189661074966E-2</v>
      </c>
      <c r="E101" s="37">
        <v>41236</v>
      </c>
      <c r="F101" s="38">
        <v>2.74</v>
      </c>
      <c r="G101" s="38">
        <f t="shared" si="6"/>
        <v>2.1244875139769061E-2</v>
      </c>
      <c r="H101" s="7">
        <v>2.7170000000000001</v>
      </c>
      <c r="I101" s="15">
        <f t="shared" si="7"/>
        <v>2.4123633622314383E-2</v>
      </c>
      <c r="J101" s="10">
        <v>2.7160000000000002</v>
      </c>
      <c r="K101" s="12">
        <f t="shared" si="8"/>
        <v>2.4132730015082978E-2</v>
      </c>
      <c r="L101" s="10">
        <v>2.7330000000000001</v>
      </c>
      <c r="M101" s="12">
        <f t="shared" si="9"/>
        <v>2.3595505617977592E-2</v>
      </c>
    </row>
    <row r="102" spans="1:13" x14ac:dyDescent="0.25">
      <c r="A102" s="5">
        <v>41243</v>
      </c>
      <c r="B102" s="4">
        <v>2.7890000000000001</v>
      </c>
      <c r="C102" s="12">
        <f t="shared" si="5"/>
        <v>-1.0290986515259018E-2</v>
      </c>
      <c r="E102" s="37">
        <v>41243</v>
      </c>
      <c r="F102" s="38">
        <v>2.7480000000000002</v>
      </c>
      <c r="G102" s="38">
        <f t="shared" si="6"/>
        <v>2.9197080291970827E-3</v>
      </c>
      <c r="H102" s="7">
        <v>2.7109999999999999</v>
      </c>
      <c r="I102" s="15">
        <f t="shared" si="7"/>
        <v>-2.2083179977917654E-3</v>
      </c>
      <c r="J102" s="10">
        <v>2.71</v>
      </c>
      <c r="K102" s="12">
        <f t="shared" si="8"/>
        <v>-2.2091310751105402E-3</v>
      </c>
      <c r="L102" s="10">
        <v>2.7280000000000002</v>
      </c>
      <c r="M102" s="12">
        <f t="shared" si="9"/>
        <v>-1.8294914013903744E-3</v>
      </c>
    </row>
    <row r="103" spans="1:13" x14ac:dyDescent="0.25">
      <c r="A103" s="5">
        <v>41250</v>
      </c>
      <c r="B103" s="4">
        <v>2.681</v>
      </c>
      <c r="C103" s="12">
        <f t="shared" si="5"/>
        <v>-3.8723556830405195E-2</v>
      </c>
      <c r="E103" s="37">
        <v>41250</v>
      </c>
      <c r="F103" s="38">
        <v>2.65</v>
      </c>
      <c r="G103" s="38">
        <f t="shared" si="6"/>
        <v>-3.5662299854439701E-2</v>
      </c>
      <c r="H103" s="7">
        <v>2.6709999999999998</v>
      </c>
      <c r="I103" s="15">
        <f t="shared" si="7"/>
        <v>-1.4754703061600899E-2</v>
      </c>
      <c r="J103" s="10">
        <v>2.6539999999999999</v>
      </c>
      <c r="K103" s="12">
        <f t="shared" si="8"/>
        <v>-2.0664206642066439E-2</v>
      </c>
      <c r="L103" s="10">
        <v>2.8180000000000001</v>
      </c>
      <c r="M103" s="12">
        <f t="shared" si="9"/>
        <v>3.2991202346040999E-2</v>
      </c>
    </row>
    <row r="104" spans="1:13" x14ac:dyDescent="0.25">
      <c r="A104" s="5">
        <v>41257</v>
      </c>
      <c r="B104" s="4">
        <v>2.645</v>
      </c>
      <c r="C104" s="12">
        <f t="shared" si="5"/>
        <v>-1.3427825438269314E-2</v>
      </c>
      <c r="E104" s="37">
        <v>41257</v>
      </c>
      <c r="F104" s="38">
        <v>2.6240000000000001</v>
      </c>
      <c r="G104" s="38">
        <f t="shared" si="6"/>
        <v>-9.8113207547169071E-3</v>
      </c>
      <c r="H104" s="7">
        <v>2.6469999999999998</v>
      </c>
      <c r="I104" s="15">
        <f t="shared" si="7"/>
        <v>-8.9853987270685221E-3</v>
      </c>
      <c r="J104" s="10">
        <v>2.63</v>
      </c>
      <c r="K104" s="12">
        <f t="shared" si="8"/>
        <v>-9.0429540316503479E-3</v>
      </c>
      <c r="L104" s="10">
        <v>2.7930000000000001</v>
      </c>
      <c r="M104" s="12">
        <f t="shared" si="9"/>
        <v>-8.8715400993612178E-3</v>
      </c>
    </row>
    <row r="105" spans="1:13" x14ac:dyDescent="0.25">
      <c r="A105" s="5">
        <v>41264</v>
      </c>
      <c r="B105" s="4">
        <v>2.7549999999999999</v>
      </c>
      <c r="C105" s="12">
        <f t="shared" si="5"/>
        <v>4.1587901701323204E-2</v>
      </c>
      <c r="E105" s="37">
        <v>41264</v>
      </c>
      <c r="F105" s="38">
        <v>2.7160000000000002</v>
      </c>
      <c r="G105" s="38">
        <f t="shared" si="6"/>
        <v>3.5060975609756129E-2</v>
      </c>
      <c r="H105" s="7">
        <v>2.7120000000000002</v>
      </c>
      <c r="I105" s="15">
        <f t="shared" si="7"/>
        <v>2.4556101246694519E-2</v>
      </c>
      <c r="J105" s="10">
        <v>2.7050000000000001</v>
      </c>
      <c r="K105" s="12">
        <f t="shared" si="8"/>
        <v>2.8517110266159766E-2</v>
      </c>
      <c r="L105" s="10">
        <v>2.85</v>
      </c>
      <c r="M105" s="12">
        <f t="shared" si="9"/>
        <v>2.04081632653061E-2</v>
      </c>
    </row>
    <row r="106" spans="1:13" x14ac:dyDescent="0.25">
      <c r="A106" s="5">
        <v>41271</v>
      </c>
      <c r="B106" s="4">
        <v>2.827</v>
      </c>
      <c r="C106" s="12">
        <f t="shared" si="5"/>
        <v>2.6134301270417448E-2</v>
      </c>
      <c r="E106" s="37">
        <v>41271</v>
      </c>
      <c r="F106" s="38">
        <v>2.7970000000000002</v>
      </c>
      <c r="G106" s="38">
        <f t="shared" si="6"/>
        <v>2.9823269513991148E-2</v>
      </c>
      <c r="H106" s="7">
        <v>2.7679999999999998</v>
      </c>
      <c r="I106" s="15">
        <f t="shared" si="7"/>
        <v>2.0648967551622273E-2</v>
      </c>
      <c r="J106" s="10">
        <v>2.766</v>
      </c>
      <c r="K106" s="12">
        <f t="shared" si="8"/>
        <v>2.2550831792975949E-2</v>
      </c>
      <c r="L106" s="10">
        <v>2.9</v>
      </c>
      <c r="M106" s="12">
        <f t="shared" si="9"/>
        <v>1.7543859649122744E-2</v>
      </c>
    </row>
    <row r="107" spans="1:13" x14ac:dyDescent="0.25">
      <c r="A107" s="5">
        <v>41278</v>
      </c>
      <c r="B107" s="4">
        <v>2.8140000000000001</v>
      </c>
      <c r="C107" s="12">
        <f t="shared" si="5"/>
        <v>-4.5985143261407504E-3</v>
      </c>
      <c r="E107" s="37">
        <v>41278</v>
      </c>
      <c r="F107" s="38">
        <v>2.7919999999999998</v>
      </c>
      <c r="G107" s="38">
        <f t="shared" si="6"/>
        <v>-1.7876296031463486E-3</v>
      </c>
      <c r="H107" s="7">
        <v>2.88</v>
      </c>
      <c r="I107" s="15">
        <f t="shared" si="7"/>
        <v>4.0462427745664782E-2</v>
      </c>
      <c r="J107" s="10">
        <v>2.778</v>
      </c>
      <c r="K107" s="12">
        <f t="shared" si="8"/>
        <v>4.3383947939262509E-3</v>
      </c>
      <c r="L107" s="10">
        <v>2.9079999999999999</v>
      </c>
      <c r="M107" s="12">
        <f t="shared" si="9"/>
        <v>2.7586206896551748E-3</v>
      </c>
    </row>
    <row r="108" spans="1:13" x14ac:dyDescent="0.25">
      <c r="A108" s="5">
        <v>41285</v>
      </c>
      <c r="B108" s="4">
        <v>2.8090000000000002</v>
      </c>
      <c r="C108" s="12">
        <f t="shared" si="5"/>
        <v>-1.7768301350390523E-3</v>
      </c>
      <c r="E108" s="37">
        <v>41285</v>
      </c>
      <c r="F108" s="38">
        <v>2.7770000000000001</v>
      </c>
      <c r="G108" s="38">
        <f t="shared" si="6"/>
        <v>-5.3724928366761038E-3</v>
      </c>
      <c r="H108" s="7">
        <v>2.9359999999999999</v>
      </c>
      <c r="I108" s="15">
        <f t="shared" si="7"/>
        <v>1.9444444444444462E-2</v>
      </c>
      <c r="J108" s="10">
        <v>2.7869999999999999</v>
      </c>
      <c r="K108" s="12">
        <f t="shared" si="8"/>
        <v>3.2397408207343039E-3</v>
      </c>
      <c r="L108" s="10">
        <v>2.927</v>
      </c>
      <c r="M108" s="12">
        <f t="shared" si="9"/>
        <v>6.5337001375516263E-3</v>
      </c>
    </row>
    <row r="109" spans="1:13" x14ac:dyDescent="0.25">
      <c r="A109" s="5">
        <v>41292</v>
      </c>
      <c r="B109" s="4">
        <v>2.77</v>
      </c>
      <c r="C109" s="12">
        <f t="shared" si="5"/>
        <v>-1.3883944464222194E-2</v>
      </c>
      <c r="E109" s="37">
        <v>41292</v>
      </c>
      <c r="F109" s="38">
        <v>2.7490000000000001</v>
      </c>
      <c r="G109" s="38">
        <f t="shared" si="6"/>
        <v>-1.0082823190493346E-2</v>
      </c>
      <c r="H109" s="7">
        <v>2.9359999999999999</v>
      </c>
      <c r="I109" s="15">
        <f t="shared" si="7"/>
        <v>0</v>
      </c>
      <c r="J109" s="10">
        <v>2.766</v>
      </c>
      <c r="K109" s="12">
        <f t="shared" si="8"/>
        <v>-7.5349838536059952E-3</v>
      </c>
      <c r="L109" s="10">
        <v>2.9279999999999999</v>
      </c>
      <c r="M109" s="12">
        <f t="shared" si="9"/>
        <v>3.4164673727362141E-4</v>
      </c>
    </row>
    <row r="110" spans="1:13" x14ac:dyDescent="0.25">
      <c r="A110" s="5">
        <v>41299</v>
      </c>
      <c r="B110" s="4">
        <v>2.88</v>
      </c>
      <c r="C110" s="12">
        <f t="shared" si="5"/>
        <v>3.9711191335740026E-2</v>
      </c>
      <c r="E110" s="37">
        <v>41299</v>
      </c>
      <c r="F110" s="38">
        <v>2.851</v>
      </c>
      <c r="G110" s="38">
        <f t="shared" si="6"/>
        <v>3.7104401600581982E-2</v>
      </c>
      <c r="H110" s="7">
        <v>3.0230000000000001</v>
      </c>
      <c r="I110" s="15">
        <f t="shared" si="7"/>
        <v>2.9632152588555925E-2</v>
      </c>
      <c r="J110" s="10">
        <v>2.8639999999999999</v>
      </c>
      <c r="K110" s="12">
        <f t="shared" si="8"/>
        <v>3.5430224150397635E-2</v>
      </c>
      <c r="L110" s="10">
        <v>3.0089999999999999</v>
      </c>
      <c r="M110" s="12">
        <f t="shared" si="9"/>
        <v>2.7663934426229494E-2</v>
      </c>
    </row>
    <row r="111" spans="1:13" x14ac:dyDescent="0.25">
      <c r="A111" s="5">
        <v>41306</v>
      </c>
      <c r="B111" s="4">
        <v>3.032</v>
      </c>
      <c r="C111" s="12">
        <f t="shared" si="5"/>
        <v>5.2777777777777826E-2</v>
      </c>
      <c r="E111" s="37">
        <v>41306</v>
      </c>
      <c r="F111" s="38">
        <v>3.0049999999999999</v>
      </c>
      <c r="G111" s="38">
        <f t="shared" si="6"/>
        <v>5.4016134689582572E-2</v>
      </c>
      <c r="H111" s="7">
        <v>3.1469999999999998</v>
      </c>
      <c r="I111" s="15">
        <f t="shared" si="7"/>
        <v>4.1018855441614176E-2</v>
      </c>
      <c r="J111" s="10">
        <v>3.0379999999999998</v>
      </c>
      <c r="K111" s="12">
        <f t="shared" si="8"/>
        <v>6.0754189944134056E-2</v>
      </c>
      <c r="L111" s="10">
        <v>3.1110000000000002</v>
      </c>
      <c r="M111" s="12">
        <f t="shared" si="9"/>
        <v>3.3898305084745867E-2</v>
      </c>
    </row>
    <row r="112" spans="1:13" x14ac:dyDescent="0.25">
      <c r="A112" s="5">
        <v>41313</v>
      </c>
      <c r="B112" s="4">
        <v>3.0569999999999999</v>
      </c>
      <c r="C112" s="12">
        <f t="shared" si="5"/>
        <v>8.2453825857519494E-3</v>
      </c>
      <c r="E112" s="37">
        <v>41313</v>
      </c>
      <c r="F112" s="38">
        <v>3.0289999999999999</v>
      </c>
      <c r="G112" s="38">
        <f t="shared" si="6"/>
        <v>7.9866888519134847E-3</v>
      </c>
      <c r="H112" s="7">
        <v>3.1789999999999998</v>
      </c>
      <c r="I112" s="15">
        <f t="shared" si="7"/>
        <v>1.0168414362885297E-2</v>
      </c>
      <c r="J112" s="10">
        <v>3.2109999999999999</v>
      </c>
      <c r="K112" s="12">
        <f t="shared" si="8"/>
        <v>5.6945358788676778E-2</v>
      </c>
      <c r="L112" s="10">
        <v>3.1259999999999999</v>
      </c>
      <c r="M112" s="12">
        <f t="shared" si="9"/>
        <v>4.8216007714560203E-3</v>
      </c>
    </row>
    <row r="113" spans="1:13" x14ac:dyDescent="0.25">
      <c r="A113" s="5">
        <v>41320</v>
      </c>
      <c r="B113" s="4">
        <v>3.0880000000000001</v>
      </c>
      <c r="C113" s="12">
        <f t="shared" si="5"/>
        <v>1.0140660778541099E-2</v>
      </c>
      <c r="E113" s="37">
        <v>41320</v>
      </c>
      <c r="F113" s="38">
        <v>3.0720000000000001</v>
      </c>
      <c r="G113" s="38">
        <f t="shared" si="6"/>
        <v>1.4196104324859739E-2</v>
      </c>
      <c r="H113" s="7">
        <v>3.2480000000000002</v>
      </c>
      <c r="I113" s="15">
        <f t="shared" si="7"/>
        <v>2.1704938659956086E-2</v>
      </c>
      <c r="J113" s="10">
        <v>3.278</v>
      </c>
      <c r="K113" s="12">
        <f t="shared" si="8"/>
        <v>2.0865773902211202E-2</v>
      </c>
      <c r="L113" s="10">
        <v>3.194</v>
      </c>
      <c r="M113" s="12">
        <f t="shared" si="9"/>
        <v>2.1753039027511217E-2</v>
      </c>
    </row>
    <row r="114" spans="1:13" x14ac:dyDescent="0.25">
      <c r="A114" s="5">
        <v>41327</v>
      </c>
      <c r="B114" s="4">
        <v>3.0920000000000001</v>
      </c>
      <c r="C114" s="12">
        <f t="shared" si="5"/>
        <v>1.295336787564768E-3</v>
      </c>
      <c r="E114" s="37">
        <v>41327</v>
      </c>
      <c r="F114" s="38">
        <v>3.0739999999999998</v>
      </c>
      <c r="G114" s="38">
        <f t="shared" si="6"/>
        <v>6.5104166666659496E-4</v>
      </c>
      <c r="H114" s="7">
        <v>3.2330000000000001</v>
      </c>
      <c r="I114" s="15">
        <f t="shared" si="7"/>
        <v>-4.6182266009852594E-3</v>
      </c>
      <c r="J114" s="10">
        <v>3.2679999999999998</v>
      </c>
      <c r="K114" s="12">
        <f t="shared" si="8"/>
        <v>-3.0506406345333224E-3</v>
      </c>
      <c r="L114" s="10">
        <v>3.177</v>
      </c>
      <c r="M114" s="12">
        <f t="shared" si="9"/>
        <v>-5.3224796493424875E-3</v>
      </c>
    </row>
    <row r="115" spans="1:13" x14ac:dyDescent="0.25">
      <c r="A115" s="5">
        <v>41334</v>
      </c>
      <c r="B115" s="4">
        <v>2.992</v>
      </c>
      <c r="C115" s="12">
        <f t="shared" si="5"/>
        <v>-3.2341526520051775E-2</v>
      </c>
      <c r="E115" s="37">
        <v>41334</v>
      </c>
      <c r="F115" s="38">
        <v>2.988</v>
      </c>
      <c r="G115" s="38">
        <f t="shared" si="6"/>
        <v>-2.7976577748861371E-2</v>
      </c>
      <c r="H115" s="7">
        <v>3.1139999999999999</v>
      </c>
      <c r="I115" s="15">
        <f t="shared" si="7"/>
        <v>-3.6807918342097193E-2</v>
      </c>
      <c r="J115" s="10">
        <v>3.1539999999999999</v>
      </c>
      <c r="K115" s="12">
        <f t="shared" si="8"/>
        <v>-3.4883720930232523E-2</v>
      </c>
      <c r="L115" s="10">
        <v>3.0569999999999999</v>
      </c>
      <c r="M115" s="12">
        <f t="shared" si="9"/>
        <v>-3.7771482530689363E-2</v>
      </c>
    </row>
    <row r="116" spans="1:13" x14ac:dyDescent="0.25">
      <c r="A116" s="5">
        <v>41341</v>
      </c>
      <c r="B116" s="4">
        <v>2.9129999999999998</v>
      </c>
      <c r="C116" s="12">
        <f t="shared" si="5"/>
        <v>-2.6403743315508082E-2</v>
      </c>
      <c r="E116" s="37">
        <v>41341</v>
      </c>
      <c r="F116" s="38">
        <v>3.14</v>
      </c>
      <c r="G116" s="38">
        <f t="shared" si="6"/>
        <v>5.0870147255689467E-2</v>
      </c>
      <c r="H116" s="7">
        <v>3.0619999999999998</v>
      </c>
      <c r="I116" s="15">
        <f t="shared" si="7"/>
        <v>-1.6698779704560067E-2</v>
      </c>
      <c r="J116" s="10">
        <v>3.117</v>
      </c>
      <c r="K116" s="12">
        <f t="shared" si="8"/>
        <v>-1.1731135066582094E-2</v>
      </c>
      <c r="L116" s="10">
        <v>3.004</v>
      </c>
      <c r="M116" s="12">
        <f t="shared" si="9"/>
        <v>-1.7337258750408879E-2</v>
      </c>
    </row>
    <row r="117" spans="1:13" x14ac:dyDescent="0.25">
      <c r="A117" s="5">
        <v>41348</v>
      </c>
      <c r="B117" s="4">
        <v>2.9089999999999998</v>
      </c>
      <c r="C117" s="12">
        <f t="shared" si="5"/>
        <v>-1.3731548232063179E-3</v>
      </c>
      <c r="E117" s="37">
        <v>41348</v>
      </c>
      <c r="F117" s="38">
        <v>3.15</v>
      </c>
      <c r="G117" s="38">
        <f t="shared" si="6"/>
        <v>3.1847133757961104E-3</v>
      </c>
      <c r="H117" s="7">
        <v>3.0960000000000001</v>
      </c>
      <c r="I117" s="15">
        <f t="shared" si="7"/>
        <v>1.1103853690398515E-2</v>
      </c>
      <c r="J117" s="10">
        <v>3.1389999999999998</v>
      </c>
      <c r="K117" s="12">
        <f t="shared" si="8"/>
        <v>7.0580686557586772E-3</v>
      </c>
      <c r="L117" s="10">
        <v>3.0489999999999999</v>
      </c>
      <c r="M117" s="12">
        <f t="shared" si="9"/>
        <v>1.4980026631158432E-2</v>
      </c>
    </row>
    <row r="118" spans="1:13" x14ac:dyDescent="0.25">
      <c r="A118" s="5">
        <v>41355</v>
      </c>
      <c r="B118" s="4">
        <v>2.875</v>
      </c>
      <c r="C118" s="12">
        <f t="shared" si="5"/>
        <v>-1.1687865245788865E-2</v>
      </c>
      <c r="E118" s="37">
        <v>41355</v>
      </c>
      <c r="F118" s="38">
        <v>3.085</v>
      </c>
      <c r="G118" s="38">
        <f t="shared" si="6"/>
        <v>-2.0634920634920617E-2</v>
      </c>
      <c r="H118" s="7">
        <v>3.036</v>
      </c>
      <c r="I118" s="15">
        <f t="shared" si="7"/>
        <v>-1.9379844961240327E-2</v>
      </c>
      <c r="J118" s="10">
        <v>3.0739999999999998</v>
      </c>
      <c r="K118" s="12">
        <f t="shared" si="8"/>
        <v>-2.0707231602421137E-2</v>
      </c>
      <c r="L118" s="10">
        <v>2.992</v>
      </c>
      <c r="M118" s="12">
        <f t="shared" si="9"/>
        <v>-1.8694653984913066E-2</v>
      </c>
    </row>
    <row r="119" spans="1:13" x14ac:dyDescent="0.25">
      <c r="A119" s="5">
        <v>41362</v>
      </c>
      <c r="B119" s="4">
        <v>2.911</v>
      </c>
      <c r="C119" s="12">
        <f t="shared" si="5"/>
        <v>1.2521739130434794E-2</v>
      </c>
      <c r="E119" s="37">
        <v>41362</v>
      </c>
      <c r="F119" s="38">
        <v>3.0990000000000002</v>
      </c>
      <c r="G119" s="38">
        <f t="shared" si="6"/>
        <v>4.5380875202593951E-3</v>
      </c>
      <c r="H119" s="7">
        <v>3.0619999999999998</v>
      </c>
      <c r="I119" s="15">
        <f t="shared" si="7"/>
        <v>8.5638998682476281E-3</v>
      </c>
      <c r="J119" s="10">
        <v>3.0950000000000002</v>
      </c>
      <c r="K119" s="12">
        <f t="shared" si="8"/>
        <v>6.831489915419763E-3</v>
      </c>
      <c r="L119" s="10">
        <v>3.0219999999999998</v>
      </c>
      <c r="M119" s="12">
        <f t="shared" si="9"/>
        <v>1.0026737967914373E-2</v>
      </c>
    </row>
    <row r="120" spans="1:13" x14ac:dyDescent="0.25">
      <c r="A120" s="5">
        <v>41369</v>
      </c>
      <c r="B120" s="4">
        <v>2.758</v>
      </c>
      <c r="C120" s="12">
        <f t="shared" si="5"/>
        <v>-5.2559257986946072E-2</v>
      </c>
      <c r="E120" s="37">
        <v>41369</v>
      </c>
      <c r="F120" s="38">
        <v>2.964</v>
      </c>
      <c r="G120" s="38">
        <f t="shared" si="6"/>
        <v>-4.3562439496611885E-2</v>
      </c>
      <c r="H120" s="7">
        <v>2.9319999999999999</v>
      </c>
      <c r="I120" s="15">
        <f t="shared" si="7"/>
        <v>-4.2455911169170447E-2</v>
      </c>
      <c r="J120" s="10">
        <v>2.9550000000000001</v>
      </c>
      <c r="K120" s="12">
        <f t="shared" si="8"/>
        <v>-4.5234248788368375E-2</v>
      </c>
      <c r="L120" s="10">
        <v>2.9</v>
      </c>
      <c r="M120" s="12">
        <f t="shared" si="9"/>
        <v>-4.0370615486432788E-2</v>
      </c>
    </row>
    <row r="121" spans="1:13" x14ac:dyDescent="0.25">
      <c r="A121" s="5">
        <v>41376</v>
      </c>
      <c r="B121" s="4">
        <v>2.677</v>
      </c>
      <c r="C121" s="12">
        <f t="shared" si="5"/>
        <v>-2.9369108049311081E-2</v>
      </c>
      <c r="E121" s="37">
        <v>41376</v>
      </c>
      <c r="F121" s="38">
        <v>2.87</v>
      </c>
      <c r="G121" s="38">
        <f t="shared" si="6"/>
        <v>-3.1713900134952719E-2</v>
      </c>
      <c r="H121" s="7">
        <v>2.86</v>
      </c>
      <c r="I121" s="15">
        <f t="shared" si="7"/>
        <v>-2.455661664392908E-2</v>
      </c>
      <c r="J121" s="10">
        <v>2.8740000000000001</v>
      </c>
      <c r="K121" s="12">
        <f t="shared" si="8"/>
        <v>-2.7411167512690342E-2</v>
      </c>
      <c r="L121" s="10">
        <v>2.8319999999999999</v>
      </c>
      <c r="M121" s="12">
        <f t="shared" si="9"/>
        <v>-2.3448275862068987E-2</v>
      </c>
    </row>
    <row r="122" spans="1:13" x14ac:dyDescent="0.25">
      <c r="A122" s="5">
        <v>41383</v>
      </c>
      <c r="B122" s="4">
        <v>2.6909999999999998</v>
      </c>
      <c r="C122" s="12">
        <f t="shared" si="5"/>
        <v>5.2297347777361938E-3</v>
      </c>
      <c r="E122" s="37">
        <v>41383</v>
      </c>
      <c r="F122" s="38">
        <v>2.7589999999999999</v>
      </c>
      <c r="G122" s="38">
        <f t="shared" si="6"/>
        <v>-3.8675958188153385E-2</v>
      </c>
      <c r="H122" s="7">
        <v>2.7309999999999999</v>
      </c>
      <c r="I122" s="15">
        <f t="shared" si="7"/>
        <v>-4.5104895104895106E-2</v>
      </c>
      <c r="J122" s="10">
        <v>2.7530000000000001</v>
      </c>
      <c r="K122" s="12">
        <f t="shared" si="8"/>
        <v>-4.2101600556715378E-2</v>
      </c>
      <c r="L122" s="10">
        <v>2.7010000000000001</v>
      </c>
      <c r="M122" s="12">
        <f t="shared" si="9"/>
        <v>-4.6257062146892583E-2</v>
      </c>
    </row>
    <row r="123" spans="1:13" x14ac:dyDescent="0.25">
      <c r="A123" s="5">
        <v>41390</v>
      </c>
      <c r="B123" s="4">
        <v>2.6909999999999998</v>
      </c>
      <c r="C123" s="12">
        <f t="shared" si="5"/>
        <v>0</v>
      </c>
      <c r="E123" s="37">
        <v>41390</v>
      </c>
      <c r="F123" s="38">
        <v>2.7770000000000001</v>
      </c>
      <c r="G123" s="38">
        <f t="shared" si="6"/>
        <v>6.5241029358464077E-3</v>
      </c>
      <c r="H123" s="7">
        <v>2.7559999999999998</v>
      </c>
      <c r="I123" s="15">
        <f t="shared" si="7"/>
        <v>9.1541559868179839E-3</v>
      </c>
      <c r="J123" s="10">
        <v>2.774</v>
      </c>
      <c r="K123" s="12">
        <f t="shared" si="8"/>
        <v>7.6280421358517645E-3</v>
      </c>
      <c r="L123" s="10">
        <v>2.73</v>
      </c>
      <c r="M123" s="12">
        <f t="shared" si="9"/>
        <v>1.0736764161421664E-2</v>
      </c>
    </row>
    <row r="124" spans="1:13" x14ac:dyDescent="0.25">
      <c r="A124" s="5">
        <v>41397</v>
      </c>
      <c r="B124" s="4">
        <v>2.6989999999999998</v>
      </c>
      <c r="C124" s="12">
        <f t="shared" si="5"/>
        <v>2.9728725380899321E-3</v>
      </c>
      <c r="E124" s="37">
        <v>41397</v>
      </c>
      <c r="F124" s="38">
        <v>2.7909999999999999</v>
      </c>
      <c r="G124" s="38">
        <f t="shared" si="6"/>
        <v>5.0414115952465933E-3</v>
      </c>
      <c r="H124" s="7">
        <v>2.7589999999999999</v>
      </c>
      <c r="I124" s="15">
        <f t="shared" si="7"/>
        <v>1.0885341074020733E-3</v>
      </c>
      <c r="J124" s="10">
        <v>2.7810000000000001</v>
      </c>
      <c r="K124" s="12">
        <f t="shared" si="8"/>
        <v>2.5234318673396242E-3</v>
      </c>
      <c r="L124" s="10">
        <v>2.73</v>
      </c>
      <c r="M124" s="12">
        <f t="shared" si="9"/>
        <v>0</v>
      </c>
    </row>
    <row r="125" spans="1:13" x14ac:dyDescent="0.25">
      <c r="A125" s="5">
        <v>41404</v>
      </c>
      <c r="B125" s="4">
        <v>2.7669999999999999</v>
      </c>
      <c r="C125" s="12">
        <f t="shared" si="5"/>
        <v>2.5194516487588019E-2</v>
      </c>
      <c r="E125" s="37">
        <v>41404</v>
      </c>
      <c r="F125" s="38">
        <v>2.86</v>
      </c>
      <c r="G125" s="38">
        <f t="shared" si="6"/>
        <v>2.472232174847723E-2</v>
      </c>
      <c r="H125" s="7">
        <v>2.8210000000000002</v>
      </c>
      <c r="I125" s="15">
        <f t="shared" si="7"/>
        <v>2.2471910112359651E-2</v>
      </c>
      <c r="J125" s="10">
        <v>2.8450000000000002</v>
      </c>
      <c r="K125" s="12">
        <f t="shared" si="8"/>
        <v>2.3013304566702645E-2</v>
      </c>
      <c r="L125" s="10">
        <v>2.7890000000000001</v>
      </c>
      <c r="M125" s="12">
        <f t="shared" si="9"/>
        <v>2.161172161172167E-2</v>
      </c>
    </row>
    <row r="126" spans="1:13" x14ac:dyDescent="0.25">
      <c r="A126" s="5">
        <v>41411</v>
      </c>
      <c r="B126" s="4">
        <v>2.7770000000000001</v>
      </c>
      <c r="C126" s="12">
        <f t="shared" si="5"/>
        <v>3.6140224069390065E-3</v>
      </c>
      <c r="E126" s="37">
        <v>41411</v>
      </c>
      <c r="F126" s="38">
        <v>2.863</v>
      </c>
      <c r="G126" s="38">
        <f t="shared" si="6"/>
        <v>1.0489510489510888E-3</v>
      </c>
      <c r="H126" s="7">
        <v>2.819</v>
      </c>
      <c r="I126" s="15">
        <f t="shared" si="7"/>
        <v>-7.0896845090401403E-4</v>
      </c>
      <c r="J126" s="10">
        <v>2.8460000000000001</v>
      </c>
      <c r="K126" s="12">
        <f t="shared" si="8"/>
        <v>3.5149384885760625E-4</v>
      </c>
      <c r="L126" s="10">
        <v>2.786</v>
      </c>
      <c r="M126" s="12">
        <f t="shared" si="9"/>
        <v>-1.0756543564001842E-3</v>
      </c>
    </row>
    <row r="127" spans="1:13" x14ac:dyDescent="0.25">
      <c r="A127" s="5">
        <v>41418</v>
      </c>
      <c r="B127" s="4">
        <v>2.7469999999999999</v>
      </c>
      <c r="C127" s="12">
        <f t="shared" si="5"/>
        <v>-1.0803024846957237E-2</v>
      </c>
      <c r="E127" s="37">
        <v>41418</v>
      </c>
      <c r="F127" s="38">
        <v>2.8479999999999999</v>
      </c>
      <c r="G127" s="38">
        <f t="shared" si="6"/>
        <v>-5.2392595179881676E-3</v>
      </c>
      <c r="H127" s="7">
        <v>2.8180000000000001</v>
      </c>
      <c r="I127" s="15">
        <f t="shared" si="7"/>
        <v>-3.5473572188715499E-4</v>
      </c>
      <c r="J127" s="10">
        <v>2.8380000000000001</v>
      </c>
      <c r="K127" s="12">
        <f t="shared" si="8"/>
        <v>-2.8109627547435023E-3</v>
      </c>
      <c r="L127" s="10">
        <v>2.7909999999999999</v>
      </c>
      <c r="M127" s="12">
        <f t="shared" si="9"/>
        <v>1.7946877243359273E-3</v>
      </c>
    </row>
    <row r="128" spans="1:13" x14ac:dyDescent="0.25">
      <c r="A128" s="5">
        <v>41425</v>
      </c>
      <c r="B128" s="4">
        <v>2.7069999999999999</v>
      </c>
      <c r="C128" s="12">
        <f t="shared" si="5"/>
        <v>-1.4561339643247193E-2</v>
      </c>
      <c r="E128" s="37">
        <v>41425</v>
      </c>
      <c r="F128" s="38">
        <v>2.8119999999999998</v>
      </c>
      <c r="G128" s="38">
        <f t="shared" si="6"/>
        <v>-1.2640449438202259E-2</v>
      </c>
      <c r="H128" s="7">
        <v>2.7839999999999998</v>
      </c>
      <c r="I128" s="15">
        <f t="shared" si="7"/>
        <v>-1.2065294535131388E-2</v>
      </c>
      <c r="J128" s="10">
        <v>2.8010000000000002</v>
      </c>
      <c r="K128" s="12">
        <f t="shared" si="8"/>
        <v>-1.3037350246652544E-2</v>
      </c>
      <c r="L128" s="10">
        <v>2.762</v>
      </c>
      <c r="M128" s="12">
        <f t="shared" si="9"/>
        <v>-1.0390541024722292E-2</v>
      </c>
    </row>
    <row r="129" spans="1:13" x14ac:dyDescent="0.25">
      <c r="A129" s="5">
        <v>41432</v>
      </c>
      <c r="B129" s="4">
        <v>2.7519999999999998</v>
      </c>
      <c r="C129" s="12">
        <f t="shared" si="5"/>
        <v>1.6623568526043565E-2</v>
      </c>
      <c r="E129" s="37">
        <v>41432</v>
      </c>
      <c r="F129" s="38">
        <v>2.83</v>
      </c>
      <c r="G129" s="38">
        <f t="shared" si="6"/>
        <v>6.4011379800854333E-3</v>
      </c>
      <c r="H129" s="7">
        <v>2.7850000000000001</v>
      </c>
      <c r="I129" s="15">
        <f t="shared" si="7"/>
        <v>3.5919540229897054E-4</v>
      </c>
      <c r="J129" s="10">
        <v>2.8109999999999999</v>
      </c>
      <c r="K129" s="12">
        <f t="shared" si="8"/>
        <v>3.5701535166011377E-3</v>
      </c>
      <c r="L129" s="10">
        <v>2.6480000000000001</v>
      </c>
      <c r="M129" s="12">
        <f t="shared" si="9"/>
        <v>-4.1274438812454697E-2</v>
      </c>
    </row>
    <row r="130" spans="1:13" x14ac:dyDescent="0.25">
      <c r="A130" s="5">
        <v>41439</v>
      </c>
      <c r="B130" s="4">
        <v>2.786</v>
      </c>
      <c r="C130" s="12">
        <f t="shared" si="5"/>
        <v>1.2354651162790791E-2</v>
      </c>
      <c r="E130" s="37">
        <v>41439</v>
      </c>
      <c r="F130" s="38">
        <v>2.8479999999999999</v>
      </c>
      <c r="G130" s="38">
        <f t="shared" si="6"/>
        <v>6.3604240282684786E-3</v>
      </c>
      <c r="H130" s="7">
        <v>2.8170000000000002</v>
      </c>
      <c r="I130" s="15">
        <f t="shared" si="7"/>
        <v>1.1490125673249561E-2</v>
      </c>
      <c r="J130" s="10">
        <v>2.8359999999999999</v>
      </c>
      <c r="K130" s="12">
        <f t="shared" si="8"/>
        <v>8.8936321593738564E-3</v>
      </c>
      <c r="L130" s="10">
        <v>2.6840000000000002</v>
      </c>
      <c r="M130" s="12">
        <f t="shared" si="9"/>
        <v>1.3595166163142006E-2</v>
      </c>
    </row>
    <row r="131" spans="1:13" x14ac:dyDescent="0.25">
      <c r="A131" s="5">
        <v>41446</v>
      </c>
      <c r="B131" s="4">
        <v>2.7690000000000001</v>
      </c>
      <c r="C131" s="12">
        <f t="shared" si="5"/>
        <v>-6.1019382627422484E-3</v>
      </c>
      <c r="E131" s="37">
        <v>41446</v>
      </c>
      <c r="F131" s="38">
        <v>2.835</v>
      </c>
      <c r="G131" s="38">
        <f t="shared" si="6"/>
        <v>-4.5646067415729989E-3</v>
      </c>
      <c r="H131" s="7">
        <v>2.8069999999999999</v>
      </c>
      <c r="I131" s="15">
        <f t="shared" si="7"/>
        <v>-3.5498757543486795E-3</v>
      </c>
      <c r="J131" s="10">
        <v>2.8250000000000002</v>
      </c>
      <c r="K131" s="12">
        <f t="shared" si="8"/>
        <v>-3.8787023977431868E-3</v>
      </c>
      <c r="L131" s="10">
        <v>2.677</v>
      </c>
      <c r="M131" s="12">
        <f t="shared" si="9"/>
        <v>-2.6080476900149467E-3</v>
      </c>
    </row>
    <row r="132" spans="1:13" x14ac:dyDescent="0.25">
      <c r="A132" s="5">
        <v>41453</v>
      </c>
      <c r="B132" s="4">
        <v>2.6549999999999998</v>
      </c>
      <c r="C132" s="12">
        <f t="shared" si="5"/>
        <v>-4.1170097508125794E-2</v>
      </c>
      <c r="E132" s="37">
        <v>41453</v>
      </c>
      <c r="F132" s="38">
        <v>2.74</v>
      </c>
      <c r="G132" s="38">
        <f t="shared" si="6"/>
        <v>-3.3509700176366758E-2</v>
      </c>
      <c r="H132" s="7">
        <v>2.706</v>
      </c>
      <c r="I132" s="15">
        <f t="shared" si="7"/>
        <v>-3.5981474884218018E-2</v>
      </c>
      <c r="J132" s="10">
        <v>2.7229999999999999</v>
      </c>
      <c r="K132" s="12">
        <f t="shared" si="8"/>
        <v>-3.6106194690265596E-2</v>
      </c>
      <c r="L132" s="10">
        <v>2.5880000000000001</v>
      </c>
      <c r="M132" s="12">
        <f t="shared" si="9"/>
        <v>-3.3246171087037715E-2</v>
      </c>
    </row>
    <row r="133" spans="1:13" x14ac:dyDescent="0.25">
      <c r="A133" s="5">
        <v>41460</v>
      </c>
      <c r="B133" s="4">
        <v>2.7469999999999999</v>
      </c>
      <c r="C133" s="12">
        <f t="shared" ref="C133:C196" si="10">(B133-B132)/B132</f>
        <v>3.4651600753295701E-2</v>
      </c>
      <c r="E133" s="37">
        <v>41460</v>
      </c>
      <c r="F133" s="38">
        <v>2.8140000000000001</v>
      </c>
      <c r="G133" s="38">
        <f t="shared" ref="G133:G196" si="11">(F133-F132)/F132</f>
        <v>2.7007299270072935E-2</v>
      </c>
      <c r="H133" s="7">
        <v>2.67</v>
      </c>
      <c r="I133" s="15">
        <f t="shared" ref="I133:I196" si="12">(H133-H132)/H132</f>
        <v>-1.3303769401330389E-2</v>
      </c>
      <c r="J133" s="10">
        <v>2.7919999999999998</v>
      </c>
      <c r="K133" s="12">
        <f t="shared" ref="K133:K196" si="13">(J133-J132)/J132</f>
        <v>2.5339698861549746E-2</v>
      </c>
      <c r="L133" s="10">
        <v>2.641</v>
      </c>
      <c r="M133" s="12">
        <f t="shared" ref="M133:M196" si="14">(L133-L132)/L132</f>
        <v>2.0479134466769681E-2</v>
      </c>
    </row>
    <row r="134" spans="1:13" x14ac:dyDescent="0.25">
      <c r="A134" s="5">
        <v>41467</v>
      </c>
      <c r="B134" s="4">
        <v>2.9350000000000001</v>
      </c>
      <c r="C134" s="12">
        <f t="shared" si="10"/>
        <v>6.8438296323261802E-2</v>
      </c>
      <c r="E134" s="37">
        <v>41467</v>
      </c>
      <c r="F134" s="38">
        <v>2.9929999999999999</v>
      </c>
      <c r="G134" s="38">
        <f t="shared" si="11"/>
        <v>6.3610518834399374E-2</v>
      </c>
      <c r="H134" s="7">
        <v>2.79</v>
      </c>
      <c r="I134" s="15">
        <f t="shared" si="12"/>
        <v>4.4943820224719142E-2</v>
      </c>
      <c r="J134" s="10">
        <v>2.948</v>
      </c>
      <c r="K134" s="12">
        <f t="shared" si="13"/>
        <v>5.587392550143272E-2</v>
      </c>
      <c r="L134" s="10">
        <v>2.7440000000000002</v>
      </c>
      <c r="M134" s="12">
        <f t="shared" si="14"/>
        <v>3.9000378644452938E-2</v>
      </c>
    </row>
    <row r="135" spans="1:13" x14ac:dyDescent="0.25">
      <c r="A135" s="5">
        <v>41474</v>
      </c>
      <c r="B135" s="4">
        <v>3.0150000000000001</v>
      </c>
      <c r="C135" s="12">
        <f t="shared" si="10"/>
        <v>2.7257240204429326E-2</v>
      </c>
      <c r="E135" s="37">
        <v>41474</v>
      </c>
      <c r="F135" s="38">
        <v>3.1160000000000001</v>
      </c>
      <c r="G135" s="38">
        <f t="shared" si="11"/>
        <v>4.1095890410958978E-2</v>
      </c>
      <c r="H135" s="7">
        <v>2.871</v>
      </c>
      <c r="I135" s="15">
        <f t="shared" si="12"/>
        <v>2.9032258064516113E-2</v>
      </c>
      <c r="J135" s="10">
        <v>3.0449999999999999</v>
      </c>
      <c r="K135" s="12">
        <f t="shared" si="13"/>
        <v>3.2903663500678415E-2</v>
      </c>
      <c r="L135" s="10">
        <v>2.8109999999999999</v>
      </c>
      <c r="M135" s="12">
        <f t="shared" si="14"/>
        <v>2.4416909620991151E-2</v>
      </c>
    </row>
    <row r="136" spans="1:13" x14ac:dyDescent="0.25">
      <c r="A136" s="5">
        <v>41481</v>
      </c>
      <c r="B136" s="4">
        <v>2.9350000000000001</v>
      </c>
      <c r="C136" s="12">
        <f t="shared" si="10"/>
        <v>-2.6533996683250436E-2</v>
      </c>
      <c r="E136" s="37">
        <v>41481</v>
      </c>
      <c r="F136" s="38">
        <v>3.0459999999999998</v>
      </c>
      <c r="G136" s="38">
        <f t="shared" si="11"/>
        <v>-2.2464698331193928E-2</v>
      </c>
      <c r="H136" s="7">
        <v>2.8570000000000002</v>
      </c>
      <c r="I136" s="15">
        <f t="shared" si="12"/>
        <v>-4.8763497039358379E-3</v>
      </c>
      <c r="J136" s="10">
        <v>3.012</v>
      </c>
      <c r="K136" s="12">
        <f t="shared" si="13"/>
        <v>-1.0837438423645294E-2</v>
      </c>
      <c r="L136" s="10">
        <v>2.8039999999999998</v>
      </c>
      <c r="M136" s="12">
        <f t="shared" si="14"/>
        <v>-2.4902170046247306E-3</v>
      </c>
    </row>
    <row r="137" spans="1:13" x14ac:dyDescent="0.25">
      <c r="A137" s="5">
        <v>41488</v>
      </c>
      <c r="B137" s="4">
        <v>2.9630000000000001</v>
      </c>
      <c r="C137" s="12">
        <f t="shared" si="10"/>
        <v>9.5400340715502633E-3</v>
      </c>
      <c r="E137" s="37">
        <v>41488</v>
      </c>
      <c r="F137" s="38">
        <v>3.02</v>
      </c>
      <c r="G137" s="38">
        <f t="shared" si="11"/>
        <v>-8.5357846355875906E-3</v>
      </c>
      <c r="H137" s="7">
        <v>2.8290000000000002</v>
      </c>
      <c r="I137" s="15">
        <f t="shared" si="12"/>
        <v>-9.8004900245012329E-3</v>
      </c>
      <c r="J137" s="10">
        <v>2.9380000000000002</v>
      </c>
      <c r="K137" s="12">
        <f t="shared" si="13"/>
        <v>-2.4568393094289456E-2</v>
      </c>
      <c r="L137" s="10">
        <v>2.7850000000000001</v>
      </c>
      <c r="M137" s="12">
        <f t="shared" si="14"/>
        <v>-6.7760342368044521E-3</v>
      </c>
    </row>
    <row r="138" spans="1:13" x14ac:dyDescent="0.25">
      <c r="A138" s="5">
        <v>41495</v>
      </c>
      <c r="B138" s="4">
        <v>2.8660000000000001</v>
      </c>
      <c r="C138" s="12">
        <f t="shared" si="10"/>
        <v>-3.2737090786365164E-2</v>
      </c>
      <c r="E138" s="37">
        <v>41495</v>
      </c>
      <c r="F138" s="38">
        <v>2.9009999999999998</v>
      </c>
      <c r="G138" s="38">
        <f t="shared" si="11"/>
        <v>-3.9403973509933847E-2</v>
      </c>
      <c r="H138" s="7">
        <v>2.74</v>
      </c>
      <c r="I138" s="15">
        <f t="shared" si="12"/>
        <v>-3.1459879816189452E-2</v>
      </c>
      <c r="J138" s="10">
        <v>2.7770000000000001</v>
      </c>
      <c r="K138" s="12">
        <f t="shared" si="13"/>
        <v>-5.4799183117767193E-2</v>
      </c>
      <c r="L138" s="10">
        <v>2.7120000000000002</v>
      </c>
      <c r="M138" s="12">
        <f t="shared" si="14"/>
        <v>-2.6211849192100522E-2</v>
      </c>
    </row>
    <row r="139" spans="1:13" x14ac:dyDescent="0.25">
      <c r="A139" s="5">
        <v>41502</v>
      </c>
      <c r="B139" s="4">
        <v>2.927</v>
      </c>
      <c r="C139" s="12">
        <f t="shared" si="10"/>
        <v>2.1284019539427754E-2</v>
      </c>
      <c r="E139" s="37">
        <v>41502</v>
      </c>
      <c r="F139" s="38">
        <v>2.956</v>
      </c>
      <c r="G139" s="38">
        <f t="shared" si="11"/>
        <v>1.8958979662185509E-2</v>
      </c>
      <c r="H139" s="7">
        <v>2.79</v>
      </c>
      <c r="I139" s="15">
        <f t="shared" si="12"/>
        <v>1.8248175182481684E-2</v>
      </c>
      <c r="J139" s="10">
        <v>2.831</v>
      </c>
      <c r="K139" s="12">
        <f t="shared" si="13"/>
        <v>1.9445444724522802E-2</v>
      </c>
      <c r="L139" s="10">
        <v>2.76</v>
      </c>
      <c r="M139" s="12">
        <f t="shared" si="14"/>
        <v>1.7699115044247638E-2</v>
      </c>
    </row>
    <row r="140" spans="1:13" x14ac:dyDescent="0.25">
      <c r="A140" s="5">
        <v>41509</v>
      </c>
      <c r="B140" s="4">
        <v>2.9470000000000001</v>
      </c>
      <c r="C140" s="12">
        <f t="shared" si="10"/>
        <v>6.8329347454731864E-3</v>
      </c>
      <c r="E140" s="37">
        <v>41509</v>
      </c>
      <c r="F140" s="38">
        <v>2.9540000000000002</v>
      </c>
      <c r="G140" s="38">
        <f t="shared" si="11"/>
        <v>-6.7658998646812573E-4</v>
      </c>
      <c r="H140" s="7">
        <v>2.7909999999999999</v>
      </c>
      <c r="I140" s="15">
        <f t="shared" si="12"/>
        <v>3.5842293906806089E-4</v>
      </c>
      <c r="J140" s="10">
        <v>2.8319999999999999</v>
      </c>
      <c r="K140" s="12">
        <f t="shared" si="13"/>
        <v>3.532320734722324E-4</v>
      </c>
      <c r="L140" s="10">
        <v>2.762</v>
      </c>
      <c r="M140" s="12">
        <f t="shared" si="14"/>
        <v>7.246376811595014E-4</v>
      </c>
    </row>
    <row r="141" spans="1:13" x14ac:dyDescent="0.25">
      <c r="A141" s="5">
        <v>41516</v>
      </c>
      <c r="B141" s="4">
        <v>2.9820000000000002</v>
      </c>
      <c r="C141" s="12">
        <f t="shared" si="10"/>
        <v>1.1876484560570119E-2</v>
      </c>
      <c r="E141" s="37">
        <v>41516</v>
      </c>
      <c r="F141" s="38">
        <v>3.0329999999999999</v>
      </c>
      <c r="G141" s="38">
        <f t="shared" si="11"/>
        <v>2.6743398781313384E-2</v>
      </c>
      <c r="H141" s="7">
        <v>2.8650000000000002</v>
      </c>
      <c r="I141" s="15">
        <f t="shared" si="12"/>
        <v>2.6513794338946718E-2</v>
      </c>
      <c r="J141" s="10">
        <v>2.9060000000000001</v>
      </c>
      <c r="K141" s="12">
        <f t="shared" si="13"/>
        <v>2.6129943502824961E-2</v>
      </c>
      <c r="L141" s="10">
        <v>2.8340000000000001</v>
      </c>
      <c r="M141" s="12">
        <f t="shared" si="14"/>
        <v>2.6068066618392491E-2</v>
      </c>
    </row>
    <row r="142" spans="1:13" x14ac:dyDescent="0.25">
      <c r="A142" s="5">
        <v>41523</v>
      </c>
      <c r="B142" s="4">
        <v>2.9329999999999998</v>
      </c>
      <c r="C142" s="12">
        <f t="shared" si="10"/>
        <v>-1.6431924882629234E-2</v>
      </c>
      <c r="E142" s="37">
        <v>41523</v>
      </c>
      <c r="F142" s="38">
        <v>2.855</v>
      </c>
      <c r="G142" s="38">
        <f t="shared" si="11"/>
        <v>-5.8687767886580922E-2</v>
      </c>
      <c r="H142" s="7">
        <v>2.8180000000000001</v>
      </c>
      <c r="I142" s="15">
        <f t="shared" si="12"/>
        <v>-1.6404886561954678E-2</v>
      </c>
      <c r="J142" s="10">
        <v>2.8359999999999999</v>
      </c>
      <c r="K142" s="12">
        <f t="shared" si="13"/>
        <v>-2.4088093599449512E-2</v>
      </c>
      <c r="L142" s="10">
        <v>2.8090000000000002</v>
      </c>
      <c r="M142" s="12">
        <f t="shared" si="14"/>
        <v>-8.8214537755821852E-3</v>
      </c>
    </row>
    <row r="143" spans="1:13" x14ac:dyDescent="0.25">
      <c r="A143" s="5">
        <v>41530</v>
      </c>
      <c r="B143" s="4">
        <v>2.8239999999999998</v>
      </c>
      <c r="C143" s="12">
        <f t="shared" si="10"/>
        <v>-3.7163314012956014E-2</v>
      </c>
      <c r="E143" s="37">
        <v>41530</v>
      </c>
      <c r="F143" s="38">
        <v>2.7570000000000001</v>
      </c>
      <c r="G143" s="38">
        <f t="shared" si="11"/>
        <v>-3.4325744308231126E-2</v>
      </c>
      <c r="H143" s="7">
        <v>2.7330000000000001</v>
      </c>
      <c r="I143" s="15">
        <f t="shared" si="12"/>
        <v>-3.0163236337828234E-2</v>
      </c>
      <c r="J143" s="10">
        <v>2.7469999999999999</v>
      </c>
      <c r="K143" s="12">
        <f t="shared" si="13"/>
        <v>-3.1382228490832151E-2</v>
      </c>
      <c r="L143" s="10">
        <v>2.726</v>
      </c>
      <c r="M143" s="12">
        <f t="shared" si="14"/>
        <v>-2.9547881808472832E-2</v>
      </c>
    </row>
    <row r="144" spans="1:13" x14ac:dyDescent="0.25">
      <c r="A144" s="5">
        <v>41537</v>
      </c>
      <c r="B144" s="4">
        <v>2.7690000000000001</v>
      </c>
      <c r="C144" s="12">
        <f t="shared" si="10"/>
        <v>-1.9475920679886585E-2</v>
      </c>
      <c r="E144" s="37">
        <v>41537</v>
      </c>
      <c r="F144" s="38">
        <v>2.7</v>
      </c>
      <c r="G144" s="38">
        <f t="shared" si="11"/>
        <v>-2.0674646354733383E-2</v>
      </c>
      <c r="H144" s="7">
        <v>2.6669999999999998</v>
      </c>
      <c r="I144" s="15">
        <f t="shared" si="12"/>
        <v>-2.4149286498353559E-2</v>
      </c>
      <c r="J144" s="10">
        <v>2.6859999999999999</v>
      </c>
      <c r="K144" s="12">
        <f t="shared" si="13"/>
        <v>-2.2206042955951927E-2</v>
      </c>
      <c r="L144" s="10">
        <v>2.661</v>
      </c>
      <c r="M144" s="12">
        <f t="shared" si="14"/>
        <v>-2.384446074834921E-2</v>
      </c>
    </row>
    <row r="145" spans="1:13" x14ac:dyDescent="0.25">
      <c r="A145" s="5">
        <v>41544</v>
      </c>
      <c r="B145" s="4">
        <v>2.7120000000000002</v>
      </c>
      <c r="C145" s="12">
        <f t="shared" si="10"/>
        <v>-2.0585048754062817E-2</v>
      </c>
      <c r="E145" s="37">
        <v>41544</v>
      </c>
      <c r="F145" s="38">
        <v>2.6669999999999998</v>
      </c>
      <c r="G145" s="38">
        <f t="shared" si="11"/>
        <v>-1.2222222222222356E-2</v>
      </c>
      <c r="H145" s="7">
        <v>2.6339999999999999</v>
      </c>
      <c r="I145" s="15">
        <f t="shared" si="12"/>
        <v>-1.2373453318335179E-2</v>
      </c>
      <c r="J145" s="10">
        <v>2.6539999999999999</v>
      </c>
      <c r="K145" s="12">
        <f t="shared" si="13"/>
        <v>-1.1913626209977672E-2</v>
      </c>
      <c r="L145" s="10">
        <v>2.6269999999999998</v>
      </c>
      <c r="M145" s="12">
        <f t="shared" si="14"/>
        <v>-1.2777151446824597E-2</v>
      </c>
    </row>
    <row r="146" spans="1:13" x14ac:dyDescent="0.25">
      <c r="A146" s="5">
        <v>41551</v>
      </c>
      <c r="B146" s="4">
        <v>2.67</v>
      </c>
      <c r="C146" s="12">
        <f t="shared" si="10"/>
        <v>-1.5486725663716909E-2</v>
      </c>
      <c r="E146" s="37">
        <v>41551</v>
      </c>
      <c r="F146" s="38">
        <v>2.6240000000000001</v>
      </c>
      <c r="G146" s="38">
        <f t="shared" si="11"/>
        <v>-1.6122984626921525E-2</v>
      </c>
      <c r="H146" s="7">
        <v>2.6040000000000001</v>
      </c>
      <c r="I146" s="15">
        <f t="shared" si="12"/>
        <v>-1.1389521640091042E-2</v>
      </c>
      <c r="J146" s="10">
        <v>2.6110000000000002</v>
      </c>
      <c r="K146" s="12">
        <f t="shared" si="13"/>
        <v>-1.6201959306706749E-2</v>
      </c>
      <c r="L146" s="10">
        <v>2.609</v>
      </c>
      <c r="M146" s="12">
        <f t="shared" si="14"/>
        <v>-6.8519223448800133E-3</v>
      </c>
    </row>
    <row r="147" spans="1:13" x14ac:dyDescent="0.25">
      <c r="A147" s="5">
        <v>41558</v>
      </c>
      <c r="B147" s="4">
        <v>2.706</v>
      </c>
      <c r="C147" s="12">
        <f t="shared" si="10"/>
        <v>1.3483146067415743E-2</v>
      </c>
      <c r="E147" s="37">
        <v>41558</v>
      </c>
      <c r="F147" s="38">
        <v>2.649</v>
      </c>
      <c r="G147" s="38">
        <f t="shared" si="11"/>
        <v>9.527439024390209E-3</v>
      </c>
      <c r="H147" s="7">
        <v>2.633</v>
      </c>
      <c r="I147" s="15">
        <f t="shared" si="12"/>
        <v>1.1136712749615942E-2</v>
      </c>
      <c r="J147" s="10">
        <v>2.637</v>
      </c>
      <c r="K147" s="12">
        <f t="shared" si="13"/>
        <v>9.9578705476828025E-3</v>
      </c>
      <c r="L147" s="10">
        <v>2.641</v>
      </c>
      <c r="M147" s="12">
        <f t="shared" si="14"/>
        <v>1.2265235722499053E-2</v>
      </c>
    </row>
    <row r="148" spans="1:13" x14ac:dyDescent="0.25">
      <c r="A148" s="5">
        <v>41565</v>
      </c>
      <c r="B148" s="4">
        <v>2.722</v>
      </c>
      <c r="C148" s="12">
        <f t="shared" si="10"/>
        <v>5.9127864005912838E-3</v>
      </c>
      <c r="E148" s="37">
        <v>41565</v>
      </c>
      <c r="F148" s="38">
        <v>2.67</v>
      </c>
      <c r="G148" s="38">
        <f t="shared" si="11"/>
        <v>7.9275198187995118E-3</v>
      </c>
      <c r="H148" s="7">
        <v>2.65</v>
      </c>
      <c r="I148" s="15">
        <f t="shared" si="12"/>
        <v>6.4565134827192948E-3</v>
      </c>
      <c r="J148" s="10">
        <v>2.6539999999999999</v>
      </c>
      <c r="K148" s="12">
        <f t="shared" si="13"/>
        <v>6.446719757299926E-3</v>
      </c>
      <c r="L148" s="10">
        <v>2.6579999999999999</v>
      </c>
      <c r="M148" s="12">
        <f t="shared" si="14"/>
        <v>6.4369556985989793E-3</v>
      </c>
    </row>
    <row r="149" spans="1:13" x14ac:dyDescent="0.25">
      <c r="A149" s="5">
        <v>41572</v>
      </c>
      <c r="B149" s="4">
        <v>2.657</v>
      </c>
      <c r="C149" s="12">
        <f t="shared" si="10"/>
        <v>-2.3879500367376908E-2</v>
      </c>
      <c r="E149" s="37">
        <v>41572</v>
      </c>
      <c r="F149" s="38">
        <v>2.6</v>
      </c>
      <c r="G149" s="38">
        <f t="shared" si="11"/>
        <v>-2.6217228464419415E-2</v>
      </c>
      <c r="H149" s="7">
        <v>2.5880000000000001</v>
      </c>
      <c r="I149" s="15">
        <f t="shared" si="12"/>
        <v>-2.3396226415094278E-2</v>
      </c>
      <c r="J149" s="10">
        <v>2.5859999999999999</v>
      </c>
      <c r="K149" s="12">
        <f t="shared" si="13"/>
        <v>-2.5621703089675985E-2</v>
      </c>
      <c r="L149" s="10">
        <v>2.597</v>
      </c>
      <c r="M149" s="12">
        <f t="shared" si="14"/>
        <v>-2.294958615500374E-2</v>
      </c>
    </row>
    <row r="150" spans="1:13" x14ac:dyDescent="0.25">
      <c r="A150" s="5">
        <v>41579</v>
      </c>
      <c r="B150" s="4">
        <v>2.6539999999999999</v>
      </c>
      <c r="C150" s="12">
        <f t="shared" si="10"/>
        <v>-1.1290929619872463E-3</v>
      </c>
      <c r="E150" s="37">
        <v>41579</v>
      </c>
      <c r="F150" s="38">
        <v>2.6139999999999999</v>
      </c>
      <c r="G150" s="38">
        <f t="shared" si="11"/>
        <v>5.3846153846153037E-3</v>
      </c>
      <c r="H150" s="7">
        <v>2.597</v>
      </c>
      <c r="I150" s="15">
        <f t="shared" si="12"/>
        <v>3.4775888717155706E-3</v>
      </c>
      <c r="J150" s="10">
        <v>2.5910000000000002</v>
      </c>
      <c r="K150" s="12">
        <f t="shared" si="13"/>
        <v>1.9334880123744538E-3</v>
      </c>
      <c r="L150" s="10">
        <v>2.61</v>
      </c>
      <c r="M150" s="12">
        <f t="shared" si="14"/>
        <v>5.0057758952637274E-3</v>
      </c>
    </row>
    <row r="151" spans="1:13" x14ac:dyDescent="0.25">
      <c r="A151" s="5">
        <v>41586</v>
      </c>
      <c r="B151" s="4">
        <v>2.5880000000000001</v>
      </c>
      <c r="C151" s="12">
        <f t="shared" si="10"/>
        <v>-2.4868123587038372E-2</v>
      </c>
      <c r="E151" s="37">
        <v>41586</v>
      </c>
      <c r="F151" s="38">
        <v>2.5299999999999998</v>
      </c>
      <c r="G151" s="38">
        <f t="shared" si="11"/>
        <v>-3.213465952563125E-2</v>
      </c>
      <c r="H151" s="7">
        <v>2.5369999999999999</v>
      </c>
      <c r="I151" s="15">
        <f t="shared" si="12"/>
        <v>-2.3103581055063556E-2</v>
      </c>
      <c r="J151" s="10">
        <v>2.5249999999999999</v>
      </c>
      <c r="K151" s="12">
        <f t="shared" si="13"/>
        <v>-2.5472790428406129E-2</v>
      </c>
      <c r="L151" s="10">
        <v>2.5539999999999998</v>
      </c>
      <c r="M151" s="12">
        <f t="shared" si="14"/>
        <v>-2.1455938697318027E-2</v>
      </c>
    </row>
    <row r="152" spans="1:13" x14ac:dyDescent="0.25">
      <c r="A152" s="5">
        <v>41593</v>
      </c>
      <c r="B152" s="4">
        <v>2.6949999999999998</v>
      </c>
      <c r="C152" s="12">
        <f t="shared" si="10"/>
        <v>4.1344667697063277E-2</v>
      </c>
      <c r="E152" s="37">
        <v>41593</v>
      </c>
      <c r="F152" s="38">
        <v>2.63</v>
      </c>
      <c r="G152" s="38">
        <f t="shared" si="11"/>
        <v>3.9525691699604779E-2</v>
      </c>
      <c r="H152" s="7">
        <v>2.621</v>
      </c>
      <c r="I152" s="15">
        <f t="shared" si="12"/>
        <v>3.3109972408356357E-2</v>
      </c>
      <c r="J152" s="10">
        <v>2.6150000000000002</v>
      </c>
      <c r="K152" s="12">
        <f t="shared" si="13"/>
        <v>3.5643564356435765E-2</v>
      </c>
      <c r="L152" s="10">
        <v>2.6339999999999999</v>
      </c>
      <c r="M152" s="12">
        <f t="shared" si="14"/>
        <v>3.1323414252153514E-2</v>
      </c>
    </row>
    <row r="153" spans="1:13" x14ac:dyDescent="0.25">
      <c r="A153" s="5">
        <v>41600</v>
      </c>
      <c r="B153" s="4">
        <v>2.7250000000000001</v>
      </c>
      <c r="C153" s="12">
        <f t="shared" si="10"/>
        <v>1.1131725417439797E-2</v>
      </c>
      <c r="E153" s="37">
        <v>41600</v>
      </c>
      <c r="F153" s="38">
        <v>2.6859999999999999</v>
      </c>
      <c r="G153" s="38">
        <f t="shared" si="11"/>
        <v>2.129277566539926E-2</v>
      </c>
      <c r="H153" s="7">
        <v>2.6680000000000001</v>
      </c>
      <c r="I153" s="15">
        <f t="shared" si="12"/>
        <v>1.7932086989698646E-2</v>
      </c>
      <c r="J153" s="10">
        <v>2.6659999999999999</v>
      </c>
      <c r="K153" s="12">
        <f t="shared" si="13"/>
        <v>1.9502868068833539E-2</v>
      </c>
      <c r="L153" s="10">
        <v>2.681</v>
      </c>
      <c r="M153" s="12">
        <f t="shared" si="14"/>
        <v>1.7843583902809473E-2</v>
      </c>
    </row>
    <row r="154" spans="1:13" x14ac:dyDescent="0.25">
      <c r="A154" s="5">
        <v>41607</v>
      </c>
      <c r="B154" s="4">
        <v>2.7069999999999999</v>
      </c>
      <c r="C154" s="12">
        <f t="shared" si="10"/>
        <v>-6.6055045871560502E-3</v>
      </c>
      <c r="E154" s="37">
        <v>41607</v>
      </c>
      <c r="F154" s="38">
        <v>2.69</v>
      </c>
      <c r="G154" s="38">
        <f t="shared" si="11"/>
        <v>1.4892032762472091E-3</v>
      </c>
      <c r="H154" s="7">
        <v>2.6909999999999998</v>
      </c>
      <c r="I154" s="15">
        <f t="shared" si="12"/>
        <v>8.6206896551722957E-3</v>
      </c>
      <c r="J154" s="10">
        <v>2.6819999999999999</v>
      </c>
      <c r="K154" s="12">
        <f t="shared" si="13"/>
        <v>6.0015003750937788E-3</v>
      </c>
      <c r="L154" s="10">
        <v>2.7109999999999999</v>
      </c>
      <c r="M154" s="12">
        <f t="shared" si="14"/>
        <v>1.1189854531891013E-2</v>
      </c>
    </row>
    <row r="155" spans="1:13" x14ac:dyDescent="0.25">
      <c r="A155" s="5">
        <v>41614</v>
      </c>
      <c r="B155" s="4">
        <v>2.7269999999999999</v>
      </c>
      <c r="C155" s="12">
        <f t="shared" si="10"/>
        <v>7.3882526782416032E-3</v>
      </c>
      <c r="E155" s="37">
        <v>41614</v>
      </c>
      <c r="F155" s="38">
        <v>2.7120000000000002</v>
      </c>
      <c r="G155" s="38">
        <f t="shared" si="11"/>
        <v>8.1784386617101273E-3</v>
      </c>
      <c r="H155" s="7">
        <v>2.746</v>
      </c>
      <c r="I155" s="15">
        <f t="shared" si="12"/>
        <v>2.0438498699368327E-2</v>
      </c>
      <c r="J155" s="10">
        <v>2.7269999999999999</v>
      </c>
      <c r="K155" s="12">
        <f t="shared" si="13"/>
        <v>1.6778523489932858E-2</v>
      </c>
      <c r="L155" s="10">
        <v>2.923</v>
      </c>
      <c r="M155" s="12">
        <f t="shared" si="14"/>
        <v>7.8199926226484764E-2</v>
      </c>
    </row>
    <row r="156" spans="1:13" x14ac:dyDescent="0.25">
      <c r="A156" s="5">
        <v>41621</v>
      </c>
      <c r="B156" s="4">
        <v>2.665</v>
      </c>
      <c r="C156" s="12">
        <f t="shared" si="10"/>
        <v>-2.2735606894022674E-2</v>
      </c>
      <c r="E156" s="37">
        <v>41621</v>
      </c>
      <c r="F156" s="38">
        <v>2.657</v>
      </c>
      <c r="G156" s="38">
        <f t="shared" si="11"/>
        <v>-2.0280235988200647E-2</v>
      </c>
      <c r="H156" s="7">
        <v>2.6890000000000001</v>
      </c>
      <c r="I156" s="15">
        <f t="shared" si="12"/>
        <v>-2.0757465404224306E-2</v>
      </c>
      <c r="J156" s="10">
        <v>2.6709999999999998</v>
      </c>
      <c r="K156" s="12">
        <f t="shared" si="13"/>
        <v>-2.0535386872020556E-2</v>
      </c>
      <c r="L156" s="10">
        <v>2.871</v>
      </c>
      <c r="M156" s="12">
        <f t="shared" si="14"/>
        <v>-1.7789941840574766E-2</v>
      </c>
    </row>
    <row r="157" spans="1:13" x14ac:dyDescent="0.25">
      <c r="A157" s="5">
        <v>41628</v>
      </c>
      <c r="B157" s="4">
        <v>2.714</v>
      </c>
      <c r="C157" s="12">
        <f t="shared" si="10"/>
        <v>1.8386491557223238E-2</v>
      </c>
      <c r="E157" s="37">
        <v>41628</v>
      </c>
      <c r="F157" s="38">
        <v>2.702</v>
      </c>
      <c r="G157" s="38">
        <f t="shared" si="11"/>
        <v>1.6936394429808026E-2</v>
      </c>
      <c r="H157" s="7">
        <v>2.7250000000000001</v>
      </c>
      <c r="I157" s="15">
        <f t="shared" si="12"/>
        <v>1.338787653402753E-2</v>
      </c>
      <c r="J157" s="10">
        <v>2.7109999999999999</v>
      </c>
      <c r="K157" s="12">
        <f t="shared" si="13"/>
        <v>1.4975664545114203E-2</v>
      </c>
      <c r="L157" s="10">
        <v>2.8980000000000001</v>
      </c>
      <c r="M157" s="12">
        <f t="shared" si="14"/>
        <v>9.4043887147335897E-3</v>
      </c>
    </row>
    <row r="158" spans="1:13" x14ac:dyDescent="0.25">
      <c r="A158" s="5">
        <v>41635</v>
      </c>
      <c r="B158" s="4">
        <v>2.823</v>
      </c>
      <c r="C158" s="12">
        <f t="shared" si="10"/>
        <v>4.0162122328666172E-2</v>
      </c>
      <c r="E158" s="37">
        <v>41635</v>
      </c>
      <c r="F158" s="38">
        <v>2.8079999999999998</v>
      </c>
      <c r="G158" s="38">
        <f t="shared" si="11"/>
        <v>3.923019985196146E-2</v>
      </c>
      <c r="H158" s="7">
        <v>2.8109999999999999</v>
      </c>
      <c r="I158" s="15">
        <f t="shared" si="12"/>
        <v>3.1559633027522883E-2</v>
      </c>
      <c r="J158" s="10">
        <v>2.8050000000000002</v>
      </c>
      <c r="K158" s="12">
        <f t="shared" si="13"/>
        <v>3.4673552194762196E-2</v>
      </c>
      <c r="L158" s="10">
        <v>2.9729999999999999</v>
      </c>
      <c r="M158" s="12">
        <f t="shared" si="14"/>
        <v>2.5879917184264918E-2</v>
      </c>
    </row>
    <row r="159" spans="1:13" x14ac:dyDescent="0.25">
      <c r="A159" s="5">
        <v>41642</v>
      </c>
      <c r="B159" s="4">
        <v>2.7530000000000001</v>
      </c>
      <c r="C159" s="12">
        <f t="shared" si="10"/>
        <v>-2.4796315975912094E-2</v>
      </c>
      <c r="E159" s="37">
        <v>41642</v>
      </c>
      <c r="F159" s="38">
        <v>2.7290000000000001</v>
      </c>
      <c r="G159" s="38">
        <f t="shared" si="11"/>
        <v>-2.8133903133903043E-2</v>
      </c>
      <c r="H159" s="7">
        <v>2.8279999999999998</v>
      </c>
      <c r="I159" s="15">
        <f t="shared" si="12"/>
        <v>6.0476698683742097E-3</v>
      </c>
      <c r="J159" s="10">
        <v>2.7360000000000002</v>
      </c>
      <c r="K159" s="12">
        <f t="shared" si="13"/>
        <v>-2.4598930481283404E-2</v>
      </c>
      <c r="L159" s="10">
        <v>2.911</v>
      </c>
      <c r="M159" s="12">
        <f t="shared" si="14"/>
        <v>-2.0854355869492039E-2</v>
      </c>
    </row>
    <row r="160" spans="1:13" x14ac:dyDescent="0.25">
      <c r="A160" s="5">
        <v>41649</v>
      </c>
      <c r="B160" s="4">
        <v>2.6850000000000001</v>
      </c>
      <c r="C160" s="12">
        <f t="shared" si="10"/>
        <v>-2.4700326916091558E-2</v>
      </c>
      <c r="E160" s="37">
        <v>41649</v>
      </c>
      <c r="F160" s="38">
        <v>2.6589999999999998</v>
      </c>
      <c r="G160" s="38">
        <f t="shared" si="11"/>
        <v>-2.5650421399780243E-2</v>
      </c>
      <c r="H160" s="7">
        <v>2.847</v>
      </c>
      <c r="I160" s="15">
        <f t="shared" si="12"/>
        <v>6.718528995756764E-3</v>
      </c>
      <c r="J160" s="10">
        <v>2.67</v>
      </c>
      <c r="K160" s="12">
        <f t="shared" si="13"/>
        <v>-2.4122807017543959E-2</v>
      </c>
      <c r="L160" s="10">
        <v>2.8439999999999999</v>
      </c>
      <c r="M160" s="12">
        <f t="shared" si="14"/>
        <v>-2.3016145654414347E-2</v>
      </c>
    </row>
    <row r="161" spans="1:13" x14ac:dyDescent="0.25">
      <c r="A161" s="5">
        <v>41656</v>
      </c>
      <c r="B161" s="4">
        <v>2.6360000000000001</v>
      </c>
      <c r="C161" s="12">
        <f t="shared" si="10"/>
        <v>-1.8249534450651743E-2</v>
      </c>
      <c r="E161" s="37">
        <v>41656</v>
      </c>
      <c r="F161" s="38">
        <v>2.62</v>
      </c>
      <c r="G161" s="38">
        <f t="shared" si="11"/>
        <v>-1.4667168108311285E-2</v>
      </c>
      <c r="H161" s="7">
        <v>2.8140000000000001</v>
      </c>
      <c r="I161" s="15">
        <f t="shared" si="12"/>
        <v>-1.1591148577449919E-2</v>
      </c>
      <c r="J161" s="10">
        <v>2.633</v>
      </c>
      <c r="K161" s="12">
        <f t="shared" si="13"/>
        <v>-1.3857677902621693E-2</v>
      </c>
      <c r="L161" s="10">
        <v>2.8130000000000002</v>
      </c>
      <c r="M161" s="12">
        <f t="shared" si="14"/>
        <v>-1.0900140646975982E-2</v>
      </c>
    </row>
    <row r="162" spans="1:13" x14ac:dyDescent="0.25">
      <c r="A162" s="5">
        <v>41663</v>
      </c>
      <c r="B162" s="4">
        <v>2.6869999999999998</v>
      </c>
      <c r="C162" s="12">
        <f t="shared" si="10"/>
        <v>1.9347496206373181E-2</v>
      </c>
      <c r="E162" s="37">
        <v>41663</v>
      </c>
      <c r="F162" s="38">
        <v>2.6560000000000001</v>
      </c>
      <c r="G162" s="38">
        <f t="shared" si="11"/>
        <v>1.3740458015267187E-2</v>
      </c>
      <c r="H162" s="7">
        <v>2.8439999999999999</v>
      </c>
      <c r="I162" s="15">
        <f t="shared" si="12"/>
        <v>1.0660980810234472E-2</v>
      </c>
      <c r="J162" s="10">
        <v>2.665</v>
      </c>
      <c r="K162" s="12">
        <f t="shared" si="13"/>
        <v>1.2153437143942281E-2</v>
      </c>
      <c r="L162" s="10">
        <v>2.8420000000000001</v>
      </c>
      <c r="M162" s="12">
        <f t="shared" si="14"/>
        <v>1.0309278350515432E-2</v>
      </c>
    </row>
    <row r="163" spans="1:13" x14ac:dyDescent="0.25">
      <c r="A163" s="5">
        <v>41670</v>
      </c>
      <c r="B163" s="4">
        <v>2.6749999999999998</v>
      </c>
      <c r="C163" s="12">
        <f t="shared" si="10"/>
        <v>-4.4659471529586939E-3</v>
      </c>
      <c r="E163" s="37">
        <v>41670</v>
      </c>
      <c r="F163" s="38">
        <v>2.64</v>
      </c>
      <c r="G163" s="38">
        <f t="shared" si="11"/>
        <v>-6.0240963855421733E-3</v>
      </c>
      <c r="H163" s="7">
        <v>2.831</v>
      </c>
      <c r="I163" s="15">
        <f t="shared" si="12"/>
        <v>-4.5710267229254224E-3</v>
      </c>
      <c r="J163" s="10">
        <v>2.649</v>
      </c>
      <c r="K163" s="12">
        <f t="shared" si="13"/>
        <v>-6.003752345215765E-3</v>
      </c>
      <c r="L163" s="10">
        <v>2.83</v>
      </c>
      <c r="M163" s="12">
        <f t="shared" si="14"/>
        <v>-4.2223786066150635E-3</v>
      </c>
    </row>
    <row r="164" spans="1:13" x14ac:dyDescent="0.25">
      <c r="A164" s="5">
        <v>41677</v>
      </c>
      <c r="B164" s="4">
        <v>2.6909999999999998</v>
      </c>
      <c r="C164" s="12">
        <f t="shared" si="10"/>
        <v>5.9813084112149591E-3</v>
      </c>
      <c r="E164" s="37">
        <v>41677</v>
      </c>
      <c r="F164" s="38">
        <v>2.657</v>
      </c>
      <c r="G164" s="38">
        <f t="shared" si="11"/>
        <v>6.4393939393939028E-3</v>
      </c>
      <c r="H164" s="7">
        <v>2.839</v>
      </c>
      <c r="I164" s="15">
        <f t="shared" si="12"/>
        <v>2.8258565877781728E-3</v>
      </c>
      <c r="J164" s="10">
        <v>2.84</v>
      </c>
      <c r="K164" s="12">
        <f t="shared" si="13"/>
        <v>7.210268025670058E-2</v>
      </c>
      <c r="L164" s="10">
        <v>2.8180000000000001</v>
      </c>
      <c r="M164" s="12">
        <f t="shared" si="14"/>
        <v>-4.2402826855123714E-3</v>
      </c>
    </row>
    <row r="165" spans="1:13" x14ac:dyDescent="0.25">
      <c r="A165" s="5">
        <v>41684</v>
      </c>
      <c r="B165" s="4">
        <v>2.798</v>
      </c>
      <c r="C165" s="12">
        <f t="shared" si="10"/>
        <v>3.9762170196952884E-2</v>
      </c>
      <c r="E165" s="37">
        <v>41684</v>
      </c>
      <c r="F165" s="38">
        <v>2.7650000000000001</v>
      </c>
      <c r="G165" s="38">
        <f t="shared" si="11"/>
        <v>4.0647346631539363E-2</v>
      </c>
      <c r="H165" s="7">
        <v>2.93</v>
      </c>
      <c r="I165" s="15">
        <f t="shared" si="12"/>
        <v>3.2053539978865862E-2</v>
      </c>
      <c r="J165" s="10">
        <v>2.9380000000000002</v>
      </c>
      <c r="K165" s="12">
        <f t="shared" si="13"/>
        <v>3.450704225352124E-2</v>
      </c>
      <c r="L165" s="10">
        <v>2.903</v>
      </c>
      <c r="M165" s="12">
        <f t="shared" si="14"/>
        <v>3.0163236337828234E-2</v>
      </c>
    </row>
    <row r="166" spans="1:13" x14ac:dyDescent="0.25">
      <c r="A166" s="5">
        <v>41691</v>
      </c>
      <c r="B166" s="4">
        <v>2.879</v>
      </c>
      <c r="C166" s="12">
        <f t="shared" si="10"/>
        <v>2.8949249463902774E-2</v>
      </c>
      <c r="E166" s="37">
        <v>41691</v>
      </c>
      <c r="F166" s="38">
        <v>2.8340000000000001</v>
      </c>
      <c r="G166" s="38">
        <f t="shared" si="11"/>
        <v>2.4954792043399621E-2</v>
      </c>
      <c r="H166" s="7">
        <v>2.9940000000000002</v>
      </c>
      <c r="I166" s="15">
        <f t="shared" si="12"/>
        <v>2.1843003412969301E-2</v>
      </c>
      <c r="J166" s="10">
        <v>3.0049999999999999</v>
      </c>
      <c r="K166" s="12">
        <f t="shared" si="13"/>
        <v>2.2804628999319169E-2</v>
      </c>
      <c r="L166" s="10">
        <v>2.964</v>
      </c>
      <c r="M166" s="12">
        <f t="shared" si="14"/>
        <v>2.1012745435756094E-2</v>
      </c>
    </row>
    <row r="167" spans="1:13" x14ac:dyDescent="0.25">
      <c r="A167" s="5">
        <v>41698</v>
      </c>
      <c r="B167" s="4">
        <v>2.831</v>
      </c>
      <c r="C167" s="12">
        <f t="shared" si="10"/>
        <v>-1.6672455713789527E-2</v>
      </c>
      <c r="E167" s="37">
        <v>41698</v>
      </c>
      <c r="F167" s="38">
        <v>2.7970000000000002</v>
      </c>
      <c r="G167" s="38">
        <f t="shared" si="11"/>
        <v>-1.3055751587861651E-2</v>
      </c>
      <c r="H167" s="7">
        <v>2.97</v>
      </c>
      <c r="I167" s="15">
        <f t="shared" si="12"/>
        <v>-8.0160320641282628E-3</v>
      </c>
      <c r="J167" s="10">
        <v>2.98</v>
      </c>
      <c r="K167" s="12">
        <f t="shared" si="13"/>
        <v>-8.3194675540765092E-3</v>
      </c>
      <c r="L167" s="10">
        <v>2.94</v>
      </c>
      <c r="M167" s="12">
        <f t="shared" si="14"/>
        <v>-8.097165991902841E-3</v>
      </c>
    </row>
    <row r="168" spans="1:13" x14ac:dyDescent="0.25">
      <c r="A168" s="5">
        <v>41705</v>
      </c>
      <c r="B168" s="4">
        <v>2.8090000000000002</v>
      </c>
      <c r="C168" s="12">
        <f t="shared" si="10"/>
        <v>-7.771105616389897E-3</v>
      </c>
      <c r="E168" s="37">
        <v>41705</v>
      </c>
      <c r="F168" s="38">
        <v>2.9729999999999999</v>
      </c>
      <c r="G168" s="38">
        <f t="shared" si="11"/>
        <v>6.2924562030747117E-2</v>
      </c>
      <c r="H168" s="7">
        <v>2.9340000000000002</v>
      </c>
      <c r="I168" s="15">
        <f t="shared" si="12"/>
        <v>-1.2121212121212132E-2</v>
      </c>
      <c r="J168" s="10">
        <v>2.9630000000000001</v>
      </c>
      <c r="K168" s="12">
        <f t="shared" si="13"/>
        <v>-5.7046979865771489E-3</v>
      </c>
      <c r="L168" s="10">
        <v>2.9</v>
      </c>
      <c r="M168" s="12">
        <f t="shared" si="14"/>
        <v>-1.360544217687076E-2</v>
      </c>
    </row>
    <row r="169" spans="1:13" x14ac:dyDescent="0.25">
      <c r="A169" s="5">
        <v>41712</v>
      </c>
      <c r="B169" s="4">
        <v>2.7909999999999999</v>
      </c>
      <c r="C169" s="12">
        <f t="shared" si="10"/>
        <v>-6.4079743681026121E-3</v>
      </c>
      <c r="E169" s="37">
        <v>41712</v>
      </c>
      <c r="F169" s="38">
        <v>2.9529999999999998</v>
      </c>
      <c r="G169" s="38">
        <f t="shared" si="11"/>
        <v>-6.7272115708039079E-3</v>
      </c>
      <c r="H169" s="7">
        <v>2.9119999999999999</v>
      </c>
      <c r="I169" s="15">
        <f t="shared" si="12"/>
        <v>-7.4982958418542056E-3</v>
      </c>
      <c r="J169" s="10">
        <v>2.9430000000000001</v>
      </c>
      <c r="K169" s="12">
        <f t="shared" si="13"/>
        <v>-6.7499156260546799E-3</v>
      </c>
      <c r="L169" s="10">
        <v>2.8759999999999999</v>
      </c>
      <c r="M169" s="12">
        <f t="shared" si="14"/>
        <v>-8.2758620689655244E-3</v>
      </c>
    </row>
    <row r="170" spans="1:13" x14ac:dyDescent="0.25">
      <c r="A170" s="5">
        <v>41719</v>
      </c>
      <c r="B170" s="4">
        <v>2.722</v>
      </c>
      <c r="C170" s="12">
        <f t="shared" si="10"/>
        <v>-2.472232174847723E-2</v>
      </c>
      <c r="E170" s="37">
        <v>41719</v>
      </c>
      <c r="F170" s="38">
        <v>2.891</v>
      </c>
      <c r="G170" s="38">
        <f t="shared" si="11"/>
        <v>-2.0995597697256972E-2</v>
      </c>
      <c r="H170" s="7">
        <v>2.8570000000000002</v>
      </c>
      <c r="I170" s="15">
        <f t="shared" si="12"/>
        <v>-1.8887362637362539E-2</v>
      </c>
      <c r="J170" s="10">
        <v>2.8839999999999999</v>
      </c>
      <c r="K170" s="12">
        <f t="shared" si="13"/>
        <v>-2.0047570506286156E-2</v>
      </c>
      <c r="L170" s="10">
        <v>2.8260000000000001</v>
      </c>
      <c r="M170" s="12">
        <f t="shared" si="14"/>
        <v>-1.7385257301808007E-2</v>
      </c>
    </row>
    <row r="171" spans="1:13" x14ac:dyDescent="0.25">
      <c r="A171" s="5">
        <v>41726</v>
      </c>
      <c r="B171" s="4">
        <v>2.6989999999999998</v>
      </c>
      <c r="C171" s="12">
        <f t="shared" si="10"/>
        <v>-8.4496693607641928E-3</v>
      </c>
      <c r="E171" s="37">
        <v>41726</v>
      </c>
      <c r="F171" s="38">
        <v>2.9129999999999998</v>
      </c>
      <c r="G171" s="38">
        <f t="shared" si="11"/>
        <v>7.6098235904530605E-3</v>
      </c>
      <c r="H171" s="7">
        <v>2.8889999999999998</v>
      </c>
      <c r="I171" s="15">
        <f t="shared" si="12"/>
        <v>1.1200560028001254E-2</v>
      </c>
      <c r="J171" s="10">
        <v>2.91</v>
      </c>
      <c r="K171" s="12">
        <f t="shared" si="13"/>
        <v>9.0152565880722065E-3</v>
      </c>
      <c r="L171" s="10">
        <v>2.8610000000000002</v>
      </c>
      <c r="M171" s="12">
        <f t="shared" si="14"/>
        <v>1.2384996461429633E-2</v>
      </c>
    </row>
    <row r="172" spans="1:13" x14ac:dyDescent="0.25">
      <c r="A172" s="5">
        <v>41733</v>
      </c>
      <c r="B172" s="4">
        <v>2.7090000000000001</v>
      </c>
      <c r="C172" s="12">
        <f t="shared" si="10"/>
        <v>3.705075954057144E-3</v>
      </c>
      <c r="E172" s="37">
        <v>41733</v>
      </c>
      <c r="F172" s="38">
        <v>2.8980000000000001</v>
      </c>
      <c r="G172" s="38">
        <f t="shared" si="11"/>
        <v>-5.1493305870235779E-3</v>
      </c>
      <c r="H172" s="7">
        <v>2.8559999999999999</v>
      </c>
      <c r="I172" s="15">
        <f t="shared" si="12"/>
        <v>-1.1422637590861862E-2</v>
      </c>
      <c r="J172" s="10">
        <v>2.8820000000000001</v>
      </c>
      <c r="K172" s="12">
        <f t="shared" si="13"/>
        <v>-9.6219931271477738E-3</v>
      </c>
      <c r="L172" s="10">
        <v>2.8250000000000002</v>
      </c>
      <c r="M172" s="12">
        <f t="shared" si="14"/>
        <v>-1.258301293254108E-2</v>
      </c>
    </row>
    <row r="173" spans="1:13" x14ac:dyDescent="0.25">
      <c r="A173" s="5">
        <v>41740</v>
      </c>
      <c r="B173" s="4">
        <v>2.8860000000000001</v>
      </c>
      <c r="C173" s="12">
        <f t="shared" si="10"/>
        <v>6.5337763012181638E-2</v>
      </c>
      <c r="E173" s="37">
        <v>41740</v>
      </c>
      <c r="F173" s="38">
        <v>2.9870000000000001</v>
      </c>
      <c r="G173" s="38">
        <f t="shared" si="11"/>
        <v>3.0710835058661134E-2</v>
      </c>
      <c r="H173" s="7">
        <v>2.9209999999999998</v>
      </c>
      <c r="I173" s="15">
        <f t="shared" si="12"/>
        <v>2.2759103641456564E-2</v>
      </c>
      <c r="J173" s="10">
        <v>2.9569999999999999</v>
      </c>
      <c r="K173" s="12">
        <f t="shared" si="13"/>
        <v>2.6023594725884707E-2</v>
      </c>
      <c r="L173" s="10">
        <v>2.8820000000000001</v>
      </c>
      <c r="M173" s="12">
        <f t="shared" si="14"/>
        <v>2.0176991150442455E-2</v>
      </c>
    </row>
    <row r="174" spans="1:13" x14ac:dyDescent="0.25">
      <c r="A174" s="5">
        <v>41747</v>
      </c>
      <c r="B174" s="4">
        <v>2.9710000000000001</v>
      </c>
      <c r="C174" s="12">
        <f t="shared" si="10"/>
        <v>2.9452529452529439E-2</v>
      </c>
      <c r="E174" s="37">
        <v>41747</v>
      </c>
      <c r="F174" s="38">
        <v>3.044</v>
      </c>
      <c r="G174" s="38">
        <f t="shared" si="11"/>
        <v>1.9082691663876779E-2</v>
      </c>
      <c r="H174" s="7">
        <v>2.9740000000000002</v>
      </c>
      <c r="I174" s="15">
        <f t="shared" si="12"/>
        <v>1.8144471071550969E-2</v>
      </c>
      <c r="J174" s="10">
        <v>3.012</v>
      </c>
      <c r="K174" s="12">
        <f t="shared" si="13"/>
        <v>1.8599932363882368E-2</v>
      </c>
      <c r="L174" s="10">
        <v>2.9340000000000002</v>
      </c>
      <c r="M174" s="12">
        <f t="shared" si="14"/>
        <v>1.8043025676613478E-2</v>
      </c>
    </row>
    <row r="175" spans="1:13" x14ac:dyDescent="0.25">
      <c r="A175" s="5">
        <v>41754</v>
      </c>
      <c r="B175" s="4">
        <v>3.0009999999999999</v>
      </c>
      <c r="C175" s="12">
        <f t="shared" si="10"/>
        <v>1.009761023224497E-2</v>
      </c>
      <c r="E175" s="37">
        <v>41754</v>
      </c>
      <c r="F175" s="38">
        <v>3.0880000000000001</v>
      </c>
      <c r="G175" s="38">
        <f t="shared" si="11"/>
        <v>1.4454664914586083E-2</v>
      </c>
      <c r="H175" s="7">
        <v>2.996</v>
      </c>
      <c r="I175" s="15">
        <f t="shared" si="12"/>
        <v>7.3974445191660378E-3</v>
      </c>
      <c r="J175" s="10">
        <v>3.04</v>
      </c>
      <c r="K175" s="12">
        <f t="shared" si="13"/>
        <v>9.2961487383798232E-3</v>
      </c>
      <c r="L175" s="10">
        <v>2.95</v>
      </c>
      <c r="M175" s="12">
        <f t="shared" si="14"/>
        <v>5.4533060668030039E-3</v>
      </c>
    </row>
    <row r="176" spans="1:13" x14ac:dyDescent="0.25">
      <c r="A176" s="5">
        <v>41761</v>
      </c>
      <c r="B176" s="4">
        <v>2.883</v>
      </c>
      <c r="C176" s="12">
        <f t="shared" si="10"/>
        <v>-3.9320226591136251E-2</v>
      </c>
      <c r="E176" s="37">
        <v>41761</v>
      </c>
      <c r="F176" s="38">
        <v>2.9990000000000001</v>
      </c>
      <c r="G176" s="38">
        <f t="shared" si="11"/>
        <v>-2.882124352331605E-2</v>
      </c>
      <c r="H176" s="7">
        <v>2.919</v>
      </c>
      <c r="I176" s="15">
        <f t="shared" si="12"/>
        <v>-2.5700934579439238E-2</v>
      </c>
      <c r="J176" s="10">
        <v>2.9569999999999999</v>
      </c>
      <c r="K176" s="12">
        <f t="shared" si="13"/>
        <v>-2.7302631578947429E-2</v>
      </c>
      <c r="L176" s="10">
        <v>2.8759999999999999</v>
      </c>
      <c r="M176" s="12">
        <f t="shared" si="14"/>
        <v>-2.5084745762711962E-2</v>
      </c>
    </row>
    <row r="177" spans="1:13" x14ac:dyDescent="0.25">
      <c r="A177" s="5">
        <v>41768</v>
      </c>
      <c r="B177" s="4">
        <v>2.8319999999999999</v>
      </c>
      <c r="C177" s="12">
        <f t="shared" si="10"/>
        <v>-1.7689906347554685E-2</v>
      </c>
      <c r="E177" s="37">
        <v>41768</v>
      </c>
      <c r="F177" s="38">
        <v>2.903</v>
      </c>
      <c r="G177" s="38">
        <f t="shared" si="11"/>
        <v>-3.2010670223407832E-2</v>
      </c>
      <c r="H177" s="7">
        <v>2.851</v>
      </c>
      <c r="I177" s="15">
        <f t="shared" si="12"/>
        <v>-2.3295649194929789E-2</v>
      </c>
      <c r="J177" s="10">
        <v>2.8820000000000001</v>
      </c>
      <c r="K177" s="12">
        <f t="shared" si="13"/>
        <v>-2.5363544132566702E-2</v>
      </c>
      <c r="L177" s="10">
        <v>2.8130000000000002</v>
      </c>
      <c r="M177" s="12">
        <f t="shared" si="14"/>
        <v>-2.1905424200278068E-2</v>
      </c>
    </row>
    <row r="178" spans="1:13" x14ac:dyDescent="0.25">
      <c r="A178" s="5">
        <v>41775</v>
      </c>
      <c r="B178" s="4">
        <v>2.8639999999999999</v>
      </c>
      <c r="C178" s="12">
        <f t="shared" si="10"/>
        <v>1.1299435028248598E-2</v>
      </c>
      <c r="E178" s="37">
        <v>41775</v>
      </c>
      <c r="F178" s="38">
        <v>2.95</v>
      </c>
      <c r="G178" s="38">
        <f t="shared" si="11"/>
        <v>1.6190148122631812E-2</v>
      </c>
      <c r="H178" s="7">
        <v>2.9009999999999998</v>
      </c>
      <c r="I178" s="15">
        <f t="shared" si="12"/>
        <v>1.7537706068046239E-2</v>
      </c>
      <c r="J178" s="10">
        <v>2.9329999999999998</v>
      </c>
      <c r="K178" s="12">
        <f t="shared" si="13"/>
        <v>1.7696044413601564E-2</v>
      </c>
      <c r="L178" s="10">
        <v>2.859</v>
      </c>
      <c r="M178" s="12">
        <f t="shared" si="14"/>
        <v>1.6352648418058946E-2</v>
      </c>
    </row>
    <row r="179" spans="1:13" x14ac:dyDescent="0.25">
      <c r="A179" s="5">
        <v>41782</v>
      </c>
      <c r="B179" s="4">
        <v>2.8959999999999999</v>
      </c>
      <c r="C179" s="12">
        <f t="shared" si="10"/>
        <v>1.117318435754191E-2</v>
      </c>
      <c r="E179" s="37">
        <v>41782</v>
      </c>
      <c r="F179" s="38">
        <v>2.99</v>
      </c>
      <c r="G179" s="38">
        <f t="shared" si="11"/>
        <v>1.3559322033898317E-2</v>
      </c>
      <c r="H179" s="7">
        <v>2.9420000000000002</v>
      </c>
      <c r="I179" s="15">
        <f t="shared" si="12"/>
        <v>1.4133057566356556E-2</v>
      </c>
      <c r="J179" s="10">
        <v>2.9750000000000001</v>
      </c>
      <c r="K179" s="12">
        <f t="shared" si="13"/>
        <v>1.43198090692125E-2</v>
      </c>
      <c r="L179" s="10">
        <v>2.899</v>
      </c>
      <c r="M179" s="12">
        <f t="shared" si="14"/>
        <v>1.399090591115776E-2</v>
      </c>
    </row>
    <row r="180" spans="1:13" x14ac:dyDescent="0.25">
      <c r="A180" s="5">
        <v>41789</v>
      </c>
      <c r="B180" s="4">
        <v>2.8530000000000002</v>
      </c>
      <c r="C180" s="12">
        <f t="shared" si="10"/>
        <v>-1.4848066298342439E-2</v>
      </c>
      <c r="E180" s="37">
        <v>41789</v>
      </c>
      <c r="F180" s="38">
        <v>3.0030000000000001</v>
      </c>
      <c r="G180" s="38">
        <f t="shared" si="11"/>
        <v>4.347826086956488E-3</v>
      </c>
      <c r="H180" s="7">
        <v>2.95</v>
      </c>
      <c r="I180" s="15">
        <f t="shared" si="12"/>
        <v>2.7192386131883097E-3</v>
      </c>
      <c r="J180" s="10">
        <v>2.984</v>
      </c>
      <c r="K180" s="12">
        <f t="shared" si="13"/>
        <v>3.0252100840335787E-3</v>
      </c>
      <c r="L180" s="10">
        <v>2.9060000000000001</v>
      </c>
      <c r="M180" s="12">
        <f t="shared" si="14"/>
        <v>2.4146257330114238E-3</v>
      </c>
    </row>
    <row r="181" spans="1:13" x14ac:dyDescent="0.25">
      <c r="A181" s="5">
        <v>41796</v>
      </c>
      <c r="B181" s="4">
        <v>2.819</v>
      </c>
      <c r="C181" s="12">
        <f t="shared" si="10"/>
        <v>-1.1917280056081406E-2</v>
      </c>
      <c r="E181" s="37">
        <v>41796</v>
      </c>
      <c r="F181" s="38">
        <v>2.9460000000000002</v>
      </c>
      <c r="G181" s="38">
        <f t="shared" si="11"/>
        <v>-1.8981018981018959E-2</v>
      </c>
      <c r="H181" s="7">
        <v>2.8719999999999999</v>
      </c>
      <c r="I181" s="15">
        <f t="shared" si="12"/>
        <v>-2.6440677966101792E-2</v>
      </c>
      <c r="J181" s="10">
        <v>2.915</v>
      </c>
      <c r="K181" s="12">
        <f t="shared" si="13"/>
        <v>-2.3123324396782826E-2</v>
      </c>
      <c r="L181" s="10">
        <v>2.7069999999999999</v>
      </c>
      <c r="M181" s="12">
        <f t="shared" si="14"/>
        <v>-6.8479008947006287E-2</v>
      </c>
    </row>
    <row r="182" spans="1:13" x14ac:dyDescent="0.25">
      <c r="A182" s="5">
        <v>41803</v>
      </c>
      <c r="B182" s="4">
        <v>2.8820000000000001</v>
      </c>
      <c r="C182" s="12">
        <f t="shared" si="10"/>
        <v>2.2348350478893286E-2</v>
      </c>
      <c r="E182" s="37">
        <v>41803</v>
      </c>
      <c r="F182" s="38">
        <v>3.02</v>
      </c>
      <c r="G182" s="38">
        <f t="shared" si="11"/>
        <v>2.5118805159538304E-2</v>
      </c>
      <c r="H182" s="7">
        <v>2.9430000000000001</v>
      </c>
      <c r="I182" s="15">
        <f t="shared" si="12"/>
        <v>2.4721448467966634E-2</v>
      </c>
      <c r="J182" s="10">
        <v>2.9860000000000002</v>
      </c>
      <c r="K182" s="12">
        <f t="shared" si="13"/>
        <v>2.4356775300171586E-2</v>
      </c>
      <c r="L182" s="10">
        <v>2.774</v>
      </c>
      <c r="M182" s="12">
        <f t="shared" si="14"/>
        <v>2.4750646472109412E-2</v>
      </c>
    </row>
    <row r="183" spans="1:13" x14ac:dyDescent="0.25">
      <c r="A183" s="5">
        <v>41810</v>
      </c>
      <c r="B183" s="4">
        <v>2.952</v>
      </c>
      <c r="C183" s="12">
        <f t="shared" si="10"/>
        <v>2.4288688410825758E-2</v>
      </c>
      <c r="E183" s="37">
        <v>41810</v>
      </c>
      <c r="F183" s="38">
        <v>3.097</v>
      </c>
      <c r="G183" s="38">
        <f t="shared" si="11"/>
        <v>2.549668874172184E-2</v>
      </c>
      <c r="H183" s="7">
        <v>3.0219999999999998</v>
      </c>
      <c r="I183" s="15">
        <f t="shared" si="12"/>
        <v>2.6843357118586385E-2</v>
      </c>
      <c r="J183" s="10">
        <v>3.0649999999999999</v>
      </c>
      <c r="K183" s="12">
        <f t="shared" si="13"/>
        <v>2.6456798392498235E-2</v>
      </c>
      <c r="L183" s="10">
        <v>2.8530000000000002</v>
      </c>
      <c r="M183" s="12">
        <f t="shared" si="14"/>
        <v>2.8478731074261059E-2</v>
      </c>
    </row>
    <row r="184" spans="1:13" x14ac:dyDescent="0.25">
      <c r="A184" s="5">
        <v>41817</v>
      </c>
      <c r="B184" s="4">
        <v>2.9319999999999999</v>
      </c>
      <c r="C184" s="12">
        <f t="shared" si="10"/>
        <v>-6.7750677506775133E-3</v>
      </c>
      <c r="E184" s="37">
        <v>41817</v>
      </c>
      <c r="F184" s="38">
        <v>3.1019999999999999</v>
      </c>
      <c r="G184" s="38">
        <f t="shared" si="11"/>
        <v>1.6144656118824326E-3</v>
      </c>
      <c r="H184" s="7">
        <v>3.036</v>
      </c>
      <c r="I184" s="15">
        <f t="shared" si="12"/>
        <v>4.6326935804104023E-3</v>
      </c>
      <c r="J184" s="10">
        <v>3.0760000000000001</v>
      </c>
      <c r="K184" s="12">
        <f t="shared" si="13"/>
        <v>3.588907014681932E-3</v>
      </c>
      <c r="L184" s="10">
        <v>2.8679999999999999</v>
      </c>
      <c r="M184" s="12">
        <f t="shared" si="14"/>
        <v>5.2576235541534101E-3</v>
      </c>
    </row>
    <row r="185" spans="1:13" x14ac:dyDescent="0.25">
      <c r="A185" s="5">
        <v>41824</v>
      </c>
      <c r="B185" s="4">
        <v>2.887</v>
      </c>
      <c r="C185" s="12">
        <f t="shared" si="10"/>
        <v>-1.5347885402455639E-2</v>
      </c>
      <c r="E185" s="37">
        <v>41824</v>
      </c>
      <c r="F185" s="38">
        <v>3.0390000000000001</v>
      </c>
      <c r="G185" s="38">
        <f t="shared" si="11"/>
        <v>-2.0309477756286179E-2</v>
      </c>
      <c r="H185" s="7">
        <v>2.8690000000000002</v>
      </c>
      <c r="I185" s="15">
        <f t="shared" si="12"/>
        <v>-5.5006587615283209E-2</v>
      </c>
      <c r="J185" s="10">
        <v>3.004</v>
      </c>
      <c r="K185" s="12">
        <f t="shared" si="13"/>
        <v>-2.3407022106632008E-2</v>
      </c>
      <c r="L185" s="10">
        <v>2.7930000000000001</v>
      </c>
      <c r="M185" s="12">
        <f t="shared" si="14"/>
        <v>-2.615062761506267E-2</v>
      </c>
    </row>
    <row r="186" spans="1:13" x14ac:dyDescent="0.25">
      <c r="A186" s="5">
        <v>41831</v>
      </c>
      <c r="B186" s="4">
        <v>2.8290000000000002</v>
      </c>
      <c r="C186" s="12">
        <f t="shared" si="10"/>
        <v>-2.0090058884655291E-2</v>
      </c>
      <c r="E186" s="37">
        <v>41831</v>
      </c>
      <c r="F186" s="38">
        <v>2.9529999999999998</v>
      </c>
      <c r="G186" s="38">
        <f t="shared" si="11"/>
        <v>-2.8298782494241625E-2</v>
      </c>
      <c r="H186" s="7">
        <v>2.762</v>
      </c>
      <c r="I186" s="15">
        <f t="shared" si="12"/>
        <v>-3.7295224817009483E-2</v>
      </c>
      <c r="J186" s="10">
        <v>2.9239999999999999</v>
      </c>
      <c r="K186" s="12">
        <f t="shared" si="13"/>
        <v>-2.6631158455392833E-2</v>
      </c>
      <c r="L186" s="10">
        <v>2.7210000000000001</v>
      </c>
      <c r="M186" s="12">
        <f t="shared" si="14"/>
        <v>-2.5778732545649861E-2</v>
      </c>
    </row>
    <row r="187" spans="1:13" x14ac:dyDescent="0.25">
      <c r="A187" s="5">
        <v>41838</v>
      </c>
      <c r="B187" s="4">
        <v>2.786</v>
      </c>
      <c r="C187" s="12">
        <f t="shared" si="10"/>
        <v>-1.5199717214563502E-2</v>
      </c>
      <c r="E187" s="37">
        <v>41838</v>
      </c>
      <c r="F187" s="38">
        <v>2.89</v>
      </c>
      <c r="G187" s="38">
        <f t="shared" si="11"/>
        <v>-2.1334236369793338E-2</v>
      </c>
      <c r="H187" s="7">
        <v>2.7069999999999999</v>
      </c>
      <c r="I187" s="15">
        <f t="shared" si="12"/>
        <v>-1.9913106444605415E-2</v>
      </c>
      <c r="J187" s="10">
        <v>2.8620000000000001</v>
      </c>
      <c r="K187" s="12">
        <f t="shared" si="13"/>
        <v>-2.1203830369356989E-2</v>
      </c>
      <c r="L187" s="10">
        <v>2.673</v>
      </c>
      <c r="M187" s="12">
        <f t="shared" si="14"/>
        <v>-1.764057331863287E-2</v>
      </c>
    </row>
    <row r="188" spans="1:13" x14ac:dyDescent="0.25">
      <c r="A188" s="5">
        <v>41845</v>
      </c>
      <c r="B188" s="4">
        <v>2.782</v>
      </c>
      <c r="C188" s="12">
        <f t="shared" si="10"/>
        <v>-1.4357501794687738E-3</v>
      </c>
      <c r="E188" s="37">
        <v>41845</v>
      </c>
      <c r="F188" s="38">
        <v>2.867</v>
      </c>
      <c r="G188" s="38">
        <f t="shared" si="11"/>
        <v>-7.9584775086505646E-3</v>
      </c>
      <c r="H188" s="7">
        <v>2.6930000000000001</v>
      </c>
      <c r="I188" s="15">
        <f t="shared" si="12"/>
        <v>-5.1717768747690396E-3</v>
      </c>
      <c r="J188" s="10">
        <v>2.8420000000000001</v>
      </c>
      <c r="K188" s="12">
        <f t="shared" si="13"/>
        <v>-6.9881201956673716E-3</v>
      </c>
      <c r="L188" s="10">
        <v>2.6629999999999998</v>
      </c>
      <c r="M188" s="12">
        <f t="shared" si="14"/>
        <v>-3.7411148522260495E-3</v>
      </c>
    </row>
    <row r="189" spans="1:13" x14ac:dyDescent="0.25">
      <c r="A189" s="5">
        <v>41852</v>
      </c>
      <c r="B189" s="4">
        <v>2.7349999999999999</v>
      </c>
      <c r="C189" s="12">
        <f t="shared" si="10"/>
        <v>-1.6894320632638446E-2</v>
      </c>
      <c r="E189" s="37">
        <v>41852</v>
      </c>
      <c r="F189" s="38">
        <v>2.8279999999999998</v>
      </c>
      <c r="G189" s="38">
        <f t="shared" si="11"/>
        <v>-1.360306941053371E-2</v>
      </c>
      <c r="H189" s="7">
        <v>2.66</v>
      </c>
      <c r="I189" s="15">
        <f t="shared" si="12"/>
        <v>-1.2253991830672082E-2</v>
      </c>
      <c r="J189" s="10">
        <v>2.7789999999999999</v>
      </c>
      <c r="K189" s="12">
        <f t="shared" si="13"/>
        <v>-2.2167487684729124E-2</v>
      </c>
      <c r="L189" s="10">
        <v>2.6339999999999999</v>
      </c>
      <c r="M189" s="12">
        <f t="shared" si="14"/>
        <v>-1.0889973713856521E-2</v>
      </c>
    </row>
    <row r="190" spans="1:13" x14ac:dyDescent="0.25">
      <c r="A190" s="5">
        <v>41859</v>
      </c>
      <c r="B190" s="4">
        <v>2.6880000000000002</v>
      </c>
      <c r="C190" s="12">
        <f t="shared" si="10"/>
        <v>-1.7184643510054737E-2</v>
      </c>
      <c r="E190" s="37">
        <v>41859</v>
      </c>
      <c r="F190" s="38">
        <v>2.7410000000000001</v>
      </c>
      <c r="G190" s="38">
        <f t="shared" si="11"/>
        <v>-3.0763790664780674E-2</v>
      </c>
      <c r="H190" s="7">
        <v>2.59</v>
      </c>
      <c r="I190" s="15">
        <f t="shared" si="12"/>
        <v>-2.6315789473684317E-2</v>
      </c>
      <c r="J190" s="10">
        <v>2.6139999999999999</v>
      </c>
      <c r="K190" s="12">
        <f t="shared" si="13"/>
        <v>-5.9373875494782312E-2</v>
      </c>
      <c r="L190" s="10">
        <v>2.577</v>
      </c>
      <c r="M190" s="12">
        <f t="shared" si="14"/>
        <v>-2.1640091116173099E-2</v>
      </c>
    </row>
    <row r="191" spans="1:13" x14ac:dyDescent="0.25">
      <c r="A191" s="5">
        <v>41866</v>
      </c>
      <c r="B191" s="4">
        <v>2.6850000000000001</v>
      </c>
      <c r="C191" s="12">
        <f t="shared" si="10"/>
        <v>-1.1160714285714708E-3</v>
      </c>
      <c r="E191" s="37">
        <v>41866</v>
      </c>
      <c r="F191" s="38">
        <v>2.7210000000000001</v>
      </c>
      <c r="G191" s="38">
        <f t="shared" si="11"/>
        <v>-7.2966070777088715E-3</v>
      </c>
      <c r="H191" s="7">
        <v>2.569</v>
      </c>
      <c r="I191" s="15">
        <f t="shared" si="12"/>
        <v>-8.1081081081080721E-3</v>
      </c>
      <c r="J191" s="10">
        <v>2.5939999999999999</v>
      </c>
      <c r="K191" s="12">
        <f t="shared" si="13"/>
        <v>-7.6511094108645825E-3</v>
      </c>
      <c r="L191" s="10">
        <v>2.5539999999999998</v>
      </c>
      <c r="M191" s="12">
        <f t="shared" si="14"/>
        <v>-8.9251067132324925E-3</v>
      </c>
    </row>
    <row r="192" spans="1:13" x14ac:dyDescent="0.25">
      <c r="A192" s="5">
        <v>41873</v>
      </c>
      <c r="B192" s="4">
        <v>2.7040000000000002</v>
      </c>
      <c r="C192" s="12">
        <f t="shared" si="10"/>
        <v>7.0763500931099168E-3</v>
      </c>
      <c r="E192" s="37">
        <v>41873</v>
      </c>
      <c r="F192" s="38">
        <v>2.71</v>
      </c>
      <c r="G192" s="38">
        <f t="shared" si="11"/>
        <v>-4.0426313855200739E-3</v>
      </c>
      <c r="H192" s="7">
        <v>2.54</v>
      </c>
      <c r="I192" s="15">
        <f t="shared" si="12"/>
        <v>-1.128843908135458E-2</v>
      </c>
      <c r="J192" s="10">
        <v>2.573</v>
      </c>
      <c r="K192" s="12">
        <f t="shared" si="13"/>
        <v>-8.095605242868122E-3</v>
      </c>
      <c r="L192" s="10">
        <v>2.5219999999999998</v>
      </c>
      <c r="M192" s="12">
        <f t="shared" si="14"/>
        <v>-1.2529365700861406E-2</v>
      </c>
    </row>
    <row r="193" spans="1:13" x14ac:dyDescent="0.25">
      <c r="A193" s="5">
        <v>41880</v>
      </c>
      <c r="B193" s="4">
        <v>2.75</v>
      </c>
      <c r="C193" s="12">
        <f t="shared" si="10"/>
        <v>1.7011834319526558E-2</v>
      </c>
      <c r="E193" s="37">
        <v>41880</v>
      </c>
      <c r="F193" s="38">
        <v>2.7589999999999999</v>
      </c>
      <c r="G193" s="38">
        <f t="shared" si="11"/>
        <v>1.8081180811808092E-2</v>
      </c>
      <c r="H193" s="7">
        <v>2.5649999999999999</v>
      </c>
      <c r="I193" s="15">
        <f t="shared" si="12"/>
        <v>9.8425196850393352E-3</v>
      </c>
      <c r="J193" s="10">
        <v>2.6</v>
      </c>
      <c r="K193" s="12">
        <f t="shared" si="13"/>
        <v>1.0493587252234798E-2</v>
      </c>
      <c r="L193" s="10">
        <v>2.5449999999999999</v>
      </c>
      <c r="M193" s="12">
        <f t="shared" si="14"/>
        <v>9.1197462331483476E-3</v>
      </c>
    </row>
    <row r="194" spans="1:13" x14ac:dyDescent="0.25">
      <c r="A194" s="5">
        <v>41887</v>
      </c>
      <c r="B194" s="4">
        <v>2.7480000000000002</v>
      </c>
      <c r="C194" s="12">
        <f t="shared" si="10"/>
        <v>-7.2727272727264721E-4</v>
      </c>
      <c r="E194" s="37">
        <v>41887</v>
      </c>
      <c r="F194" s="38">
        <v>2.5870000000000002</v>
      </c>
      <c r="G194" s="38">
        <f t="shared" si="11"/>
        <v>-6.2341428053642518E-2</v>
      </c>
      <c r="H194" s="7">
        <v>2.52</v>
      </c>
      <c r="I194" s="15">
        <f t="shared" si="12"/>
        <v>-1.7543859649122778E-2</v>
      </c>
      <c r="J194" s="10">
        <v>2.5459999999999998</v>
      </c>
      <c r="K194" s="12">
        <f t="shared" si="13"/>
        <v>-2.0769230769230873E-2</v>
      </c>
      <c r="L194" s="10">
        <v>2.5150000000000001</v>
      </c>
      <c r="M194" s="12">
        <f t="shared" si="14"/>
        <v>-1.1787819253438038E-2</v>
      </c>
    </row>
    <row r="195" spans="1:13" x14ac:dyDescent="0.25">
      <c r="A195" s="5">
        <v>41894</v>
      </c>
      <c r="B195" s="4">
        <v>2.6909999999999998</v>
      </c>
      <c r="C195" s="12">
        <f t="shared" si="10"/>
        <v>-2.0742358078602759E-2</v>
      </c>
      <c r="E195" s="37">
        <v>41894</v>
      </c>
      <c r="F195" s="38">
        <v>2.536</v>
      </c>
      <c r="G195" s="38">
        <f t="shared" si="11"/>
        <v>-1.9713954387321281E-2</v>
      </c>
      <c r="H195" s="7">
        <v>2.468</v>
      </c>
      <c r="I195" s="15">
        <f t="shared" si="12"/>
        <v>-2.0634920634920652E-2</v>
      </c>
      <c r="J195" s="10">
        <v>2.4950000000000001</v>
      </c>
      <c r="K195" s="12">
        <f t="shared" si="13"/>
        <v>-2.003142183817742E-2</v>
      </c>
      <c r="L195" s="10">
        <v>2.464</v>
      </c>
      <c r="M195" s="12">
        <f t="shared" si="14"/>
        <v>-2.0278330019880778E-2</v>
      </c>
    </row>
    <row r="196" spans="1:13" x14ac:dyDescent="0.25">
      <c r="A196" s="5">
        <v>41901</v>
      </c>
      <c r="B196" s="4">
        <v>2.677</v>
      </c>
      <c r="C196" s="12">
        <f t="shared" si="10"/>
        <v>-5.2025269416572989E-3</v>
      </c>
      <c r="E196" s="37">
        <v>41901</v>
      </c>
      <c r="F196" s="38">
        <v>2.5659999999999998</v>
      </c>
      <c r="G196" s="38">
        <f t="shared" si="11"/>
        <v>1.1829652996845349E-2</v>
      </c>
      <c r="H196" s="7">
        <v>2.468</v>
      </c>
      <c r="I196" s="15">
        <f t="shared" si="12"/>
        <v>0</v>
      </c>
      <c r="J196" s="10">
        <v>2.504</v>
      </c>
      <c r="K196" s="12">
        <f t="shared" si="13"/>
        <v>3.6072144288576738E-3</v>
      </c>
      <c r="L196" s="10">
        <v>2.4580000000000002</v>
      </c>
      <c r="M196" s="12">
        <f t="shared" si="14"/>
        <v>-2.435064935064847E-3</v>
      </c>
    </row>
    <row r="197" spans="1:13" x14ac:dyDescent="0.25">
      <c r="A197" s="5">
        <v>41908</v>
      </c>
      <c r="B197" s="4">
        <v>2.762</v>
      </c>
      <c r="C197" s="12">
        <f t="shared" ref="C197:C260" si="15">(B197-B196)/B196</f>
        <v>3.1751961150541637E-2</v>
      </c>
      <c r="E197" s="37">
        <v>41908</v>
      </c>
      <c r="F197" s="38">
        <v>2.6509999999999998</v>
      </c>
      <c r="G197" s="38">
        <f t="shared" ref="G197:G260" si="16">(F197-F196)/F196</f>
        <v>3.3125487139516747E-2</v>
      </c>
      <c r="H197" s="7">
        <v>2.4500000000000002</v>
      </c>
      <c r="I197" s="15">
        <f t="shared" ref="I197:I260" si="17">(H197-H196)/H196</f>
        <v>-7.2933549432738229E-3</v>
      </c>
      <c r="J197" s="10">
        <v>2.5070000000000001</v>
      </c>
      <c r="K197" s="12">
        <f t="shared" ref="K197:K260" si="18">(J197-J196)/J196</f>
        <v>1.1980830670926972E-3</v>
      </c>
      <c r="L197" s="10">
        <v>2.4380000000000002</v>
      </c>
      <c r="M197" s="12">
        <f t="shared" ref="M197:M260" si="19">(L197-L196)/L196</f>
        <v>-8.1366965012205118E-3</v>
      </c>
    </row>
    <row r="198" spans="1:13" x14ac:dyDescent="0.25">
      <c r="A198" s="5">
        <v>41915</v>
      </c>
      <c r="B198" s="4">
        <v>2.6669999999999998</v>
      </c>
      <c r="C198" s="12">
        <f t="shared" si="15"/>
        <v>-3.4395365677045688E-2</v>
      </c>
      <c r="E198" s="37">
        <v>41915</v>
      </c>
      <c r="F198" s="38">
        <v>2.504</v>
      </c>
      <c r="G198" s="38">
        <f t="shared" si="16"/>
        <v>-5.5450773293096875E-2</v>
      </c>
      <c r="H198" s="7">
        <v>2.379</v>
      </c>
      <c r="I198" s="15">
        <f t="shared" si="17"/>
        <v>-2.8979591836734764E-2</v>
      </c>
      <c r="J198" s="10">
        <v>2.4060000000000001</v>
      </c>
      <c r="K198" s="12">
        <f t="shared" si="18"/>
        <v>-4.0287195851615464E-2</v>
      </c>
      <c r="L198" s="10">
        <v>2.379</v>
      </c>
      <c r="M198" s="12">
        <f t="shared" si="19"/>
        <v>-2.4200164068909007E-2</v>
      </c>
    </row>
    <row r="199" spans="1:13" x14ac:dyDescent="0.25">
      <c r="A199" s="5">
        <v>41922</v>
      </c>
      <c r="B199" s="4">
        <v>2.4830000000000001</v>
      </c>
      <c r="C199" s="12">
        <f t="shared" si="15"/>
        <v>-6.8991376077990149E-2</v>
      </c>
      <c r="E199" s="37">
        <v>41922</v>
      </c>
      <c r="F199" s="38">
        <v>2.3260000000000001</v>
      </c>
      <c r="G199" s="38">
        <f t="shared" si="16"/>
        <v>-7.1086261980830651E-2</v>
      </c>
      <c r="H199" s="7">
        <v>2.2810000000000001</v>
      </c>
      <c r="I199" s="15">
        <f t="shared" si="17"/>
        <v>-4.1193778898696874E-2</v>
      </c>
      <c r="J199" s="10">
        <v>2.2850000000000001</v>
      </c>
      <c r="K199" s="12">
        <f t="shared" si="18"/>
        <v>-5.0290939318370732E-2</v>
      </c>
      <c r="L199" s="10">
        <v>2.2930000000000001</v>
      </c>
      <c r="M199" s="12">
        <f t="shared" si="19"/>
        <v>-3.6149642707019695E-2</v>
      </c>
    </row>
    <row r="200" spans="1:13" x14ac:dyDescent="0.25">
      <c r="A200" s="5">
        <v>41929</v>
      </c>
      <c r="B200" s="4">
        <v>2.331</v>
      </c>
      <c r="C200" s="12">
        <f t="shared" si="15"/>
        <v>-6.121627064035446E-2</v>
      </c>
      <c r="E200" s="37">
        <v>41929</v>
      </c>
      <c r="F200" s="38">
        <v>2.206</v>
      </c>
      <c r="G200" s="38">
        <f t="shared" si="16"/>
        <v>-5.1590713671539168E-2</v>
      </c>
      <c r="H200" s="7">
        <v>2.153</v>
      </c>
      <c r="I200" s="15">
        <f t="shared" si="17"/>
        <v>-5.611573871109167E-2</v>
      </c>
      <c r="J200" s="10">
        <v>2.1549999999999998</v>
      </c>
      <c r="K200" s="12">
        <f t="shared" si="18"/>
        <v>-5.6892778993435596E-2</v>
      </c>
      <c r="L200" s="10">
        <v>2.1640000000000001</v>
      </c>
      <c r="M200" s="12">
        <f t="shared" si="19"/>
        <v>-5.6258177060619273E-2</v>
      </c>
    </row>
    <row r="201" spans="1:13" x14ac:dyDescent="0.25">
      <c r="A201" s="5">
        <v>41936</v>
      </c>
      <c r="B201" s="4">
        <v>2.347</v>
      </c>
      <c r="C201" s="12">
        <f t="shared" si="15"/>
        <v>6.8640068640068701E-3</v>
      </c>
      <c r="E201" s="37">
        <v>41936</v>
      </c>
      <c r="F201" s="38">
        <v>2.1920000000000002</v>
      </c>
      <c r="G201" s="38">
        <f t="shared" si="16"/>
        <v>-6.3463281958294612E-3</v>
      </c>
      <c r="H201" s="7">
        <v>2.1389999999999998</v>
      </c>
      <c r="I201" s="15">
        <f t="shared" si="17"/>
        <v>-6.5025545750117203E-3</v>
      </c>
      <c r="J201" s="10">
        <v>2.1429999999999998</v>
      </c>
      <c r="K201" s="12">
        <f t="shared" si="18"/>
        <v>-5.5684454756380567E-3</v>
      </c>
      <c r="L201" s="10">
        <v>2.1520000000000001</v>
      </c>
      <c r="M201" s="12">
        <f t="shared" si="19"/>
        <v>-5.5452865064695052E-3</v>
      </c>
    </row>
    <row r="202" spans="1:13" x14ac:dyDescent="0.25">
      <c r="A202" s="5">
        <v>41943</v>
      </c>
      <c r="B202" s="4">
        <v>2.302</v>
      </c>
      <c r="C202" s="12">
        <f t="shared" si="15"/>
        <v>-1.9173412867490382E-2</v>
      </c>
      <c r="E202" s="37">
        <v>41943</v>
      </c>
      <c r="F202" s="38">
        <v>2.19</v>
      </c>
      <c r="G202" s="38">
        <f t="shared" si="16"/>
        <v>-9.1240875912418958E-4</v>
      </c>
      <c r="H202" s="7">
        <v>2.1539999999999999</v>
      </c>
      <c r="I202" s="15">
        <f t="shared" si="17"/>
        <v>7.0126227208976745E-3</v>
      </c>
      <c r="J202" s="10">
        <v>2.1560000000000001</v>
      </c>
      <c r="K202" s="12">
        <f t="shared" si="18"/>
        <v>6.066262249183549E-3</v>
      </c>
      <c r="L202" s="10">
        <v>2.1680000000000001</v>
      </c>
      <c r="M202" s="12">
        <f t="shared" si="19"/>
        <v>7.4349442379182213E-3</v>
      </c>
    </row>
    <row r="203" spans="1:13" x14ac:dyDescent="0.25">
      <c r="A203" s="5">
        <v>41950</v>
      </c>
      <c r="B203" s="4">
        <v>2.2130000000000001</v>
      </c>
      <c r="C203" s="12">
        <f t="shared" si="15"/>
        <v>-3.8662033014769753E-2</v>
      </c>
      <c r="E203" s="37">
        <v>41950</v>
      </c>
      <c r="F203" s="38">
        <v>2.11</v>
      </c>
      <c r="G203" s="38">
        <f t="shared" si="16"/>
        <v>-3.6529680365296836E-2</v>
      </c>
      <c r="H203" s="7">
        <v>2.113</v>
      </c>
      <c r="I203" s="15">
        <f t="shared" si="17"/>
        <v>-1.9034354688950754E-2</v>
      </c>
      <c r="J203" s="10">
        <v>2.1019999999999999</v>
      </c>
      <c r="K203" s="12">
        <f t="shared" si="18"/>
        <v>-2.5046382189239456E-2</v>
      </c>
      <c r="L203" s="10">
        <v>2.1339999999999999</v>
      </c>
      <c r="M203" s="12">
        <f t="shared" si="19"/>
        <v>-1.5682656826568379E-2</v>
      </c>
    </row>
    <row r="204" spans="1:13" x14ac:dyDescent="0.25">
      <c r="A204" s="5">
        <v>41957</v>
      </c>
      <c r="B204" s="4">
        <v>2.1829999999999998</v>
      </c>
      <c r="C204" s="12">
        <f t="shared" si="15"/>
        <v>-1.3556258472661658E-2</v>
      </c>
      <c r="E204" s="37">
        <v>41957</v>
      </c>
      <c r="F204" s="38">
        <v>2.0710000000000002</v>
      </c>
      <c r="G204" s="38">
        <f t="shared" si="16"/>
        <v>-1.8483412322274743E-2</v>
      </c>
      <c r="H204" s="7">
        <v>2.0590000000000002</v>
      </c>
      <c r="I204" s="15">
        <f t="shared" si="17"/>
        <v>-2.5556081400851787E-2</v>
      </c>
      <c r="J204" s="10">
        <v>2.052</v>
      </c>
      <c r="K204" s="12">
        <f t="shared" si="18"/>
        <v>-2.3786869647954244E-2</v>
      </c>
      <c r="L204" s="10">
        <v>2.0779999999999998</v>
      </c>
      <c r="M204" s="12">
        <f t="shared" si="19"/>
        <v>-2.6241799437675749E-2</v>
      </c>
    </row>
    <row r="205" spans="1:13" x14ac:dyDescent="0.25">
      <c r="A205" s="5">
        <v>41964</v>
      </c>
      <c r="B205" s="4">
        <v>2.1509999999999998</v>
      </c>
      <c r="C205" s="12">
        <f t="shared" si="15"/>
        <v>-1.4658726523133317E-2</v>
      </c>
      <c r="E205" s="37">
        <v>41964</v>
      </c>
      <c r="F205" s="38">
        <v>2.0390000000000001</v>
      </c>
      <c r="G205" s="38">
        <f t="shared" si="16"/>
        <v>-1.5451472718493495E-2</v>
      </c>
      <c r="H205" s="7">
        <v>2.0289999999999999</v>
      </c>
      <c r="I205" s="15">
        <f t="shared" si="17"/>
        <v>-1.4570179698883072E-2</v>
      </c>
      <c r="J205" s="10">
        <v>2.0230000000000001</v>
      </c>
      <c r="K205" s="12">
        <f t="shared" si="18"/>
        <v>-1.4132553606237774E-2</v>
      </c>
      <c r="L205" s="10">
        <v>2.0459999999999998</v>
      </c>
      <c r="M205" s="12">
        <f t="shared" si="19"/>
        <v>-1.5399422521655453E-2</v>
      </c>
    </row>
    <row r="206" spans="1:13" x14ac:dyDescent="0.25">
      <c r="A206" s="5">
        <v>41971</v>
      </c>
      <c r="B206" s="4">
        <v>2.1019999999999999</v>
      </c>
      <c r="C206" s="12">
        <f t="shared" si="15"/>
        <v>-2.2780102278010198E-2</v>
      </c>
      <c r="E206" s="37">
        <v>41971</v>
      </c>
      <c r="F206" s="38">
        <v>2.0009999999999999</v>
      </c>
      <c r="G206" s="38">
        <f t="shared" si="16"/>
        <v>-1.8636586562040341E-2</v>
      </c>
      <c r="H206" s="7">
        <v>1.9730000000000001</v>
      </c>
      <c r="I206" s="15">
        <f t="shared" si="17"/>
        <v>-2.7599802858550928E-2</v>
      </c>
      <c r="J206" s="10">
        <v>1.968</v>
      </c>
      <c r="K206" s="12">
        <f t="shared" si="18"/>
        <v>-2.7187345526445951E-2</v>
      </c>
      <c r="L206" s="10">
        <v>1.99</v>
      </c>
      <c r="M206" s="12">
        <f t="shared" si="19"/>
        <v>-2.7370478983382126E-2</v>
      </c>
    </row>
    <row r="207" spans="1:13" x14ac:dyDescent="0.25">
      <c r="A207" s="5">
        <v>41978</v>
      </c>
      <c r="B207" s="4">
        <v>1.9019999999999999</v>
      </c>
      <c r="C207" s="12">
        <f t="shared" si="15"/>
        <v>-9.5147478591817297E-2</v>
      </c>
      <c r="E207" s="37">
        <v>41978</v>
      </c>
      <c r="F207" s="38">
        <v>1.8140000000000001</v>
      </c>
      <c r="G207" s="38">
        <f t="shared" si="16"/>
        <v>-9.3453273363318268E-2</v>
      </c>
      <c r="H207" s="7">
        <v>1.8420000000000001</v>
      </c>
      <c r="I207" s="15">
        <f t="shared" si="17"/>
        <v>-6.6396350734921436E-2</v>
      </c>
      <c r="J207" s="10">
        <v>1.8220000000000001</v>
      </c>
      <c r="K207" s="12">
        <f t="shared" si="18"/>
        <v>-7.4186991869918659E-2</v>
      </c>
      <c r="L207" s="10">
        <v>2.04</v>
      </c>
      <c r="M207" s="12">
        <f t="shared" si="19"/>
        <v>2.512562814070354E-2</v>
      </c>
    </row>
    <row r="208" spans="1:13" x14ac:dyDescent="0.25">
      <c r="A208" s="5">
        <v>41985</v>
      </c>
      <c r="B208" s="4">
        <v>1.712</v>
      </c>
      <c r="C208" s="12">
        <f t="shared" si="15"/>
        <v>-9.9894847528916905E-2</v>
      </c>
      <c r="E208" s="37">
        <v>41985</v>
      </c>
      <c r="F208" s="38">
        <v>1.659</v>
      </c>
      <c r="G208" s="38">
        <f t="shared" si="16"/>
        <v>-8.5446527012127904E-2</v>
      </c>
      <c r="H208" s="7">
        <v>1.694</v>
      </c>
      <c r="I208" s="15">
        <f t="shared" si="17"/>
        <v>-8.0347448425624385E-2</v>
      </c>
      <c r="J208" s="10">
        <v>1.6719999999999999</v>
      </c>
      <c r="K208" s="12">
        <f t="shared" si="18"/>
        <v>-8.232711306256868E-2</v>
      </c>
      <c r="L208" s="10">
        <v>1.8979999999999999</v>
      </c>
      <c r="M208" s="12">
        <f t="shared" si="19"/>
        <v>-6.960784313725496E-2</v>
      </c>
    </row>
    <row r="209" spans="1:13" x14ac:dyDescent="0.25">
      <c r="A209" s="5">
        <v>41992</v>
      </c>
      <c r="B209" s="4">
        <v>1.607</v>
      </c>
      <c r="C209" s="12">
        <f t="shared" si="15"/>
        <v>-6.1331775700934572E-2</v>
      </c>
      <c r="E209" s="37">
        <v>41992</v>
      </c>
      <c r="F209" s="38">
        <v>1.554</v>
      </c>
      <c r="G209" s="38">
        <f t="shared" si="16"/>
        <v>-6.3291139240506319E-2</v>
      </c>
      <c r="H209" s="7">
        <v>1.5880000000000001</v>
      </c>
      <c r="I209" s="15">
        <f t="shared" si="17"/>
        <v>-6.2573789846517042E-2</v>
      </c>
      <c r="J209" s="10">
        <v>1.5680000000000001</v>
      </c>
      <c r="K209" s="12">
        <f t="shared" si="18"/>
        <v>-6.2200956937798965E-2</v>
      </c>
      <c r="L209" s="10">
        <v>1.7909999999999999</v>
      </c>
      <c r="M209" s="12">
        <f t="shared" si="19"/>
        <v>-5.6375131717597463E-2</v>
      </c>
    </row>
    <row r="210" spans="1:13" x14ac:dyDescent="0.25">
      <c r="A210" s="5">
        <v>41999</v>
      </c>
      <c r="B210" s="4">
        <v>1.59</v>
      </c>
      <c r="C210" s="12">
        <f t="shared" si="15"/>
        <v>-1.0578718108276231E-2</v>
      </c>
      <c r="E210" s="37">
        <v>41999</v>
      </c>
      <c r="F210" s="38">
        <v>1.532</v>
      </c>
      <c r="G210" s="38">
        <f t="shared" si="16"/>
        <v>-1.415701415701417E-2</v>
      </c>
      <c r="H210" s="7">
        <v>1.5740000000000001</v>
      </c>
      <c r="I210" s="15">
        <f t="shared" si="17"/>
        <v>-8.8161209068010147E-3</v>
      </c>
      <c r="J210" s="10">
        <v>1.5469999999999999</v>
      </c>
      <c r="K210" s="12">
        <f t="shared" si="18"/>
        <v>-1.3392857142857225E-2</v>
      </c>
      <c r="L210" s="10">
        <v>1.784</v>
      </c>
      <c r="M210" s="12">
        <f t="shared" si="19"/>
        <v>-3.908431044109378E-3</v>
      </c>
    </row>
    <row r="211" spans="1:13" x14ac:dyDescent="0.25">
      <c r="A211" s="5">
        <v>42006</v>
      </c>
      <c r="B211" s="4">
        <v>1.514</v>
      </c>
      <c r="C211" s="12">
        <f t="shared" si="15"/>
        <v>-4.7798742138364818E-2</v>
      </c>
      <c r="E211" s="37">
        <v>42006</v>
      </c>
      <c r="F211" s="38">
        <v>1.444</v>
      </c>
      <c r="G211" s="38">
        <f t="shared" si="16"/>
        <v>-5.7441253263707623E-2</v>
      </c>
      <c r="H211" s="7">
        <v>1.55</v>
      </c>
      <c r="I211" s="15">
        <f t="shared" si="17"/>
        <v>-1.5247776365946646E-2</v>
      </c>
      <c r="J211" s="10">
        <v>1.47</v>
      </c>
      <c r="K211" s="12">
        <f t="shared" si="18"/>
        <v>-4.9773755656108573E-2</v>
      </c>
      <c r="L211" s="10">
        <v>1.72</v>
      </c>
      <c r="M211" s="12">
        <f t="shared" si="19"/>
        <v>-3.5874439461883442E-2</v>
      </c>
    </row>
    <row r="212" spans="1:13" x14ac:dyDescent="0.25">
      <c r="A212" s="5">
        <v>42013</v>
      </c>
      <c r="B212" s="4">
        <v>1.3759999999999999</v>
      </c>
      <c r="C212" s="12">
        <f t="shared" si="15"/>
        <v>-9.1149273447820423E-2</v>
      </c>
      <c r="E212" s="37">
        <v>42013</v>
      </c>
      <c r="F212" s="38">
        <v>1.347</v>
      </c>
      <c r="G212" s="38">
        <f t="shared" si="16"/>
        <v>-6.7174515235457047E-2</v>
      </c>
      <c r="H212" s="7">
        <v>1.609</v>
      </c>
      <c r="I212" s="15">
        <f t="shared" si="17"/>
        <v>3.8064516129032222E-2</v>
      </c>
      <c r="J212" s="10">
        <v>1.3839999999999999</v>
      </c>
      <c r="K212" s="12">
        <f t="shared" si="18"/>
        <v>-5.8503401360544272E-2</v>
      </c>
      <c r="L212" s="10">
        <v>1.6279999999999999</v>
      </c>
      <c r="M212" s="12">
        <f t="shared" si="19"/>
        <v>-5.3488372093023304E-2</v>
      </c>
    </row>
    <row r="213" spans="1:13" x14ac:dyDescent="0.25">
      <c r="A213" s="5">
        <v>42020</v>
      </c>
      <c r="B213" s="4">
        <v>1.325</v>
      </c>
      <c r="C213" s="12">
        <f t="shared" si="15"/>
        <v>-3.7063953488372048E-2</v>
      </c>
      <c r="E213" s="37">
        <v>42020</v>
      </c>
      <c r="F213" s="38">
        <v>1.31</v>
      </c>
      <c r="G213" s="38">
        <f t="shared" si="16"/>
        <v>-2.7468448403860372E-2</v>
      </c>
      <c r="H213" s="7">
        <v>1.5720000000000001</v>
      </c>
      <c r="I213" s="15">
        <f t="shared" si="17"/>
        <v>-2.2995649471721519E-2</v>
      </c>
      <c r="J213" s="10">
        <v>1.343</v>
      </c>
      <c r="K213" s="12">
        <f t="shared" si="18"/>
        <v>-2.9624277456647346E-2</v>
      </c>
      <c r="L213" s="10">
        <v>1.5920000000000001</v>
      </c>
      <c r="M213" s="12">
        <f t="shared" si="19"/>
        <v>-2.2113022113021998E-2</v>
      </c>
    </row>
    <row r="214" spans="1:13" x14ac:dyDescent="0.25">
      <c r="A214" s="5">
        <v>42027</v>
      </c>
      <c r="B214" s="4">
        <v>1.35</v>
      </c>
      <c r="C214" s="12">
        <f t="shared" si="15"/>
        <v>1.8867924528301987E-2</v>
      </c>
      <c r="E214" s="37">
        <v>42027</v>
      </c>
      <c r="F214" s="38">
        <v>1.329</v>
      </c>
      <c r="G214" s="38">
        <f t="shared" si="16"/>
        <v>1.4503816793893058E-2</v>
      </c>
      <c r="H214" s="7">
        <v>1.569</v>
      </c>
      <c r="I214" s="15">
        <f t="shared" si="17"/>
        <v>-1.9083969465649578E-3</v>
      </c>
      <c r="J214" s="10">
        <v>1.357</v>
      </c>
      <c r="K214" s="12">
        <f t="shared" si="18"/>
        <v>1.0424422933730464E-2</v>
      </c>
      <c r="L214" s="10">
        <v>1.5840000000000001</v>
      </c>
      <c r="M214" s="12">
        <f t="shared" si="19"/>
        <v>-5.0251256281407079E-3</v>
      </c>
    </row>
    <row r="215" spans="1:13" x14ac:dyDescent="0.25">
      <c r="A215" s="5">
        <v>42034</v>
      </c>
      <c r="B215" s="4">
        <v>1.377</v>
      </c>
      <c r="C215" s="12">
        <f t="shared" si="15"/>
        <v>1.9999999999999934E-2</v>
      </c>
      <c r="E215" s="37">
        <v>42034</v>
      </c>
      <c r="F215" s="38">
        <v>1.3560000000000001</v>
      </c>
      <c r="G215" s="38">
        <f t="shared" si="16"/>
        <v>2.0316027088036221E-2</v>
      </c>
      <c r="H215" s="7">
        <v>1.6120000000000001</v>
      </c>
      <c r="I215" s="15">
        <f t="shared" si="17"/>
        <v>2.7405991077119281E-2</v>
      </c>
      <c r="J215" s="10">
        <v>1.3959999999999999</v>
      </c>
      <c r="K215" s="12">
        <f t="shared" si="18"/>
        <v>2.8739867354458309E-2</v>
      </c>
      <c r="L215" s="10">
        <v>1.63</v>
      </c>
      <c r="M215" s="12">
        <f t="shared" si="19"/>
        <v>2.9040404040403926E-2</v>
      </c>
    </row>
    <row r="216" spans="1:13" x14ac:dyDescent="0.25">
      <c r="A216" s="5">
        <v>42041</v>
      </c>
      <c r="B216" s="4">
        <v>1.5309999999999999</v>
      </c>
      <c r="C216" s="12">
        <f t="shared" si="15"/>
        <v>0.11183732752360197</v>
      </c>
      <c r="E216" s="37">
        <v>42041</v>
      </c>
      <c r="F216" s="38">
        <v>1.542</v>
      </c>
      <c r="G216" s="38">
        <f t="shared" si="16"/>
        <v>0.13716814159292029</v>
      </c>
      <c r="H216" s="7">
        <v>1.788</v>
      </c>
      <c r="I216" s="15">
        <f t="shared" si="17"/>
        <v>0.1091811414392059</v>
      </c>
      <c r="J216" s="10">
        <v>1.7729999999999999</v>
      </c>
      <c r="K216" s="12">
        <f t="shared" si="18"/>
        <v>0.2700573065902579</v>
      </c>
      <c r="L216" s="10">
        <v>1.7909999999999999</v>
      </c>
      <c r="M216" s="12">
        <f t="shared" si="19"/>
        <v>9.8773006134969352E-2</v>
      </c>
    </row>
    <row r="217" spans="1:13" x14ac:dyDescent="0.25">
      <c r="A217" s="5">
        <v>42048</v>
      </c>
      <c r="B217" s="4">
        <v>1.575</v>
      </c>
      <c r="C217" s="12">
        <f t="shared" si="15"/>
        <v>2.8739386022207734E-2</v>
      </c>
      <c r="E217" s="37">
        <v>42048</v>
      </c>
      <c r="F217" s="38">
        <v>1.579</v>
      </c>
      <c r="G217" s="38">
        <f t="shared" si="16"/>
        <v>2.3994811932555073E-2</v>
      </c>
      <c r="H217" s="7">
        <v>1.8340000000000001</v>
      </c>
      <c r="I217" s="15">
        <f t="shared" si="17"/>
        <v>2.5727069351230446E-2</v>
      </c>
      <c r="J217" s="10">
        <v>1.8169999999999999</v>
      </c>
      <c r="K217" s="12">
        <f t="shared" si="18"/>
        <v>2.4816694867456312E-2</v>
      </c>
      <c r="L217" s="10">
        <v>1.837</v>
      </c>
      <c r="M217" s="12">
        <f t="shared" si="19"/>
        <v>2.5683975432719174E-2</v>
      </c>
    </row>
    <row r="218" spans="1:13" x14ac:dyDescent="0.25">
      <c r="A218" s="5">
        <v>42055</v>
      </c>
      <c r="B218" s="4">
        <v>1.6040000000000001</v>
      </c>
      <c r="C218" s="12">
        <f t="shared" si="15"/>
        <v>1.8412698412698499E-2</v>
      </c>
      <c r="E218" s="37">
        <v>42055</v>
      </c>
      <c r="F218" s="38">
        <v>1.605</v>
      </c>
      <c r="G218" s="38">
        <f t="shared" si="16"/>
        <v>1.646611779607348E-2</v>
      </c>
      <c r="H218" s="7">
        <v>1.845</v>
      </c>
      <c r="I218" s="15">
        <f t="shared" si="17"/>
        <v>5.997818974918156E-3</v>
      </c>
      <c r="J218" s="10">
        <v>1.8340000000000001</v>
      </c>
      <c r="K218" s="12">
        <f t="shared" si="18"/>
        <v>9.3560814529444827E-3</v>
      </c>
      <c r="L218" s="10">
        <v>1.8460000000000001</v>
      </c>
      <c r="M218" s="12">
        <f t="shared" si="19"/>
        <v>4.8992923244420899E-3</v>
      </c>
    </row>
    <row r="219" spans="1:13" x14ac:dyDescent="0.25">
      <c r="A219" s="5">
        <v>42062</v>
      </c>
      <c r="B219" s="4">
        <v>1.718</v>
      </c>
      <c r="C219" s="12">
        <f t="shared" si="15"/>
        <v>7.107231920199493E-2</v>
      </c>
      <c r="E219" s="37">
        <v>42062</v>
      </c>
      <c r="F219" s="38">
        <v>1.6919999999999999</v>
      </c>
      <c r="G219" s="38">
        <f t="shared" si="16"/>
        <v>5.4205607476635491E-2</v>
      </c>
      <c r="H219" s="7">
        <v>1.89</v>
      </c>
      <c r="I219" s="15">
        <f t="shared" si="17"/>
        <v>2.4390243902438987E-2</v>
      </c>
      <c r="J219" s="10">
        <v>1.891</v>
      </c>
      <c r="K219" s="12">
        <f t="shared" si="18"/>
        <v>3.1079607415485246E-2</v>
      </c>
      <c r="L219" s="10">
        <v>1.881</v>
      </c>
      <c r="M219" s="12">
        <f t="shared" si="19"/>
        <v>1.8959913326110463E-2</v>
      </c>
    </row>
    <row r="220" spans="1:13" x14ac:dyDescent="0.25">
      <c r="A220" s="5">
        <v>42069</v>
      </c>
      <c r="B220" s="4">
        <v>1.726</v>
      </c>
      <c r="C220" s="12">
        <f t="shared" si="15"/>
        <v>4.6565774155995386E-3</v>
      </c>
      <c r="E220" s="37">
        <v>42069</v>
      </c>
      <c r="F220" s="38">
        <v>1.9079999999999999</v>
      </c>
      <c r="G220" s="38">
        <f t="shared" si="16"/>
        <v>0.1276595744680851</v>
      </c>
      <c r="H220" s="7">
        <v>1.889</v>
      </c>
      <c r="I220" s="15">
        <f t="shared" si="17"/>
        <v>-5.2910052910047081E-4</v>
      </c>
      <c r="J220" s="10">
        <v>1.905</v>
      </c>
      <c r="K220" s="12">
        <f t="shared" si="18"/>
        <v>7.4034902168165061E-3</v>
      </c>
      <c r="L220" s="10">
        <v>1.8720000000000001</v>
      </c>
      <c r="M220" s="12">
        <f t="shared" si="19"/>
        <v>-4.7846889952152562E-3</v>
      </c>
    </row>
    <row r="221" spans="1:13" x14ac:dyDescent="0.25">
      <c r="A221" s="5">
        <v>42076</v>
      </c>
      <c r="B221" s="4">
        <v>1.6279999999999999</v>
      </c>
      <c r="C221" s="12">
        <f t="shared" si="15"/>
        <v>-5.677867902665127E-2</v>
      </c>
      <c r="E221" s="37">
        <v>42076</v>
      </c>
      <c r="F221" s="38">
        <v>1.8180000000000001</v>
      </c>
      <c r="G221" s="38">
        <f t="shared" si="16"/>
        <v>-4.7169811320754644E-2</v>
      </c>
      <c r="H221" s="7">
        <v>1.798</v>
      </c>
      <c r="I221" s="15">
        <f t="shared" si="17"/>
        <v>-4.8173636844891461E-2</v>
      </c>
      <c r="J221" s="10">
        <v>1.8140000000000001</v>
      </c>
      <c r="K221" s="12">
        <f t="shared" si="18"/>
        <v>-4.7769028871391062E-2</v>
      </c>
      <c r="L221" s="10">
        <v>1.7829999999999999</v>
      </c>
      <c r="M221" s="12">
        <f t="shared" si="19"/>
        <v>-4.7542735042735144E-2</v>
      </c>
    </row>
    <row r="222" spans="1:13" x14ac:dyDescent="0.25">
      <c r="A222" s="5">
        <v>42083</v>
      </c>
      <c r="B222" s="4">
        <v>1.575</v>
      </c>
      <c r="C222" s="12">
        <f t="shared" si="15"/>
        <v>-3.2555282555282519E-2</v>
      </c>
      <c r="E222" s="37">
        <v>42083</v>
      </c>
      <c r="F222" s="38">
        <v>1.766</v>
      </c>
      <c r="G222" s="38">
        <f t="shared" si="16"/>
        <v>-2.8602860286028629E-2</v>
      </c>
      <c r="H222" s="7">
        <v>1.7470000000000001</v>
      </c>
      <c r="I222" s="15">
        <f t="shared" si="17"/>
        <v>-2.8364849833147906E-2</v>
      </c>
      <c r="J222" s="10">
        <v>1.7629999999999999</v>
      </c>
      <c r="K222" s="12">
        <f t="shared" si="18"/>
        <v>-2.8114663726571201E-2</v>
      </c>
      <c r="L222" s="10">
        <v>1.732</v>
      </c>
      <c r="M222" s="12">
        <f t="shared" si="19"/>
        <v>-2.8603477285473886E-2</v>
      </c>
    </row>
    <row r="223" spans="1:13" x14ac:dyDescent="0.25">
      <c r="A223" s="5">
        <v>42090</v>
      </c>
      <c r="B223" s="4">
        <v>1.6539999999999999</v>
      </c>
      <c r="C223" s="12">
        <f t="shared" si="15"/>
        <v>5.0158730158730132E-2</v>
      </c>
      <c r="E223" s="37">
        <v>42090</v>
      </c>
      <c r="F223" s="38">
        <v>1.8240000000000001</v>
      </c>
      <c r="G223" s="38">
        <f t="shared" si="16"/>
        <v>3.2842582106455298E-2</v>
      </c>
      <c r="H223" s="7">
        <v>1.8069999999999999</v>
      </c>
      <c r="I223" s="15">
        <f t="shared" si="17"/>
        <v>3.4344590726960403E-2</v>
      </c>
      <c r="J223" s="10">
        <v>1.823</v>
      </c>
      <c r="K223" s="12">
        <f t="shared" si="18"/>
        <v>3.4032898468519604E-2</v>
      </c>
      <c r="L223" s="10">
        <v>1.7909999999999999</v>
      </c>
      <c r="M223" s="12">
        <f t="shared" si="19"/>
        <v>3.4064665127020749E-2</v>
      </c>
    </row>
    <row r="224" spans="1:13" x14ac:dyDescent="0.25">
      <c r="A224" s="5">
        <v>42097</v>
      </c>
      <c r="B224" s="4">
        <v>1.633</v>
      </c>
      <c r="C224" s="12">
        <f t="shared" si="15"/>
        <v>-1.2696493349455809E-2</v>
      </c>
      <c r="E224" s="37">
        <v>42097</v>
      </c>
      <c r="F224" s="38">
        <v>1.7929999999999999</v>
      </c>
      <c r="G224" s="38">
        <f t="shared" si="16"/>
        <v>-1.6995614035087793E-2</v>
      </c>
      <c r="H224" s="7">
        <v>1.772</v>
      </c>
      <c r="I224" s="15">
        <f t="shared" si="17"/>
        <v>-1.9369120088544505E-2</v>
      </c>
      <c r="J224" s="10">
        <v>1.784</v>
      </c>
      <c r="K224" s="12">
        <f t="shared" si="18"/>
        <v>-2.1393307734503524E-2</v>
      </c>
      <c r="L224" s="10">
        <v>1.7569999999999999</v>
      </c>
      <c r="M224" s="12">
        <f t="shared" si="19"/>
        <v>-1.8983807928531566E-2</v>
      </c>
    </row>
    <row r="225" spans="1:13" x14ac:dyDescent="0.25">
      <c r="A225" s="5">
        <v>42104</v>
      </c>
      <c r="B225" s="4">
        <v>1.716</v>
      </c>
      <c r="C225" s="12">
        <f t="shared" si="15"/>
        <v>5.0826699326393117E-2</v>
      </c>
      <c r="E225" s="37">
        <v>42104</v>
      </c>
      <c r="F225" s="38">
        <v>1.802</v>
      </c>
      <c r="G225" s="38">
        <f t="shared" si="16"/>
        <v>5.0195203569437363E-3</v>
      </c>
      <c r="H225" s="7">
        <v>1.7909999999999999</v>
      </c>
      <c r="I225" s="15">
        <f t="shared" si="17"/>
        <v>1.0722347629796786E-2</v>
      </c>
      <c r="J225" s="10">
        <v>1.7989999999999999</v>
      </c>
      <c r="K225" s="12">
        <f t="shared" si="18"/>
        <v>8.4080717488788682E-3</v>
      </c>
      <c r="L225" s="10">
        <v>1.7769999999999999</v>
      </c>
      <c r="M225" s="12">
        <f t="shared" si="19"/>
        <v>1.1383039271485497E-2</v>
      </c>
    </row>
    <row r="226" spans="1:13" x14ac:dyDescent="0.25">
      <c r="A226" s="5">
        <v>42111</v>
      </c>
      <c r="B226" s="4">
        <v>1.7769999999999999</v>
      </c>
      <c r="C226" s="12">
        <f t="shared" si="15"/>
        <v>3.5547785547785517E-2</v>
      </c>
      <c r="E226" s="37">
        <v>42111</v>
      </c>
      <c r="F226" s="38">
        <v>1.8879999999999999</v>
      </c>
      <c r="G226" s="38">
        <f t="shared" si="16"/>
        <v>4.7724750277469398E-2</v>
      </c>
      <c r="H226" s="7">
        <v>1.885</v>
      </c>
      <c r="I226" s="15">
        <f t="shared" si="17"/>
        <v>5.2484645449469618E-2</v>
      </c>
      <c r="J226" s="10">
        <v>1.891</v>
      </c>
      <c r="K226" s="12">
        <f t="shared" si="18"/>
        <v>5.1139521956642627E-2</v>
      </c>
      <c r="L226" s="10">
        <v>1.869</v>
      </c>
      <c r="M226" s="12">
        <f t="shared" si="19"/>
        <v>5.1772650534608937E-2</v>
      </c>
    </row>
    <row r="227" spans="1:13" x14ac:dyDescent="0.25">
      <c r="A227" s="5">
        <v>42118</v>
      </c>
      <c r="B227" s="4">
        <v>1.847</v>
      </c>
      <c r="C227" s="12">
        <f t="shared" si="15"/>
        <v>3.9392234102419849E-2</v>
      </c>
      <c r="E227" s="37">
        <v>42118</v>
      </c>
      <c r="F227" s="38">
        <v>1.95</v>
      </c>
      <c r="G227" s="38">
        <f t="shared" si="16"/>
        <v>3.2838983050847488E-2</v>
      </c>
      <c r="H227" s="7">
        <v>1.9410000000000001</v>
      </c>
      <c r="I227" s="15">
        <f t="shared" si="17"/>
        <v>2.9708222811671115E-2</v>
      </c>
      <c r="J227" s="10">
        <v>1.9510000000000001</v>
      </c>
      <c r="K227" s="12">
        <f t="shared" si="18"/>
        <v>3.1729243786356456E-2</v>
      </c>
      <c r="L227" s="10">
        <v>1.923</v>
      </c>
      <c r="M227" s="12">
        <f t="shared" si="19"/>
        <v>2.8892455858748018E-2</v>
      </c>
    </row>
    <row r="228" spans="1:13" x14ac:dyDescent="0.25">
      <c r="A228" s="5">
        <v>42125</v>
      </c>
      <c r="B228" s="4">
        <v>1.9239999999999999</v>
      </c>
      <c r="C228" s="12">
        <f t="shared" si="15"/>
        <v>4.1689225771521364E-2</v>
      </c>
      <c r="E228" s="37">
        <v>42125</v>
      </c>
      <c r="F228" s="38">
        <v>2.0249999999999999</v>
      </c>
      <c r="G228" s="38">
        <f t="shared" si="16"/>
        <v>3.8461538461538443E-2</v>
      </c>
      <c r="H228" s="7">
        <v>2.0009999999999999</v>
      </c>
      <c r="I228" s="15">
        <f t="shared" si="17"/>
        <v>3.0911901081916451E-2</v>
      </c>
      <c r="J228" s="10">
        <v>2.0179999999999998</v>
      </c>
      <c r="K228" s="12">
        <f t="shared" si="18"/>
        <v>3.4341363403382737E-2</v>
      </c>
      <c r="L228" s="10">
        <v>1.9790000000000001</v>
      </c>
      <c r="M228" s="12">
        <f t="shared" si="19"/>
        <v>2.912116484659389E-2</v>
      </c>
    </row>
    <row r="229" spans="1:13" x14ac:dyDescent="0.25">
      <c r="A229" s="5">
        <v>42132</v>
      </c>
      <c r="B229" s="4">
        <v>1.9219999999999999</v>
      </c>
      <c r="C229" s="12">
        <f t="shared" si="15"/>
        <v>-1.0395010395010404E-3</v>
      </c>
      <c r="E229" s="37">
        <v>42132</v>
      </c>
      <c r="F229" s="38">
        <v>2.0230000000000001</v>
      </c>
      <c r="G229" s="38">
        <f t="shared" si="16"/>
        <v>-9.8765432098754549E-4</v>
      </c>
      <c r="H229" s="7">
        <v>1.9970000000000001</v>
      </c>
      <c r="I229" s="15">
        <f t="shared" si="17"/>
        <v>-1.999000499750016E-3</v>
      </c>
      <c r="J229" s="10">
        <v>2.0150000000000001</v>
      </c>
      <c r="K229" s="12">
        <f t="shared" si="18"/>
        <v>-1.486620416253553E-3</v>
      </c>
      <c r="L229" s="10">
        <v>1.9730000000000001</v>
      </c>
      <c r="M229" s="12">
        <f t="shared" si="19"/>
        <v>-3.0318342597271375E-3</v>
      </c>
    </row>
    <row r="230" spans="1:13" x14ac:dyDescent="0.25">
      <c r="A230" s="5">
        <v>42139</v>
      </c>
      <c r="B230" s="4">
        <v>1.9370000000000001</v>
      </c>
      <c r="C230" s="12">
        <f t="shared" si="15"/>
        <v>7.804370447450637E-3</v>
      </c>
      <c r="E230" s="37">
        <v>42139</v>
      </c>
      <c r="F230" s="38">
        <v>2.036</v>
      </c>
      <c r="G230" s="38">
        <f t="shared" si="16"/>
        <v>6.4260998517053384E-3</v>
      </c>
      <c r="H230" s="7">
        <v>2.008</v>
      </c>
      <c r="I230" s="15">
        <f t="shared" si="17"/>
        <v>5.5082623935903347E-3</v>
      </c>
      <c r="J230" s="10">
        <v>2.0270000000000001</v>
      </c>
      <c r="K230" s="12">
        <f t="shared" si="18"/>
        <v>5.9553349875930573E-3</v>
      </c>
      <c r="L230" s="10">
        <v>1.982</v>
      </c>
      <c r="M230" s="12">
        <f t="shared" si="19"/>
        <v>4.561581348200657E-3</v>
      </c>
    </row>
    <row r="231" spans="1:13" x14ac:dyDescent="0.25">
      <c r="A231" s="5">
        <v>42146</v>
      </c>
      <c r="B231" s="4">
        <v>1.96</v>
      </c>
      <c r="C231" s="12">
        <f t="shared" si="15"/>
        <v>1.1874032008260149E-2</v>
      </c>
      <c r="E231" s="37">
        <v>42146</v>
      </c>
      <c r="F231" s="38">
        <v>2.0430000000000001</v>
      </c>
      <c r="G231" s="38">
        <f t="shared" si="16"/>
        <v>3.4381139489195072E-3</v>
      </c>
      <c r="H231" s="7">
        <v>2.0049999999999999</v>
      </c>
      <c r="I231" s="15">
        <f t="shared" si="17"/>
        <v>-1.4940239043825267E-3</v>
      </c>
      <c r="J231" s="10">
        <v>2.0299999999999998</v>
      </c>
      <c r="K231" s="12">
        <f t="shared" si="18"/>
        <v>1.4800197335962848E-3</v>
      </c>
      <c r="L231" s="10">
        <v>1.974</v>
      </c>
      <c r="M231" s="12">
        <f t="shared" si="19"/>
        <v>-4.0363269424823446E-3</v>
      </c>
    </row>
    <row r="232" spans="1:13" x14ac:dyDescent="0.25">
      <c r="A232" s="5">
        <v>42153</v>
      </c>
      <c r="B232" s="4">
        <v>1.93</v>
      </c>
      <c r="C232" s="12">
        <f t="shared" si="15"/>
        <v>-1.5306122448979605E-2</v>
      </c>
      <c r="E232" s="37">
        <v>42153</v>
      </c>
      <c r="F232" s="38">
        <v>2.0030000000000001</v>
      </c>
      <c r="G232" s="38">
        <f t="shared" si="16"/>
        <v>-1.9579050416054837E-2</v>
      </c>
      <c r="H232" s="7">
        <v>1.96</v>
      </c>
      <c r="I232" s="15">
        <f t="shared" si="17"/>
        <v>-2.244389027431418E-2</v>
      </c>
      <c r="J232" s="10">
        <v>1.9870000000000001</v>
      </c>
      <c r="K232" s="12">
        <f t="shared" si="18"/>
        <v>-2.1182266009852072E-2</v>
      </c>
      <c r="L232" s="10">
        <v>1.9279999999999999</v>
      </c>
      <c r="M232" s="12">
        <f t="shared" si="19"/>
        <v>-2.330293819655524E-2</v>
      </c>
    </row>
    <row r="233" spans="1:13" x14ac:dyDescent="0.25">
      <c r="A233" s="5">
        <v>42160</v>
      </c>
      <c r="B233" s="4">
        <v>1.9750000000000001</v>
      </c>
      <c r="C233" s="12">
        <f t="shared" si="15"/>
        <v>2.3316062176165882E-2</v>
      </c>
      <c r="E233" s="37">
        <v>42160</v>
      </c>
      <c r="F233" s="38">
        <v>2.0329999999999999</v>
      </c>
      <c r="G233" s="38">
        <f t="shared" si="16"/>
        <v>1.4977533699450726E-2</v>
      </c>
      <c r="H233" s="7">
        <v>1.96</v>
      </c>
      <c r="I233" s="15">
        <f t="shared" si="17"/>
        <v>0</v>
      </c>
      <c r="J233" s="10">
        <v>1.9990000000000001</v>
      </c>
      <c r="K233" s="12">
        <f t="shared" si="18"/>
        <v>6.039255158530453E-3</v>
      </c>
      <c r="L233" s="10">
        <v>1.7989999999999999</v>
      </c>
      <c r="M233" s="12">
        <f t="shared" si="19"/>
        <v>-6.6908713692946056E-2</v>
      </c>
    </row>
    <row r="234" spans="1:13" x14ac:dyDescent="0.25">
      <c r="A234" s="5">
        <v>42167</v>
      </c>
      <c r="B234" s="4">
        <v>2.0409999999999999</v>
      </c>
      <c r="C234" s="12">
        <f t="shared" si="15"/>
        <v>3.341772151898726E-2</v>
      </c>
      <c r="E234" s="37">
        <v>42167</v>
      </c>
      <c r="F234" s="38">
        <v>2.0979999999999999</v>
      </c>
      <c r="G234" s="38">
        <f t="shared" si="16"/>
        <v>3.1972454500737803E-2</v>
      </c>
      <c r="H234" s="7">
        <v>2.0099999999999998</v>
      </c>
      <c r="I234" s="15">
        <f t="shared" si="17"/>
        <v>2.5510204081632563E-2</v>
      </c>
      <c r="J234" s="10">
        <v>2.0569999999999999</v>
      </c>
      <c r="K234" s="12">
        <f t="shared" si="18"/>
        <v>2.9014507253626726E-2</v>
      </c>
      <c r="L234" s="10">
        <v>1.8440000000000001</v>
      </c>
      <c r="M234" s="12">
        <f t="shared" si="19"/>
        <v>2.5013896609227433E-2</v>
      </c>
    </row>
    <row r="235" spans="1:13" x14ac:dyDescent="0.25">
      <c r="A235" s="5">
        <v>42174</v>
      </c>
      <c r="B235" s="4">
        <v>2.0489999999999999</v>
      </c>
      <c r="C235" s="12">
        <f t="shared" si="15"/>
        <v>3.919647231749146E-3</v>
      </c>
      <c r="E235" s="37">
        <v>42174</v>
      </c>
      <c r="F235" s="38">
        <v>2.0990000000000002</v>
      </c>
      <c r="G235" s="38">
        <f t="shared" si="16"/>
        <v>4.7664442326040706E-4</v>
      </c>
      <c r="H235" s="7">
        <v>2.0099999999999998</v>
      </c>
      <c r="I235" s="15">
        <f t="shared" si="17"/>
        <v>0</v>
      </c>
      <c r="J235" s="10">
        <v>2.0579999999999998</v>
      </c>
      <c r="K235" s="12">
        <f t="shared" si="18"/>
        <v>4.8614487117155562E-4</v>
      </c>
      <c r="L235" s="10">
        <v>1.8380000000000001</v>
      </c>
      <c r="M235" s="12">
        <f t="shared" si="19"/>
        <v>-3.2537960954446884E-3</v>
      </c>
    </row>
    <row r="236" spans="1:13" x14ac:dyDescent="0.25">
      <c r="A236" s="5">
        <v>42181</v>
      </c>
      <c r="B236" s="4">
        <v>1.976</v>
      </c>
      <c r="C236" s="12">
        <f t="shared" si="15"/>
        <v>-3.5627135187896515E-2</v>
      </c>
      <c r="E236" s="37">
        <v>42181</v>
      </c>
      <c r="F236" s="38">
        <v>2.0489999999999999</v>
      </c>
      <c r="G236" s="38">
        <f t="shared" si="16"/>
        <v>-2.3820867079561821E-2</v>
      </c>
      <c r="H236" s="7">
        <v>1.976</v>
      </c>
      <c r="I236" s="15">
        <f t="shared" si="17"/>
        <v>-1.6915422885572046E-2</v>
      </c>
      <c r="J236" s="10">
        <v>2.0190000000000001</v>
      </c>
      <c r="K236" s="12">
        <f t="shared" si="18"/>
        <v>-1.8950437317784112E-2</v>
      </c>
      <c r="L236" s="10">
        <v>1.8109999999999999</v>
      </c>
      <c r="M236" s="12">
        <f t="shared" si="19"/>
        <v>-1.4689880304679073E-2</v>
      </c>
    </row>
    <row r="237" spans="1:13" x14ac:dyDescent="0.25">
      <c r="A237" s="5">
        <v>42188</v>
      </c>
      <c r="B237" s="4">
        <v>1.958</v>
      </c>
      <c r="C237" s="12">
        <f t="shared" si="15"/>
        <v>-9.1093117408906962E-3</v>
      </c>
      <c r="E237" s="37">
        <v>42188</v>
      </c>
      <c r="F237" s="38">
        <v>2.04</v>
      </c>
      <c r="G237" s="38">
        <f t="shared" si="16"/>
        <v>-4.3923865300145911E-3</v>
      </c>
      <c r="H237" s="7">
        <v>1.881</v>
      </c>
      <c r="I237" s="15">
        <f t="shared" si="17"/>
        <v>-4.8076923076923066E-2</v>
      </c>
      <c r="J237" s="10">
        <v>1.9990000000000001</v>
      </c>
      <c r="K237" s="12">
        <f t="shared" si="18"/>
        <v>-9.905894006934134E-3</v>
      </c>
      <c r="L237" s="10">
        <v>1.766</v>
      </c>
      <c r="M237" s="12">
        <f t="shared" si="19"/>
        <v>-2.4848150193263353E-2</v>
      </c>
    </row>
    <row r="238" spans="1:13" x14ac:dyDescent="0.25">
      <c r="A238" s="5">
        <v>42195</v>
      </c>
      <c r="B238" s="4">
        <v>1.952</v>
      </c>
      <c r="C238" s="12">
        <f t="shared" si="15"/>
        <v>-3.0643513789581234E-3</v>
      </c>
      <c r="E238" s="37">
        <v>42195</v>
      </c>
      <c r="F238" s="38">
        <v>1.9870000000000001</v>
      </c>
      <c r="G238" s="38">
        <f t="shared" si="16"/>
        <v>-2.5980392156862712E-2</v>
      </c>
      <c r="H238" s="7">
        <v>1.696</v>
      </c>
      <c r="I238" s="15">
        <f t="shared" si="17"/>
        <v>-9.8351940457203649E-2</v>
      </c>
      <c r="J238" s="10">
        <v>1.9079999999999999</v>
      </c>
      <c r="K238" s="12">
        <f t="shared" si="18"/>
        <v>-4.5522761380690439E-2</v>
      </c>
      <c r="L238" s="10">
        <v>1.629</v>
      </c>
      <c r="M238" s="12">
        <f t="shared" si="19"/>
        <v>-7.7576443941109852E-2</v>
      </c>
    </row>
    <row r="239" spans="1:13" x14ac:dyDescent="0.25">
      <c r="A239" s="5">
        <v>42202</v>
      </c>
      <c r="B239" s="4">
        <v>1.8560000000000001</v>
      </c>
      <c r="C239" s="12">
        <f t="shared" si="15"/>
        <v>-4.9180327868852389E-2</v>
      </c>
      <c r="E239" s="37">
        <v>42202</v>
      </c>
      <c r="F239" s="38">
        <v>1.911</v>
      </c>
      <c r="G239" s="38">
        <f t="shared" si="16"/>
        <v>-3.8248616004026202E-2</v>
      </c>
      <c r="H239" s="7">
        <v>1.655</v>
      </c>
      <c r="I239" s="15">
        <f t="shared" si="17"/>
        <v>-2.4174528301886749E-2</v>
      </c>
      <c r="J239" s="10">
        <v>1.855</v>
      </c>
      <c r="K239" s="12">
        <f t="shared" si="18"/>
        <v>-2.7777777777777745E-2</v>
      </c>
      <c r="L239" s="10">
        <v>1.5980000000000001</v>
      </c>
      <c r="M239" s="12">
        <f t="shared" si="19"/>
        <v>-1.9030079803560414E-2</v>
      </c>
    </row>
    <row r="240" spans="1:13" x14ac:dyDescent="0.25">
      <c r="A240" s="5">
        <v>42209</v>
      </c>
      <c r="B240" s="4">
        <v>1.823</v>
      </c>
      <c r="C240" s="12">
        <f t="shared" si="15"/>
        <v>-1.7780172413793177E-2</v>
      </c>
      <c r="E240" s="37">
        <v>42209</v>
      </c>
      <c r="F240" s="38">
        <v>1.88</v>
      </c>
      <c r="G240" s="38">
        <f t="shared" si="16"/>
        <v>-1.622187336473058E-2</v>
      </c>
      <c r="H240" s="7">
        <v>1.6339999999999999</v>
      </c>
      <c r="I240" s="15">
        <f t="shared" si="17"/>
        <v>-1.268882175226594E-2</v>
      </c>
      <c r="J240" s="10">
        <v>1.833</v>
      </c>
      <c r="K240" s="12">
        <f t="shared" si="18"/>
        <v>-1.1859838274932625E-2</v>
      </c>
      <c r="L240" s="10">
        <v>1.5720000000000001</v>
      </c>
      <c r="M240" s="12">
        <f t="shared" si="19"/>
        <v>-1.6270337922403018E-2</v>
      </c>
    </row>
    <row r="241" spans="1:13" x14ac:dyDescent="0.25">
      <c r="A241" s="5">
        <v>42216</v>
      </c>
      <c r="B241" s="4">
        <v>1.7470000000000001</v>
      </c>
      <c r="C241" s="12">
        <f t="shared" si="15"/>
        <v>-4.1689522764673533E-2</v>
      </c>
      <c r="E241" s="37">
        <v>42216</v>
      </c>
      <c r="F241" s="38">
        <v>1.823</v>
      </c>
      <c r="G241" s="38">
        <f t="shared" si="16"/>
        <v>-3.0319148936170184E-2</v>
      </c>
      <c r="H241" s="7">
        <v>1.569</v>
      </c>
      <c r="I241" s="15">
        <f t="shared" si="17"/>
        <v>-3.9779681762545871E-2</v>
      </c>
      <c r="J241" s="10">
        <v>1.762</v>
      </c>
      <c r="K241" s="12">
        <f t="shared" si="18"/>
        <v>-3.8734315330059985E-2</v>
      </c>
      <c r="L241" s="10">
        <v>1.5089999999999999</v>
      </c>
      <c r="M241" s="12">
        <f t="shared" si="19"/>
        <v>-4.0076335877862697E-2</v>
      </c>
    </row>
    <row r="242" spans="1:13" x14ac:dyDescent="0.25">
      <c r="A242" s="5">
        <v>42223</v>
      </c>
      <c r="B242" s="4">
        <v>1.6950000000000001</v>
      </c>
      <c r="C242" s="12">
        <f t="shared" si="15"/>
        <v>-2.9765311963365796E-2</v>
      </c>
      <c r="E242" s="37">
        <v>42223</v>
      </c>
      <c r="F242" s="38">
        <v>1.66</v>
      </c>
      <c r="G242" s="38">
        <f t="shared" si="16"/>
        <v>-8.9413055403181591E-2</v>
      </c>
      <c r="H242" s="7">
        <v>1.4279999999999999</v>
      </c>
      <c r="I242" s="15">
        <f t="shared" si="17"/>
        <v>-8.9866156787762913E-2</v>
      </c>
      <c r="J242" s="10">
        <v>1.484</v>
      </c>
      <c r="K242" s="12">
        <f t="shared" si="18"/>
        <v>-0.15777525539160048</v>
      </c>
      <c r="L242" s="10">
        <v>1.397</v>
      </c>
      <c r="M242" s="12">
        <f t="shared" si="19"/>
        <v>-7.4221338634857442E-2</v>
      </c>
    </row>
    <row r="243" spans="1:13" x14ac:dyDescent="0.25">
      <c r="A243" s="5">
        <v>42230</v>
      </c>
      <c r="B243" s="4">
        <v>1.724</v>
      </c>
      <c r="C243" s="12">
        <f t="shared" si="15"/>
        <v>1.7109144542772809E-2</v>
      </c>
      <c r="E243" s="37">
        <v>42230</v>
      </c>
      <c r="F243" s="38">
        <v>1.71</v>
      </c>
      <c r="G243" s="38">
        <f t="shared" si="16"/>
        <v>3.0120481927710871E-2</v>
      </c>
      <c r="H243" s="7">
        <v>1.4550000000000001</v>
      </c>
      <c r="I243" s="15">
        <f t="shared" si="17"/>
        <v>1.890756302521018E-2</v>
      </c>
      <c r="J243" s="10">
        <v>1.52</v>
      </c>
      <c r="K243" s="12">
        <f t="shared" si="18"/>
        <v>2.4258760107816732E-2</v>
      </c>
      <c r="L243" s="10">
        <v>1.415</v>
      </c>
      <c r="M243" s="12">
        <f t="shared" si="19"/>
        <v>1.2884753042233368E-2</v>
      </c>
    </row>
    <row r="244" spans="1:13" x14ac:dyDescent="0.25">
      <c r="A244" s="5">
        <v>42237</v>
      </c>
      <c r="B244" s="4">
        <v>1.593</v>
      </c>
      <c r="C244" s="12">
        <f t="shared" si="15"/>
        <v>-7.5986078886310912E-2</v>
      </c>
      <c r="E244" s="37">
        <v>42237</v>
      </c>
      <c r="F244" s="38">
        <v>1.5880000000000001</v>
      </c>
      <c r="G244" s="38">
        <f t="shared" si="16"/>
        <v>-7.1345029239766017E-2</v>
      </c>
      <c r="H244" s="7">
        <v>1.3819999999999999</v>
      </c>
      <c r="I244" s="15">
        <f t="shared" si="17"/>
        <v>-5.0171821305842045E-2</v>
      </c>
      <c r="J244" s="10">
        <v>1.4339999999999999</v>
      </c>
      <c r="K244" s="12">
        <f t="shared" si="18"/>
        <v>-5.6578947368421104E-2</v>
      </c>
      <c r="L244" s="10">
        <v>1.347</v>
      </c>
      <c r="M244" s="12">
        <f t="shared" si="19"/>
        <v>-4.805653710247354E-2</v>
      </c>
    </row>
    <row r="245" spans="1:13" x14ac:dyDescent="0.25">
      <c r="A245" s="5">
        <v>42244</v>
      </c>
      <c r="B245" s="4">
        <v>1.4630000000000001</v>
      </c>
      <c r="C245" s="12">
        <f t="shared" si="15"/>
        <v>-8.1607030759573068E-2</v>
      </c>
      <c r="E245" s="37">
        <v>42244</v>
      </c>
      <c r="F245" s="38">
        <v>1.4490000000000001</v>
      </c>
      <c r="G245" s="38">
        <f t="shared" si="16"/>
        <v>-8.7531486146095724E-2</v>
      </c>
      <c r="H245" s="7">
        <v>1.2769999999999999</v>
      </c>
      <c r="I245" s="15">
        <f t="shared" si="17"/>
        <v>-7.5976845151953687E-2</v>
      </c>
      <c r="J245" s="10">
        <v>1.3120000000000001</v>
      </c>
      <c r="K245" s="12">
        <f t="shared" si="18"/>
        <v>-8.5076708507670781E-2</v>
      </c>
      <c r="L245" s="10">
        <v>1.252</v>
      </c>
      <c r="M245" s="12">
        <f t="shared" si="19"/>
        <v>-7.0527097253155147E-2</v>
      </c>
    </row>
    <row r="246" spans="1:13" x14ac:dyDescent="0.25">
      <c r="A246" s="5">
        <v>42251</v>
      </c>
      <c r="B246" s="4">
        <v>1.538</v>
      </c>
      <c r="C246" s="12">
        <f t="shared" si="15"/>
        <v>5.1264524948735443E-2</v>
      </c>
      <c r="E246" s="37">
        <v>42251</v>
      </c>
      <c r="F246" s="38">
        <v>1.4630000000000001</v>
      </c>
      <c r="G246" s="38">
        <f t="shared" si="16"/>
        <v>9.6618357487922787E-3</v>
      </c>
      <c r="H246" s="7">
        <v>1.393</v>
      </c>
      <c r="I246" s="15">
        <f t="shared" si="17"/>
        <v>9.0837901331245197E-2</v>
      </c>
      <c r="J246" s="10">
        <v>1.4139999999999999</v>
      </c>
      <c r="K246" s="12">
        <f t="shared" si="18"/>
        <v>7.7743902439024293E-2</v>
      </c>
      <c r="L246" s="10">
        <v>1.391</v>
      </c>
      <c r="M246" s="12">
        <f t="shared" si="19"/>
        <v>0.11102236421725241</v>
      </c>
    </row>
    <row r="247" spans="1:13" x14ac:dyDescent="0.25">
      <c r="A247" s="5">
        <v>42258</v>
      </c>
      <c r="B247" s="4">
        <v>1.49</v>
      </c>
      <c r="C247" s="12">
        <f t="shared" si="15"/>
        <v>-3.1209362808842681E-2</v>
      </c>
      <c r="E247" s="37">
        <v>42258</v>
      </c>
      <c r="F247" s="38">
        <v>1.381</v>
      </c>
      <c r="G247" s="38">
        <f t="shared" si="16"/>
        <v>-5.6049213943950835E-2</v>
      </c>
      <c r="H247" s="7">
        <v>1.345</v>
      </c>
      <c r="I247" s="15">
        <f t="shared" si="17"/>
        <v>-3.4458004307250566E-2</v>
      </c>
      <c r="J247" s="10">
        <v>1.3640000000000001</v>
      </c>
      <c r="K247" s="12">
        <f t="shared" si="18"/>
        <v>-3.5360678925035235E-2</v>
      </c>
      <c r="L247" s="10">
        <v>1.349</v>
      </c>
      <c r="M247" s="12">
        <f t="shared" si="19"/>
        <v>-3.0194104960460127E-2</v>
      </c>
    </row>
    <row r="248" spans="1:13" x14ac:dyDescent="0.25">
      <c r="A248" s="5">
        <v>42265</v>
      </c>
      <c r="B248" s="4">
        <v>1.431</v>
      </c>
      <c r="C248" s="12">
        <f t="shared" si="15"/>
        <v>-3.9597315436241572E-2</v>
      </c>
      <c r="E248" s="37">
        <v>42265</v>
      </c>
      <c r="F248" s="38">
        <v>1.35</v>
      </c>
      <c r="G248" s="38">
        <f t="shared" si="16"/>
        <v>-2.2447501810282343E-2</v>
      </c>
      <c r="H248" s="7">
        <v>1.319</v>
      </c>
      <c r="I248" s="15">
        <f t="shared" si="17"/>
        <v>-1.9330855018587379E-2</v>
      </c>
      <c r="J248" s="10">
        <v>1.3380000000000001</v>
      </c>
      <c r="K248" s="12">
        <f t="shared" si="18"/>
        <v>-1.9061583577712624E-2</v>
      </c>
      <c r="L248" s="10">
        <v>1.321</v>
      </c>
      <c r="M248" s="12">
        <f t="shared" si="19"/>
        <v>-2.0756115641215735E-2</v>
      </c>
    </row>
    <row r="249" spans="1:13" x14ac:dyDescent="0.25">
      <c r="A249" s="5">
        <v>42272</v>
      </c>
      <c r="B249" s="4">
        <v>1.446</v>
      </c>
      <c r="C249" s="12">
        <f t="shared" si="15"/>
        <v>1.0482180293500979E-2</v>
      </c>
      <c r="E249" s="37">
        <v>42272</v>
      </c>
      <c r="F249" s="38">
        <v>1.3919999999999999</v>
      </c>
      <c r="G249" s="38">
        <f t="shared" si="16"/>
        <v>3.1111111111110971E-2</v>
      </c>
      <c r="H249" s="7">
        <v>1.35</v>
      </c>
      <c r="I249" s="15">
        <f t="shared" si="17"/>
        <v>2.3502653525398133E-2</v>
      </c>
      <c r="J249" s="10">
        <v>1.375</v>
      </c>
      <c r="K249" s="12">
        <f t="shared" si="18"/>
        <v>2.76532137518684E-2</v>
      </c>
      <c r="L249" s="10">
        <v>1.35</v>
      </c>
      <c r="M249" s="12">
        <f t="shared" si="19"/>
        <v>2.1953065859197683E-2</v>
      </c>
    </row>
    <row r="250" spans="1:13" x14ac:dyDescent="0.25">
      <c r="A250" s="5">
        <v>42279</v>
      </c>
      <c r="B250" s="4">
        <v>1.4179999999999999</v>
      </c>
      <c r="C250" s="12">
        <f t="shared" si="15"/>
        <v>-1.9363762102351332E-2</v>
      </c>
      <c r="E250" s="37">
        <v>42279</v>
      </c>
      <c r="F250" s="38">
        <v>1.3620000000000001</v>
      </c>
      <c r="G250" s="38">
        <f t="shared" si="16"/>
        <v>-2.1551724137930897E-2</v>
      </c>
      <c r="H250" s="7">
        <v>1.327</v>
      </c>
      <c r="I250" s="15">
        <f t="shared" si="17"/>
        <v>-1.7037037037037132E-2</v>
      </c>
      <c r="J250" s="10">
        <v>1.341</v>
      </c>
      <c r="K250" s="12">
        <f t="shared" si="18"/>
        <v>-2.472727272727275E-2</v>
      </c>
      <c r="L250" s="10">
        <v>1.3360000000000001</v>
      </c>
      <c r="M250" s="12">
        <f t="shared" si="19"/>
        <v>-1.0370370370370379E-2</v>
      </c>
    </row>
    <row r="251" spans="1:13" x14ac:dyDescent="0.25">
      <c r="A251" s="5">
        <v>42286</v>
      </c>
      <c r="B251" s="4">
        <v>1.4770000000000001</v>
      </c>
      <c r="C251" s="12">
        <f t="shared" si="15"/>
        <v>4.1607898448519157E-2</v>
      </c>
      <c r="E251" s="37">
        <v>42286</v>
      </c>
      <c r="F251" s="38">
        <v>1.407</v>
      </c>
      <c r="G251" s="38">
        <f t="shared" si="16"/>
        <v>3.3039647577092456E-2</v>
      </c>
      <c r="H251" s="7">
        <v>1.4</v>
      </c>
      <c r="I251" s="15">
        <f t="shared" si="17"/>
        <v>5.501130369253953E-2</v>
      </c>
      <c r="J251" s="10">
        <v>1.3939999999999999</v>
      </c>
      <c r="K251" s="12">
        <f t="shared" si="18"/>
        <v>3.9522744220730752E-2</v>
      </c>
      <c r="L251" s="10">
        <v>1.419</v>
      </c>
      <c r="M251" s="12">
        <f t="shared" si="19"/>
        <v>6.2125748502993981E-2</v>
      </c>
    </row>
    <row r="252" spans="1:13" x14ac:dyDescent="0.25">
      <c r="A252" s="5">
        <v>42293</v>
      </c>
      <c r="B252" s="4">
        <v>1.3819999999999999</v>
      </c>
      <c r="C252" s="12">
        <f t="shared" si="15"/>
        <v>-6.4319566689235066E-2</v>
      </c>
      <c r="E252" s="37">
        <v>42293</v>
      </c>
      <c r="F252" s="38">
        <v>1.3140000000000001</v>
      </c>
      <c r="G252" s="38">
        <f t="shared" si="16"/>
        <v>-6.6098081023454131E-2</v>
      </c>
      <c r="H252" s="7">
        <v>1.339</v>
      </c>
      <c r="I252" s="15">
        <f t="shared" si="17"/>
        <v>-4.3571428571428532E-2</v>
      </c>
      <c r="J252" s="10">
        <v>1.321</v>
      </c>
      <c r="K252" s="12">
        <f t="shared" si="18"/>
        <v>-5.2367288378766114E-2</v>
      </c>
      <c r="L252" s="10">
        <v>1.359</v>
      </c>
      <c r="M252" s="12">
        <f t="shared" si="19"/>
        <v>-4.228329809725162E-2</v>
      </c>
    </row>
    <row r="253" spans="1:13" x14ac:dyDescent="0.25">
      <c r="A253" s="5">
        <v>42300</v>
      </c>
      <c r="B253" s="4">
        <v>1.337</v>
      </c>
      <c r="C253" s="12">
        <f t="shared" si="15"/>
        <v>-3.256150506512296E-2</v>
      </c>
      <c r="E253" s="37">
        <v>42300</v>
      </c>
      <c r="F253" s="38">
        <v>1.331</v>
      </c>
      <c r="G253" s="38">
        <f t="shared" si="16"/>
        <v>1.2937595129375878E-2</v>
      </c>
      <c r="H253" s="7">
        <v>1.302</v>
      </c>
      <c r="I253" s="15">
        <f t="shared" si="17"/>
        <v>-2.7632561613144081E-2</v>
      </c>
      <c r="J253" s="10">
        <v>1.288</v>
      </c>
      <c r="K253" s="12">
        <f t="shared" si="18"/>
        <v>-2.4981074943224768E-2</v>
      </c>
      <c r="L253" s="10">
        <v>1.321</v>
      </c>
      <c r="M253" s="12">
        <f t="shared" si="19"/>
        <v>-2.796173657100812E-2</v>
      </c>
    </row>
    <row r="254" spans="1:13" x14ac:dyDescent="0.25">
      <c r="A254" s="5">
        <v>42307</v>
      </c>
      <c r="B254" s="4">
        <v>1.381</v>
      </c>
      <c r="C254" s="12">
        <f t="shared" si="15"/>
        <v>3.2909498878085294E-2</v>
      </c>
      <c r="E254" s="37">
        <v>42307</v>
      </c>
      <c r="F254" s="38">
        <v>1.3360000000000001</v>
      </c>
      <c r="G254" s="38">
        <f t="shared" si="16"/>
        <v>3.7565740045079755E-3</v>
      </c>
      <c r="H254" s="7">
        <v>1.3280000000000001</v>
      </c>
      <c r="I254" s="15">
        <f t="shared" si="17"/>
        <v>1.9969278033794179E-2</v>
      </c>
      <c r="J254" s="10">
        <v>1.3220000000000001</v>
      </c>
      <c r="K254" s="12">
        <f t="shared" si="18"/>
        <v>2.6397515527950333E-2</v>
      </c>
      <c r="L254" s="10">
        <v>1.345</v>
      </c>
      <c r="M254" s="12">
        <f t="shared" si="19"/>
        <v>1.816805450416353E-2</v>
      </c>
    </row>
    <row r="255" spans="1:13" x14ac:dyDescent="0.25">
      <c r="A255" s="5">
        <v>42314</v>
      </c>
      <c r="B255" s="4">
        <v>1.4490000000000001</v>
      </c>
      <c r="C255" s="12">
        <f t="shared" si="15"/>
        <v>4.9239681390296927E-2</v>
      </c>
      <c r="E255" s="37">
        <v>42314</v>
      </c>
      <c r="F255" s="38">
        <v>1.389</v>
      </c>
      <c r="G255" s="38">
        <f t="shared" si="16"/>
        <v>3.9670658682634682E-2</v>
      </c>
      <c r="H255" s="7">
        <v>1.387</v>
      </c>
      <c r="I255" s="15">
        <f t="shared" si="17"/>
        <v>4.442771084337345E-2</v>
      </c>
      <c r="J255" s="10">
        <v>1.3759999999999999</v>
      </c>
      <c r="K255" s="12">
        <f t="shared" si="18"/>
        <v>4.0847201210287308E-2</v>
      </c>
      <c r="L255" s="10">
        <v>1.4159999999999999</v>
      </c>
      <c r="M255" s="12">
        <f t="shared" si="19"/>
        <v>5.2788104089219294E-2</v>
      </c>
    </row>
    <row r="256" spans="1:13" x14ac:dyDescent="0.25">
      <c r="A256" s="5">
        <v>42321</v>
      </c>
      <c r="B256" s="4">
        <v>1.3720000000000001</v>
      </c>
      <c r="C256" s="12">
        <f t="shared" si="15"/>
        <v>-5.3140096618357453E-2</v>
      </c>
      <c r="E256" s="37">
        <v>42321</v>
      </c>
      <c r="F256" s="38">
        <v>1.3109999999999999</v>
      </c>
      <c r="G256" s="38">
        <f t="shared" si="16"/>
        <v>-5.6155507559395294E-2</v>
      </c>
      <c r="H256" s="7">
        <v>1.3120000000000001</v>
      </c>
      <c r="I256" s="15">
        <f t="shared" si="17"/>
        <v>-5.407354001441958E-2</v>
      </c>
      <c r="J256" s="10">
        <v>1.298</v>
      </c>
      <c r="K256" s="12">
        <f t="shared" si="18"/>
        <v>-5.66860465116278E-2</v>
      </c>
      <c r="L256" s="10">
        <v>1.3420000000000001</v>
      </c>
      <c r="M256" s="12">
        <f t="shared" si="19"/>
        <v>-5.2259887005649611E-2</v>
      </c>
    </row>
    <row r="257" spans="1:13" x14ac:dyDescent="0.25">
      <c r="A257" s="5">
        <v>42328</v>
      </c>
      <c r="B257" s="4">
        <v>1.3160000000000001</v>
      </c>
      <c r="C257" s="12">
        <f t="shared" si="15"/>
        <v>-4.0816326530612276E-2</v>
      </c>
      <c r="E257" s="37">
        <v>42328</v>
      </c>
      <c r="F257" s="38">
        <v>1.264</v>
      </c>
      <c r="G257" s="38">
        <f t="shared" si="16"/>
        <v>-3.5850495804729161E-2</v>
      </c>
      <c r="H257" s="7">
        <v>1.26</v>
      </c>
      <c r="I257" s="15">
        <f t="shared" si="17"/>
        <v>-3.963414634146345E-2</v>
      </c>
      <c r="J257" s="10">
        <v>1.2490000000000001</v>
      </c>
      <c r="K257" s="12">
        <f t="shared" si="18"/>
        <v>-3.7750385208012271E-2</v>
      </c>
      <c r="L257" s="10">
        <v>1.29</v>
      </c>
      <c r="M257" s="12">
        <f t="shared" si="19"/>
        <v>-3.8748137108792879E-2</v>
      </c>
    </row>
    <row r="258" spans="1:13" x14ac:dyDescent="0.25">
      <c r="A258" s="5">
        <v>42335</v>
      </c>
      <c r="B258" s="4">
        <v>1.371</v>
      </c>
      <c r="C258" s="12">
        <f t="shared" si="15"/>
        <v>4.1793313069908765E-2</v>
      </c>
      <c r="E258" s="37">
        <v>42335</v>
      </c>
      <c r="F258" s="38">
        <v>1.373</v>
      </c>
      <c r="G258" s="38">
        <f t="shared" si="16"/>
        <v>8.6234177215189861E-2</v>
      </c>
      <c r="H258" s="7">
        <v>1.337</v>
      </c>
      <c r="I258" s="15">
        <f t="shared" si="17"/>
        <v>6.1111111111111074E-2</v>
      </c>
      <c r="J258" s="10">
        <v>1.333</v>
      </c>
      <c r="K258" s="12">
        <f t="shared" si="18"/>
        <v>6.7253803042433821E-2</v>
      </c>
      <c r="L258" s="10">
        <v>1.3620000000000001</v>
      </c>
      <c r="M258" s="12">
        <f t="shared" si="19"/>
        <v>5.5813953488372141E-2</v>
      </c>
    </row>
    <row r="259" spans="1:13" x14ac:dyDescent="0.25">
      <c r="A259" s="5">
        <v>42342</v>
      </c>
      <c r="B259" s="4">
        <v>1.365</v>
      </c>
      <c r="C259" s="12">
        <f t="shared" si="15"/>
        <v>-4.3763676148796541E-3</v>
      </c>
      <c r="E259" s="37">
        <v>42342</v>
      </c>
      <c r="F259" s="38">
        <v>1.3160000000000001</v>
      </c>
      <c r="G259" s="38">
        <f t="shared" si="16"/>
        <v>-4.1514930808448612E-2</v>
      </c>
      <c r="H259" s="7">
        <v>1.335</v>
      </c>
      <c r="I259" s="15">
        <f t="shared" si="17"/>
        <v>-1.4958863126402406E-3</v>
      </c>
      <c r="J259" s="10">
        <v>1.3129999999999999</v>
      </c>
      <c r="K259" s="12">
        <f t="shared" si="18"/>
        <v>-1.5003750937734447E-2</v>
      </c>
      <c r="L259" s="10">
        <v>1.5149999999999999</v>
      </c>
      <c r="M259" s="12">
        <f t="shared" si="19"/>
        <v>0.11233480176211438</v>
      </c>
    </row>
    <row r="260" spans="1:13" x14ac:dyDescent="0.25">
      <c r="A260" s="5">
        <v>42349</v>
      </c>
      <c r="B260" s="4">
        <v>1.2490000000000001</v>
      </c>
      <c r="C260" s="12">
        <f t="shared" si="15"/>
        <v>-8.4981684981684902E-2</v>
      </c>
      <c r="E260" s="37">
        <v>42349</v>
      </c>
      <c r="F260" s="38">
        <v>1.2410000000000001</v>
      </c>
      <c r="G260" s="38">
        <f t="shared" si="16"/>
        <v>-5.6990881458966532E-2</v>
      </c>
      <c r="H260" s="7">
        <v>1.284</v>
      </c>
      <c r="I260" s="15">
        <f t="shared" si="17"/>
        <v>-3.8202247191011188E-2</v>
      </c>
      <c r="J260" s="10">
        <v>1.2549999999999999</v>
      </c>
      <c r="K260" s="12">
        <f t="shared" si="18"/>
        <v>-4.4173648134044216E-2</v>
      </c>
      <c r="L260" s="10">
        <v>1.504</v>
      </c>
      <c r="M260" s="12">
        <f t="shared" si="19"/>
        <v>-7.260726072607194E-3</v>
      </c>
    </row>
    <row r="261" spans="1:13" x14ac:dyDescent="0.25">
      <c r="A261" s="5">
        <v>42356</v>
      </c>
      <c r="B261" s="4">
        <v>1.2649999999999999</v>
      </c>
      <c r="C261" s="12">
        <f t="shared" ref="C261:C324" si="20">(B261-B260)/B260</f>
        <v>1.281024819855868E-2</v>
      </c>
      <c r="E261" s="37">
        <v>42356</v>
      </c>
      <c r="F261" s="38">
        <v>1.254</v>
      </c>
      <c r="G261" s="38">
        <f t="shared" ref="G261:G324" si="21">(F261-F260)/F260</f>
        <v>1.047542304593062E-2</v>
      </c>
      <c r="H261" s="7">
        <v>1.284</v>
      </c>
      <c r="I261" s="15">
        <f t="shared" ref="I261:I324" si="22">(H261-H260)/H260</f>
        <v>0</v>
      </c>
      <c r="J261" s="10">
        <v>1.26</v>
      </c>
      <c r="K261" s="12">
        <f t="shared" ref="K261:K324" si="23">(J261-J260)/J260</f>
        <v>3.9840637450200131E-3</v>
      </c>
      <c r="L261" s="10">
        <v>1.496</v>
      </c>
      <c r="M261" s="12">
        <f t="shared" ref="M261:M324" si="24">(L261-L260)/L260</f>
        <v>-5.3191489361702178E-3</v>
      </c>
    </row>
    <row r="262" spans="1:13" x14ac:dyDescent="0.25">
      <c r="A262" s="5">
        <v>42363</v>
      </c>
      <c r="B262" s="4">
        <v>1.2450000000000001</v>
      </c>
      <c r="C262" s="12">
        <f t="shared" si="20"/>
        <v>-1.5810276679841737E-2</v>
      </c>
      <c r="E262" s="37">
        <v>42363</v>
      </c>
      <c r="F262" s="38">
        <v>1.2230000000000001</v>
      </c>
      <c r="G262" s="38">
        <f t="shared" si="21"/>
        <v>-2.4720893141945706E-2</v>
      </c>
      <c r="H262" s="7">
        <v>1.2589999999999999</v>
      </c>
      <c r="I262" s="15">
        <f t="shared" si="22"/>
        <v>-1.9470404984423779E-2</v>
      </c>
      <c r="J262" s="10">
        <v>1.2330000000000001</v>
      </c>
      <c r="K262" s="12">
        <f t="shared" si="23"/>
        <v>-2.1428571428571359E-2</v>
      </c>
      <c r="L262" s="10">
        <v>1.4690000000000001</v>
      </c>
      <c r="M262" s="12">
        <f t="shared" si="24"/>
        <v>-1.804812834224593E-2</v>
      </c>
    </row>
    <row r="263" spans="1:13" x14ac:dyDescent="0.25">
      <c r="A263" s="5">
        <v>42370</v>
      </c>
      <c r="B263" s="4">
        <v>1.2769999999999999</v>
      </c>
      <c r="C263" s="12">
        <f t="shared" si="20"/>
        <v>2.5702811244979761E-2</v>
      </c>
      <c r="E263" s="37">
        <v>42370</v>
      </c>
      <c r="F263" s="38">
        <v>1.2509999999999999</v>
      </c>
      <c r="G263" s="38">
        <f t="shared" si="21"/>
        <v>2.2894521668029272E-2</v>
      </c>
      <c r="H263" s="7">
        <v>1.288</v>
      </c>
      <c r="I263" s="15">
        <f t="shared" si="22"/>
        <v>2.3034154090548164E-2</v>
      </c>
      <c r="J263" s="10">
        <v>1.2609999999999999</v>
      </c>
      <c r="K263" s="12">
        <f t="shared" si="23"/>
        <v>2.2708840227088242E-2</v>
      </c>
      <c r="L263" s="10">
        <v>1.5</v>
      </c>
      <c r="M263" s="12">
        <f t="shared" si="24"/>
        <v>2.110279101429538E-2</v>
      </c>
    </row>
    <row r="264" spans="1:13" x14ac:dyDescent="0.25">
      <c r="A264" s="5">
        <v>42377</v>
      </c>
      <c r="B264" s="4">
        <v>1.2030000000000001</v>
      </c>
      <c r="C264" s="12">
        <f t="shared" si="20"/>
        <v>-5.7948316366483829E-2</v>
      </c>
      <c r="E264" s="37">
        <v>42377</v>
      </c>
      <c r="F264" s="38">
        <v>1.1970000000000001</v>
      </c>
      <c r="G264" s="38">
        <f t="shared" si="21"/>
        <v>-4.3165467625899144E-2</v>
      </c>
      <c r="H264" s="7">
        <v>1.444</v>
      </c>
      <c r="I264" s="15">
        <f t="shared" si="22"/>
        <v>0.12111801242236019</v>
      </c>
      <c r="J264" s="10">
        <v>1.226</v>
      </c>
      <c r="K264" s="12">
        <f t="shared" si="23"/>
        <v>-2.7755749405233881E-2</v>
      </c>
      <c r="L264" s="10">
        <v>1.458</v>
      </c>
      <c r="M264" s="12">
        <f t="shared" si="24"/>
        <v>-2.8000000000000025E-2</v>
      </c>
    </row>
    <row r="265" spans="1:13" x14ac:dyDescent="0.25">
      <c r="A265" s="5">
        <v>42384</v>
      </c>
      <c r="B265" s="4">
        <v>1.083</v>
      </c>
      <c r="C265" s="12">
        <f t="shared" si="20"/>
        <v>-9.9750623441396596E-2</v>
      </c>
      <c r="E265" s="37">
        <v>42384</v>
      </c>
      <c r="F265" s="38">
        <v>1.0680000000000001</v>
      </c>
      <c r="G265" s="38">
        <f t="shared" si="21"/>
        <v>-0.10776942355889724</v>
      </c>
      <c r="H265" s="7">
        <v>1.3120000000000001</v>
      </c>
      <c r="I265" s="15">
        <f t="shared" si="22"/>
        <v>-9.14127423822714E-2</v>
      </c>
      <c r="J265" s="10">
        <v>1.0940000000000001</v>
      </c>
      <c r="K265" s="12">
        <f t="shared" si="23"/>
        <v>-0.10766721044045668</v>
      </c>
      <c r="L265" s="10">
        <v>1.3260000000000001</v>
      </c>
      <c r="M265" s="12">
        <f t="shared" si="24"/>
        <v>-9.0534979423868248E-2</v>
      </c>
    </row>
    <row r="266" spans="1:13" x14ac:dyDescent="0.25">
      <c r="A266" s="5">
        <v>42391</v>
      </c>
      <c r="B266" s="4">
        <v>1.0649999999999999</v>
      </c>
      <c r="C266" s="12">
        <f t="shared" si="20"/>
        <v>-1.6620498614958464E-2</v>
      </c>
      <c r="E266" s="37">
        <v>42391</v>
      </c>
      <c r="F266" s="38">
        <v>1.04</v>
      </c>
      <c r="G266" s="38">
        <f t="shared" si="21"/>
        <v>-2.6217228464419498E-2</v>
      </c>
      <c r="H266" s="7">
        <v>1.2729999999999999</v>
      </c>
      <c r="I266" s="15">
        <f t="shared" si="22"/>
        <v>-2.9725609756097671E-2</v>
      </c>
      <c r="J266" s="10">
        <v>1.0649999999999999</v>
      </c>
      <c r="K266" s="12">
        <f t="shared" si="23"/>
        <v>-2.6508226691042171E-2</v>
      </c>
      <c r="L266" s="10">
        <v>1.2869999999999999</v>
      </c>
      <c r="M266" s="12">
        <f t="shared" si="24"/>
        <v>-2.941176470588246E-2</v>
      </c>
    </row>
    <row r="267" spans="1:13" x14ac:dyDescent="0.25">
      <c r="A267" s="5">
        <v>42398</v>
      </c>
      <c r="B267" s="4">
        <v>1.0980000000000001</v>
      </c>
      <c r="C267" s="12">
        <f t="shared" si="20"/>
        <v>3.0985915492957879E-2</v>
      </c>
      <c r="E267" s="37">
        <v>42398</v>
      </c>
      <c r="F267" s="38">
        <v>1.0609999999999999</v>
      </c>
      <c r="G267" s="38">
        <f t="shared" si="21"/>
        <v>2.0192307692307603E-2</v>
      </c>
      <c r="H267" s="7">
        <v>1.296</v>
      </c>
      <c r="I267" s="15">
        <f t="shared" si="22"/>
        <v>1.8067556952081801E-2</v>
      </c>
      <c r="J267" s="10">
        <v>1.0840000000000001</v>
      </c>
      <c r="K267" s="12">
        <f t="shared" si="23"/>
        <v>1.7840375586854581E-2</v>
      </c>
      <c r="L267" s="10">
        <v>1.3140000000000001</v>
      </c>
      <c r="M267" s="12">
        <f t="shared" si="24"/>
        <v>2.0979020979021084E-2</v>
      </c>
    </row>
    <row r="268" spans="1:13" x14ac:dyDescent="0.25">
      <c r="A268" s="5">
        <v>42405</v>
      </c>
      <c r="B268" s="4">
        <v>1.0580000000000001</v>
      </c>
      <c r="C268" s="12">
        <f t="shared" si="20"/>
        <v>-3.6429872495446297E-2</v>
      </c>
      <c r="E268" s="37">
        <v>42405</v>
      </c>
      <c r="F268" s="38">
        <v>1.024</v>
      </c>
      <c r="G268" s="38">
        <f t="shared" si="21"/>
        <v>-3.487276154571152E-2</v>
      </c>
      <c r="H268" s="7">
        <v>1.2709999999999999</v>
      </c>
      <c r="I268" s="15">
        <f t="shared" si="22"/>
        <v>-1.9290123456790226E-2</v>
      </c>
      <c r="J268" s="10">
        <v>1.25</v>
      </c>
      <c r="K268" s="12">
        <f t="shared" si="23"/>
        <v>0.15313653136531358</v>
      </c>
      <c r="L268" s="10">
        <v>1.2729999999999999</v>
      </c>
      <c r="M268" s="12">
        <f t="shared" si="24"/>
        <v>-3.1202435312024462E-2</v>
      </c>
    </row>
    <row r="269" spans="1:13" x14ac:dyDescent="0.25">
      <c r="A269" s="5">
        <v>42412</v>
      </c>
      <c r="B269" s="4">
        <v>0.99399999999999999</v>
      </c>
      <c r="C269" s="12">
        <f t="shared" si="20"/>
        <v>-6.0491493383742961E-2</v>
      </c>
      <c r="E269" s="37">
        <v>42412</v>
      </c>
      <c r="F269" s="38">
        <v>0.95599999999999996</v>
      </c>
      <c r="G269" s="38">
        <f t="shared" si="21"/>
        <v>-6.6406250000000056E-2</v>
      </c>
      <c r="H269" s="7">
        <v>1.2050000000000001</v>
      </c>
      <c r="I269" s="15">
        <f t="shared" si="22"/>
        <v>-5.1927616050353925E-2</v>
      </c>
      <c r="J269" s="10">
        <v>1.1819999999999999</v>
      </c>
      <c r="K269" s="12">
        <f t="shared" si="23"/>
        <v>-5.4400000000000046E-2</v>
      </c>
      <c r="L269" s="10">
        <v>1.208</v>
      </c>
      <c r="M269" s="12">
        <f t="shared" si="24"/>
        <v>-5.1060487038491711E-2</v>
      </c>
    </row>
    <row r="270" spans="1:13" x14ac:dyDescent="0.25">
      <c r="A270" s="5">
        <v>42419</v>
      </c>
      <c r="B270" s="4">
        <v>1.109</v>
      </c>
      <c r="C270" s="12">
        <f t="shared" si="20"/>
        <v>0.11569416498993963</v>
      </c>
      <c r="E270" s="37">
        <v>42419</v>
      </c>
      <c r="F270" s="38">
        <v>0.97699999999999998</v>
      </c>
      <c r="G270" s="38">
        <f t="shared" si="21"/>
        <v>2.1966527196652739E-2</v>
      </c>
      <c r="H270" s="7">
        <v>1.2470000000000001</v>
      </c>
      <c r="I270" s="15">
        <f t="shared" si="22"/>
        <v>3.4854771784232394E-2</v>
      </c>
      <c r="J270" s="10">
        <v>1.2210000000000001</v>
      </c>
      <c r="K270" s="12">
        <f t="shared" si="23"/>
        <v>3.2994923857868147E-2</v>
      </c>
      <c r="L270" s="10">
        <v>1.2529999999999999</v>
      </c>
      <c r="M270" s="12">
        <f t="shared" si="24"/>
        <v>3.7251655629139013E-2</v>
      </c>
    </row>
    <row r="271" spans="1:13" x14ac:dyDescent="0.25">
      <c r="A271" s="5">
        <v>42426</v>
      </c>
      <c r="B271" s="4">
        <v>1.073</v>
      </c>
      <c r="C271" s="12">
        <f t="shared" si="20"/>
        <v>-3.2461677186654672E-2</v>
      </c>
      <c r="E271" s="37">
        <v>42426</v>
      </c>
      <c r="F271" s="38">
        <v>1.01</v>
      </c>
      <c r="G271" s="38">
        <f t="shared" si="21"/>
        <v>3.3776867963152539E-2</v>
      </c>
      <c r="H271" s="7">
        <v>1.2969999999999999</v>
      </c>
      <c r="I271" s="15">
        <f t="shared" si="22"/>
        <v>4.009623095429015E-2</v>
      </c>
      <c r="J271" s="10">
        <v>1.2709999999999999</v>
      </c>
      <c r="K271" s="12">
        <f t="shared" si="23"/>
        <v>4.0950040950040803E-2</v>
      </c>
      <c r="L271" s="10">
        <v>1.304</v>
      </c>
      <c r="M271" s="12">
        <f t="shared" si="24"/>
        <v>4.0702314445331331E-2</v>
      </c>
    </row>
    <row r="272" spans="1:13" x14ac:dyDescent="0.25">
      <c r="A272" s="5">
        <v>42433</v>
      </c>
      <c r="B272" s="4">
        <v>1.0469999999999999</v>
      </c>
      <c r="C272" s="12">
        <f t="shared" si="20"/>
        <v>-2.4231127679403563E-2</v>
      </c>
      <c r="E272" s="37">
        <v>42433</v>
      </c>
      <c r="F272" s="38">
        <v>1.2589999999999999</v>
      </c>
      <c r="G272" s="38">
        <f t="shared" si="21"/>
        <v>0.24653465346534642</v>
      </c>
      <c r="H272" s="7">
        <v>1.3580000000000001</v>
      </c>
      <c r="I272" s="15">
        <f t="shared" si="22"/>
        <v>4.7031611410948471E-2</v>
      </c>
      <c r="J272" s="10">
        <v>1.341</v>
      </c>
      <c r="K272" s="12">
        <f t="shared" si="23"/>
        <v>5.5074744295830105E-2</v>
      </c>
      <c r="L272" s="10">
        <v>1.359</v>
      </c>
      <c r="M272" s="12">
        <f t="shared" si="24"/>
        <v>4.2177914110429399E-2</v>
      </c>
    </row>
    <row r="273" spans="1:13" x14ac:dyDescent="0.25">
      <c r="A273" s="5">
        <v>42440</v>
      </c>
      <c r="B273" s="4">
        <v>1.147</v>
      </c>
      <c r="C273" s="12">
        <f t="shared" si="20"/>
        <v>9.5510983763132856E-2</v>
      </c>
      <c r="E273" s="37">
        <v>42440</v>
      </c>
      <c r="F273" s="38">
        <v>1.427</v>
      </c>
      <c r="G273" s="38">
        <f t="shared" si="21"/>
        <v>0.13343923749007161</v>
      </c>
      <c r="H273" s="7">
        <v>1.4710000000000001</v>
      </c>
      <c r="I273" s="15">
        <f t="shared" si="22"/>
        <v>8.3210603829160512E-2</v>
      </c>
      <c r="J273" s="10">
        <v>1.4590000000000001</v>
      </c>
      <c r="K273" s="12">
        <f t="shared" si="23"/>
        <v>8.7994034302759219E-2</v>
      </c>
      <c r="L273" s="10">
        <v>1.4690000000000001</v>
      </c>
      <c r="M273" s="12">
        <f t="shared" si="24"/>
        <v>8.0941869021339291E-2</v>
      </c>
    </row>
    <row r="274" spans="1:13" x14ac:dyDescent="0.25">
      <c r="A274" s="5">
        <v>42447</v>
      </c>
      <c r="B274" s="4">
        <v>1.181</v>
      </c>
      <c r="C274" s="12">
        <f t="shared" si="20"/>
        <v>2.9642545771578054E-2</v>
      </c>
      <c r="E274" s="37">
        <v>42447</v>
      </c>
      <c r="F274" s="38">
        <v>1.423</v>
      </c>
      <c r="G274" s="38">
        <f t="shared" si="21"/>
        <v>-2.8030833917309064E-3</v>
      </c>
      <c r="H274" s="7">
        <v>1.4670000000000001</v>
      </c>
      <c r="I274" s="15">
        <f t="shared" si="22"/>
        <v>-2.7192386131883097E-3</v>
      </c>
      <c r="J274" s="10">
        <v>1.456</v>
      </c>
      <c r="K274" s="12">
        <f t="shared" si="23"/>
        <v>-2.0562028786841081E-3</v>
      </c>
      <c r="L274" s="10">
        <v>1.4630000000000001</v>
      </c>
      <c r="M274" s="12">
        <f t="shared" si="24"/>
        <v>-4.084411164057185E-3</v>
      </c>
    </row>
    <row r="275" spans="1:13" x14ac:dyDescent="0.25">
      <c r="A275" s="5">
        <v>42454</v>
      </c>
      <c r="B275" s="4">
        <v>1.286</v>
      </c>
      <c r="C275" s="12">
        <f t="shared" si="20"/>
        <v>8.8907705334462295E-2</v>
      </c>
      <c r="E275" s="37">
        <v>42454</v>
      </c>
      <c r="F275" s="38">
        <v>1.4690000000000001</v>
      </c>
      <c r="G275" s="38">
        <f t="shared" si="21"/>
        <v>3.2326071679550275E-2</v>
      </c>
      <c r="H275" s="7">
        <v>1.508</v>
      </c>
      <c r="I275" s="15">
        <f t="shared" si="22"/>
        <v>2.794819359236532E-2</v>
      </c>
      <c r="J275" s="10">
        <v>1.4990000000000001</v>
      </c>
      <c r="K275" s="12">
        <f t="shared" si="23"/>
        <v>2.9532967032967136E-2</v>
      </c>
      <c r="L275" s="10">
        <v>1.502</v>
      </c>
      <c r="M275" s="12">
        <f t="shared" si="24"/>
        <v>2.6657552973342394E-2</v>
      </c>
    </row>
    <row r="276" spans="1:13" x14ac:dyDescent="0.25">
      <c r="A276" s="5">
        <v>42461</v>
      </c>
      <c r="B276" s="4">
        <v>1.3380000000000001</v>
      </c>
      <c r="C276" s="12">
        <f t="shared" si="20"/>
        <v>4.0435458786936274E-2</v>
      </c>
      <c r="E276" s="37">
        <v>42461</v>
      </c>
      <c r="F276" s="38">
        <v>1.4370000000000001</v>
      </c>
      <c r="G276" s="38">
        <f t="shared" si="21"/>
        <v>-2.1783526208304989E-2</v>
      </c>
      <c r="H276" s="7">
        <v>1.4690000000000001</v>
      </c>
      <c r="I276" s="15">
        <f t="shared" si="22"/>
        <v>-2.5862068965517189E-2</v>
      </c>
      <c r="J276" s="10">
        <v>1.4610000000000001</v>
      </c>
      <c r="K276" s="12">
        <f t="shared" si="23"/>
        <v>-2.5350233488992683E-2</v>
      </c>
      <c r="L276" s="10">
        <v>1.462</v>
      </c>
      <c r="M276" s="12">
        <f t="shared" si="24"/>
        <v>-2.6631158455392833E-2</v>
      </c>
    </row>
    <row r="277" spans="1:13" x14ac:dyDescent="0.25">
      <c r="A277" s="5">
        <v>42468</v>
      </c>
      <c r="B277" s="4">
        <v>1.3460000000000001</v>
      </c>
      <c r="C277" s="12">
        <f t="shared" si="20"/>
        <v>5.9790732436472392E-3</v>
      </c>
      <c r="E277" s="37">
        <v>42468</v>
      </c>
      <c r="F277" s="38">
        <v>1.399</v>
      </c>
      <c r="G277" s="38">
        <f t="shared" si="21"/>
        <v>-2.6443980514961749E-2</v>
      </c>
      <c r="H277" s="7">
        <v>1.4079999999999999</v>
      </c>
      <c r="I277" s="15">
        <f t="shared" si="22"/>
        <v>-4.1524846834581457E-2</v>
      </c>
      <c r="J277" s="10">
        <v>1.4119999999999999</v>
      </c>
      <c r="K277" s="12">
        <f t="shared" si="23"/>
        <v>-3.3538672142368345E-2</v>
      </c>
      <c r="L277" s="10">
        <v>1.391</v>
      </c>
      <c r="M277" s="12">
        <f t="shared" si="24"/>
        <v>-4.8563611491108043E-2</v>
      </c>
    </row>
    <row r="278" spans="1:13" x14ac:dyDescent="0.25">
      <c r="A278" s="5">
        <v>42475</v>
      </c>
      <c r="B278" s="4">
        <v>1.466</v>
      </c>
      <c r="C278" s="12">
        <f t="shared" si="20"/>
        <v>8.9153046062407038E-2</v>
      </c>
      <c r="E278" s="37">
        <v>42475</v>
      </c>
      <c r="F278" s="38">
        <v>1.508</v>
      </c>
      <c r="G278" s="38">
        <f t="shared" si="21"/>
        <v>7.7912794853466749E-2</v>
      </c>
      <c r="H278" s="7">
        <v>1.5209999999999999</v>
      </c>
      <c r="I278" s="15">
        <f t="shared" si="22"/>
        <v>8.0255681818181809E-2</v>
      </c>
      <c r="J278" s="10">
        <v>1.522</v>
      </c>
      <c r="K278" s="12">
        <f t="shared" si="23"/>
        <v>7.7903682719546813E-2</v>
      </c>
      <c r="L278" s="10">
        <v>1.5069999999999999</v>
      </c>
      <c r="M278" s="12">
        <f t="shared" si="24"/>
        <v>8.3393242271746854E-2</v>
      </c>
    </row>
    <row r="279" spans="1:13" x14ac:dyDescent="0.25">
      <c r="A279" s="5">
        <v>42482</v>
      </c>
      <c r="B279" s="4">
        <v>1.462</v>
      </c>
      <c r="C279" s="12">
        <f t="shared" si="20"/>
        <v>-2.7285129604365647E-3</v>
      </c>
      <c r="E279" s="37">
        <v>42482</v>
      </c>
      <c r="F279" s="38">
        <v>1.494</v>
      </c>
      <c r="G279" s="38">
        <f t="shared" si="21"/>
        <v>-9.2838196286472233E-3</v>
      </c>
      <c r="H279" s="7">
        <v>1.516</v>
      </c>
      <c r="I279" s="15">
        <f t="shared" si="22"/>
        <v>-3.2873109796186023E-3</v>
      </c>
      <c r="J279" s="10">
        <v>1.512</v>
      </c>
      <c r="K279" s="12">
        <f t="shared" si="23"/>
        <v>-6.5703022339027653E-3</v>
      </c>
      <c r="L279" s="10">
        <v>1.5049999999999999</v>
      </c>
      <c r="M279" s="12">
        <f t="shared" si="24"/>
        <v>-1.3271400132714014E-3</v>
      </c>
    </row>
    <row r="280" spans="1:13" x14ac:dyDescent="0.25">
      <c r="A280" s="5">
        <v>42489</v>
      </c>
      <c r="B280" s="4">
        <v>1.5449999999999999</v>
      </c>
      <c r="C280" s="12">
        <f t="shared" si="20"/>
        <v>5.6771545827633357E-2</v>
      </c>
      <c r="E280" s="37">
        <v>42489</v>
      </c>
      <c r="F280" s="38">
        <v>1.569</v>
      </c>
      <c r="G280" s="38">
        <f t="shared" si="21"/>
        <v>5.0200803212851378E-2</v>
      </c>
      <c r="H280" s="7">
        <v>1.587</v>
      </c>
      <c r="I280" s="15">
        <f t="shared" si="22"/>
        <v>4.6833773087071207E-2</v>
      </c>
      <c r="J280" s="10">
        <v>1.5840000000000001</v>
      </c>
      <c r="K280" s="12">
        <f t="shared" si="23"/>
        <v>4.7619047619047658E-2</v>
      </c>
      <c r="L280" s="10">
        <v>1.575</v>
      </c>
      <c r="M280" s="12">
        <f t="shared" si="24"/>
        <v>4.6511627906976792E-2</v>
      </c>
    </row>
    <row r="281" spans="1:13" x14ac:dyDescent="0.25">
      <c r="A281" s="5">
        <v>42496</v>
      </c>
      <c r="B281" s="4">
        <v>1.492</v>
      </c>
      <c r="C281" s="12">
        <f t="shared" si="20"/>
        <v>-3.4304207119741061E-2</v>
      </c>
      <c r="E281" s="37">
        <v>42496</v>
      </c>
      <c r="F281" s="38">
        <v>1.5089999999999999</v>
      </c>
      <c r="G281" s="38">
        <f t="shared" si="21"/>
        <v>-3.8240917782026804E-2</v>
      </c>
      <c r="H281" s="7">
        <v>1.512</v>
      </c>
      <c r="I281" s="15">
        <f t="shared" si="22"/>
        <v>-4.7258979206049122E-2</v>
      </c>
      <c r="J281" s="10">
        <v>1.518</v>
      </c>
      <c r="K281" s="12">
        <f t="shared" si="23"/>
        <v>-4.1666666666666699E-2</v>
      </c>
      <c r="L281" s="10">
        <v>1.4910000000000001</v>
      </c>
      <c r="M281" s="12">
        <f t="shared" si="24"/>
        <v>-5.333333333333324E-2</v>
      </c>
    </row>
    <row r="282" spans="1:13" x14ac:dyDescent="0.25">
      <c r="A282" s="5">
        <v>42503</v>
      </c>
      <c r="B282" s="4">
        <v>1.5049999999999999</v>
      </c>
      <c r="C282" s="12">
        <f t="shared" si="20"/>
        <v>8.7131367292224531E-3</v>
      </c>
      <c r="E282" s="37">
        <v>42503</v>
      </c>
      <c r="F282" s="38">
        <v>1.536</v>
      </c>
      <c r="G282" s="38">
        <f t="shared" si="21"/>
        <v>1.7892644135188956E-2</v>
      </c>
      <c r="H282" s="7">
        <v>1.5409999999999999</v>
      </c>
      <c r="I282" s="15">
        <f t="shared" si="22"/>
        <v>1.9179894179894123E-2</v>
      </c>
      <c r="J282" s="10">
        <v>1.5449999999999999</v>
      </c>
      <c r="K282" s="12">
        <f t="shared" si="23"/>
        <v>1.7786561264822077E-2</v>
      </c>
      <c r="L282" s="10">
        <v>1.522</v>
      </c>
      <c r="M282" s="12">
        <f t="shared" si="24"/>
        <v>2.0791415157612285E-2</v>
      </c>
    </row>
    <row r="283" spans="1:13" x14ac:dyDescent="0.25">
      <c r="A283" s="5">
        <v>42510</v>
      </c>
      <c r="B283" s="4">
        <v>1.6220000000000001</v>
      </c>
      <c r="C283" s="12">
        <f t="shared" si="20"/>
        <v>7.7740863787375561E-2</v>
      </c>
      <c r="E283" s="37">
        <v>42510</v>
      </c>
      <c r="F283" s="38">
        <v>1.6319999999999999</v>
      </c>
      <c r="G283" s="38">
        <f t="shared" si="21"/>
        <v>6.249999999999991E-2</v>
      </c>
      <c r="H283" s="7">
        <v>1.629</v>
      </c>
      <c r="I283" s="15">
        <f t="shared" si="22"/>
        <v>5.7105775470473769E-2</v>
      </c>
      <c r="J283" s="10">
        <v>1.637</v>
      </c>
      <c r="K283" s="12">
        <f t="shared" si="23"/>
        <v>5.9546925566343098E-2</v>
      </c>
      <c r="L283" s="10">
        <v>1.605</v>
      </c>
      <c r="M283" s="12">
        <f t="shared" si="24"/>
        <v>5.4533508541392876E-2</v>
      </c>
    </row>
    <row r="284" spans="1:13" x14ac:dyDescent="0.25">
      <c r="A284" s="5">
        <v>42517</v>
      </c>
      <c r="B284" s="4">
        <v>1.6259999999999999</v>
      </c>
      <c r="C284" s="12">
        <f t="shared" si="20"/>
        <v>2.4660912453759441E-3</v>
      </c>
      <c r="E284" s="37">
        <v>42517</v>
      </c>
      <c r="F284" s="38">
        <v>1.639</v>
      </c>
      <c r="G284" s="38">
        <f t="shared" si="21"/>
        <v>4.2892156862745822E-3</v>
      </c>
      <c r="H284" s="7">
        <v>1.637</v>
      </c>
      <c r="I284" s="15">
        <f t="shared" si="22"/>
        <v>4.910988336402705E-3</v>
      </c>
      <c r="J284" s="10">
        <v>1.6439999999999999</v>
      </c>
      <c r="K284" s="12">
        <f t="shared" si="23"/>
        <v>4.2761148442271805E-3</v>
      </c>
      <c r="L284" s="10">
        <v>1.615</v>
      </c>
      <c r="M284" s="12">
        <f t="shared" si="24"/>
        <v>6.2305295950155822E-3</v>
      </c>
    </row>
    <row r="285" spans="1:13" x14ac:dyDescent="0.25">
      <c r="A285" s="5">
        <v>42524</v>
      </c>
      <c r="B285" s="4">
        <v>1.6060000000000001</v>
      </c>
      <c r="C285" s="12">
        <f t="shared" si="20"/>
        <v>-1.2300123001229887E-2</v>
      </c>
      <c r="E285" s="37">
        <v>42524</v>
      </c>
      <c r="F285" s="38">
        <v>1.613</v>
      </c>
      <c r="G285" s="38">
        <f t="shared" si="21"/>
        <v>-1.5863331299572923E-2</v>
      </c>
      <c r="H285" s="7">
        <v>1.6020000000000001</v>
      </c>
      <c r="I285" s="15">
        <f t="shared" si="22"/>
        <v>-2.1380574221136175E-2</v>
      </c>
      <c r="J285" s="10">
        <v>1.6120000000000001</v>
      </c>
      <c r="K285" s="12">
        <f t="shared" si="23"/>
        <v>-1.9464720194647085E-2</v>
      </c>
      <c r="L285" s="10">
        <v>1.5069999999999999</v>
      </c>
      <c r="M285" s="12">
        <f t="shared" si="24"/>
        <v>-6.6873065015479932E-2</v>
      </c>
    </row>
    <row r="286" spans="1:13" x14ac:dyDescent="0.25">
      <c r="A286" s="5">
        <v>42531</v>
      </c>
      <c r="B286" s="4">
        <v>1.573</v>
      </c>
      <c r="C286" s="12">
        <f t="shared" si="20"/>
        <v>-2.0547945205479538E-2</v>
      </c>
      <c r="E286" s="37">
        <v>42531</v>
      </c>
      <c r="F286" s="38">
        <v>1.595</v>
      </c>
      <c r="G286" s="38">
        <f t="shared" si="21"/>
        <v>-1.1159330440173599E-2</v>
      </c>
      <c r="H286" s="7">
        <v>1.6</v>
      </c>
      <c r="I286" s="15">
        <f t="shared" si="22"/>
        <v>-1.2484394506866428E-3</v>
      </c>
      <c r="J286" s="10">
        <v>1.6040000000000001</v>
      </c>
      <c r="K286" s="12">
        <f t="shared" si="23"/>
        <v>-4.9627791563275478E-3</v>
      </c>
      <c r="L286" s="10">
        <v>1.48</v>
      </c>
      <c r="M286" s="12">
        <f t="shared" si="24"/>
        <v>-1.7916390179163844E-2</v>
      </c>
    </row>
    <row r="287" spans="1:13" x14ac:dyDescent="0.25">
      <c r="A287" s="5">
        <v>42538</v>
      </c>
      <c r="B287" s="4">
        <v>1.45</v>
      </c>
      <c r="C287" s="12">
        <f t="shared" si="20"/>
        <v>-7.8194532739987291E-2</v>
      </c>
      <c r="E287" s="37">
        <v>42538</v>
      </c>
      <c r="F287" s="38">
        <v>1.506</v>
      </c>
      <c r="G287" s="38">
        <f t="shared" si="21"/>
        <v>-5.5799373040752331E-2</v>
      </c>
      <c r="H287" s="7">
        <v>1.5209999999999999</v>
      </c>
      <c r="I287" s="15">
        <f t="shared" si="22"/>
        <v>-4.9375000000000113E-2</v>
      </c>
      <c r="J287" s="10">
        <v>1.5189999999999999</v>
      </c>
      <c r="K287" s="12">
        <f t="shared" si="23"/>
        <v>-5.2992518703242009E-2</v>
      </c>
      <c r="L287" s="10">
        <v>1.4139999999999999</v>
      </c>
      <c r="M287" s="12">
        <f t="shared" si="24"/>
        <v>-4.4594594594594632E-2</v>
      </c>
    </row>
    <row r="288" spans="1:13" x14ac:dyDescent="0.25">
      <c r="A288" s="5">
        <v>42545</v>
      </c>
      <c r="B288" s="4">
        <v>1.4910000000000001</v>
      </c>
      <c r="C288" s="12">
        <f t="shared" si="20"/>
        <v>2.827586206896562E-2</v>
      </c>
      <c r="E288" s="37">
        <v>42545</v>
      </c>
      <c r="F288" s="38">
        <v>1.5780000000000001</v>
      </c>
      <c r="G288" s="38">
        <f t="shared" si="21"/>
        <v>4.7808764940239085E-2</v>
      </c>
      <c r="H288" s="7">
        <v>1.583</v>
      </c>
      <c r="I288" s="15">
        <f t="shared" si="22"/>
        <v>4.0762656147271571E-2</v>
      </c>
      <c r="J288" s="10">
        <v>1.5880000000000001</v>
      </c>
      <c r="K288" s="12">
        <f t="shared" si="23"/>
        <v>4.5424621461487937E-2</v>
      </c>
      <c r="L288" s="10">
        <v>1.4670000000000001</v>
      </c>
      <c r="M288" s="12">
        <f t="shared" si="24"/>
        <v>3.7482319660537597E-2</v>
      </c>
    </row>
    <row r="289" spans="1:13" x14ac:dyDescent="0.25">
      <c r="A289" s="5">
        <v>42552</v>
      </c>
      <c r="B289" s="4">
        <v>1.4419999999999999</v>
      </c>
      <c r="C289" s="12">
        <f t="shared" si="20"/>
        <v>-3.2863849765258316E-2</v>
      </c>
      <c r="E289" s="37">
        <v>42552</v>
      </c>
      <c r="F289" s="38">
        <v>1.5049999999999999</v>
      </c>
      <c r="G289" s="38">
        <f t="shared" si="21"/>
        <v>-4.6261089987325837E-2</v>
      </c>
      <c r="H289" s="7">
        <v>1.4970000000000001</v>
      </c>
      <c r="I289" s="15">
        <f t="shared" si="22"/>
        <v>-5.4327226784586138E-2</v>
      </c>
      <c r="J289" s="10">
        <v>1.5129999999999999</v>
      </c>
      <c r="K289" s="12">
        <f t="shared" si="23"/>
        <v>-4.7229219143576938E-2</v>
      </c>
      <c r="L289" s="10">
        <v>1.4119999999999999</v>
      </c>
      <c r="M289" s="12">
        <f t="shared" si="24"/>
        <v>-3.7491479209270727E-2</v>
      </c>
    </row>
    <row r="290" spans="1:13" x14ac:dyDescent="0.25">
      <c r="A290" s="5">
        <v>42559</v>
      </c>
      <c r="B290" s="4">
        <v>1.373</v>
      </c>
      <c r="C290" s="12">
        <f t="shared" si="20"/>
        <v>-4.7850208044382767E-2</v>
      </c>
      <c r="E290" s="37">
        <v>42559</v>
      </c>
      <c r="F290" s="38">
        <v>1.399</v>
      </c>
      <c r="G290" s="38">
        <f t="shared" si="21"/>
        <v>-7.0431893687707567E-2</v>
      </c>
      <c r="H290" s="7">
        <v>1.3360000000000001</v>
      </c>
      <c r="I290" s="15">
        <f t="shared" si="22"/>
        <v>-0.10754843019372079</v>
      </c>
      <c r="J290" s="10">
        <v>1.413</v>
      </c>
      <c r="K290" s="12">
        <f t="shared" si="23"/>
        <v>-6.6093853271645658E-2</v>
      </c>
      <c r="L290" s="10">
        <v>1.329</v>
      </c>
      <c r="M290" s="12">
        <f t="shared" si="24"/>
        <v>-5.8781869688385245E-2</v>
      </c>
    </row>
    <row r="291" spans="1:13" x14ac:dyDescent="0.25">
      <c r="A291" s="5">
        <v>42566</v>
      </c>
      <c r="B291" s="4">
        <v>1.3680000000000001</v>
      </c>
      <c r="C291" s="12">
        <f t="shared" si="20"/>
        <v>-3.6416605972322603E-3</v>
      </c>
      <c r="E291" s="37">
        <v>42566</v>
      </c>
      <c r="F291" s="38">
        <v>1.4059999999999999</v>
      </c>
      <c r="G291" s="38">
        <f t="shared" si="21"/>
        <v>5.0035739814152215E-3</v>
      </c>
      <c r="H291" s="7">
        <v>1.3380000000000001</v>
      </c>
      <c r="I291" s="15">
        <f t="shared" si="22"/>
        <v>1.4970059880239533E-3</v>
      </c>
      <c r="J291" s="10">
        <v>1.4139999999999999</v>
      </c>
      <c r="K291" s="12">
        <f t="shared" si="23"/>
        <v>7.0771408351018392E-4</v>
      </c>
      <c r="L291" s="10">
        <v>1.333</v>
      </c>
      <c r="M291" s="12">
        <f t="shared" si="24"/>
        <v>3.0097817908201685E-3</v>
      </c>
    </row>
    <row r="292" spans="1:13" x14ac:dyDescent="0.25">
      <c r="A292" s="5">
        <v>42573</v>
      </c>
      <c r="B292" s="4">
        <v>1.3340000000000001</v>
      </c>
      <c r="C292" s="12">
        <f t="shared" si="20"/>
        <v>-2.4853801169590663E-2</v>
      </c>
      <c r="E292" s="37">
        <v>42573</v>
      </c>
      <c r="F292" s="38">
        <v>1.369</v>
      </c>
      <c r="G292" s="38">
        <f t="shared" si="21"/>
        <v>-2.6315789473684157E-2</v>
      </c>
      <c r="H292" s="7">
        <v>1.3029999999999999</v>
      </c>
      <c r="I292" s="15">
        <f t="shared" si="22"/>
        <v>-2.6158445440956756E-2</v>
      </c>
      <c r="J292" s="10">
        <v>1.375</v>
      </c>
      <c r="K292" s="12">
        <f t="shared" si="23"/>
        <v>-2.7581329561527528E-2</v>
      </c>
      <c r="L292" s="10">
        <v>1.3</v>
      </c>
      <c r="M292" s="12">
        <f t="shared" si="24"/>
        <v>-2.4756189047261755E-2</v>
      </c>
    </row>
    <row r="293" spans="1:13" x14ac:dyDescent="0.25">
      <c r="A293" s="5">
        <v>42580</v>
      </c>
      <c r="B293" s="4">
        <v>1.32</v>
      </c>
      <c r="C293" s="12">
        <f t="shared" si="20"/>
        <v>-1.0494752623688165E-2</v>
      </c>
      <c r="E293" s="37">
        <v>42580</v>
      </c>
      <c r="F293" s="38">
        <v>1.325</v>
      </c>
      <c r="G293" s="38">
        <f t="shared" si="21"/>
        <v>-3.2140248356464604E-2</v>
      </c>
      <c r="H293" s="7">
        <v>1.24</v>
      </c>
      <c r="I293" s="15">
        <f t="shared" si="22"/>
        <v>-4.8349961627014541E-2</v>
      </c>
      <c r="J293" s="10">
        <v>1.323</v>
      </c>
      <c r="K293" s="12">
        <f t="shared" si="23"/>
        <v>-3.7818181818181855E-2</v>
      </c>
      <c r="L293" s="10">
        <v>1.2330000000000001</v>
      </c>
      <c r="M293" s="12">
        <f t="shared" si="24"/>
        <v>-5.1538461538461498E-2</v>
      </c>
    </row>
    <row r="294" spans="1:13" x14ac:dyDescent="0.25">
      <c r="A294" s="5">
        <v>42587</v>
      </c>
      <c r="B294" s="4">
        <v>1.331</v>
      </c>
      <c r="C294" s="12">
        <f t="shared" si="20"/>
        <v>8.3333333333332569E-3</v>
      </c>
      <c r="E294" s="37">
        <v>42587</v>
      </c>
      <c r="F294" s="38">
        <v>1.3420000000000001</v>
      </c>
      <c r="G294" s="38">
        <f t="shared" si="21"/>
        <v>1.2830188679245378E-2</v>
      </c>
      <c r="H294" s="7">
        <v>1.2330000000000001</v>
      </c>
      <c r="I294" s="15">
        <f t="shared" si="22"/>
        <v>-5.6451612903224962E-3</v>
      </c>
      <c r="J294" s="10">
        <v>1.248</v>
      </c>
      <c r="K294" s="12">
        <f t="shared" si="23"/>
        <v>-5.6689342403628086E-2</v>
      </c>
      <c r="L294" s="10">
        <v>1.224</v>
      </c>
      <c r="M294" s="12">
        <f t="shared" si="24"/>
        <v>-7.2992700729927968E-3</v>
      </c>
    </row>
    <row r="295" spans="1:13" x14ac:dyDescent="0.25">
      <c r="A295" s="5">
        <v>42594</v>
      </c>
      <c r="B295" s="4">
        <v>1.325</v>
      </c>
      <c r="C295" s="12">
        <f t="shared" si="20"/>
        <v>-4.5078888054094707E-3</v>
      </c>
      <c r="E295" s="37">
        <v>42594</v>
      </c>
      <c r="F295" s="38">
        <v>1.3480000000000001</v>
      </c>
      <c r="G295" s="38">
        <f t="shared" si="21"/>
        <v>4.4709388971684088E-3</v>
      </c>
      <c r="H295" s="7">
        <v>1.2669999999999999</v>
      </c>
      <c r="I295" s="15">
        <f t="shared" si="22"/>
        <v>2.7575020275750046E-2</v>
      </c>
      <c r="J295" s="10">
        <v>1.274</v>
      </c>
      <c r="K295" s="12">
        <f t="shared" si="23"/>
        <v>2.0833333333333353E-2</v>
      </c>
      <c r="L295" s="10">
        <v>1.262</v>
      </c>
      <c r="M295" s="12">
        <f t="shared" si="24"/>
        <v>3.1045751633986957E-2</v>
      </c>
    </row>
    <row r="296" spans="1:13" x14ac:dyDescent="0.25">
      <c r="A296" s="5">
        <v>42601</v>
      </c>
      <c r="B296" s="4">
        <v>1.4410000000000001</v>
      </c>
      <c r="C296" s="12">
        <f t="shared" si="20"/>
        <v>8.7547169811320838E-2</v>
      </c>
      <c r="E296" s="37">
        <v>42601</v>
      </c>
      <c r="F296" s="38">
        <v>1.4550000000000001</v>
      </c>
      <c r="G296" s="38">
        <f t="shared" si="21"/>
        <v>7.9376854599406507E-2</v>
      </c>
      <c r="H296" s="7">
        <v>1.3819999999999999</v>
      </c>
      <c r="I296" s="15">
        <f t="shared" si="22"/>
        <v>9.0765588003157066E-2</v>
      </c>
      <c r="J296" s="10">
        <v>1.389</v>
      </c>
      <c r="K296" s="12">
        <f t="shared" si="23"/>
        <v>9.026687598116169E-2</v>
      </c>
      <c r="L296" s="10">
        <v>1.3759999999999999</v>
      </c>
      <c r="M296" s="12">
        <f t="shared" si="24"/>
        <v>9.0332805071315275E-2</v>
      </c>
    </row>
    <row r="297" spans="1:13" x14ac:dyDescent="0.25">
      <c r="A297" s="5">
        <v>42608</v>
      </c>
      <c r="B297" s="4">
        <v>1.4239999999999999</v>
      </c>
      <c r="C297" s="12">
        <f t="shared" si="20"/>
        <v>-1.1797362942401197E-2</v>
      </c>
      <c r="E297" s="37">
        <v>42608</v>
      </c>
      <c r="F297" s="38">
        <v>1.5029999999999999</v>
      </c>
      <c r="G297" s="38">
        <f t="shared" si="21"/>
        <v>3.298969072164936E-2</v>
      </c>
      <c r="H297" s="7">
        <v>1.401</v>
      </c>
      <c r="I297" s="15">
        <f t="shared" si="22"/>
        <v>1.3748191027496475E-2</v>
      </c>
      <c r="J297" s="10">
        <v>1.4179999999999999</v>
      </c>
      <c r="K297" s="12">
        <f t="shared" si="23"/>
        <v>2.0878329733621248E-2</v>
      </c>
      <c r="L297" s="10">
        <v>1.3879999999999999</v>
      </c>
      <c r="M297" s="12">
        <f t="shared" si="24"/>
        <v>8.7209302325581481E-3</v>
      </c>
    </row>
    <row r="298" spans="1:13" x14ac:dyDescent="0.25">
      <c r="A298" s="5">
        <v>42615</v>
      </c>
      <c r="B298" s="4">
        <v>1.371</v>
      </c>
      <c r="C298" s="12">
        <f t="shared" si="20"/>
        <v>-3.7219101123595465E-2</v>
      </c>
      <c r="E298" s="37">
        <v>42615</v>
      </c>
      <c r="F298" s="38">
        <v>1.38</v>
      </c>
      <c r="G298" s="38">
        <f t="shared" si="21"/>
        <v>-8.1836327345309393E-2</v>
      </c>
      <c r="H298" s="7">
        <v>1.3240000000000001</v>
      </c>
      <c r="I298" s="15">
        <f t="shared" si="22"/>
        <v>-5.4960742326909319E-2</v>
      </c>
      <c r="J298" s="10">
        <v>1.333</v>
      </c>
      <c r="K298" s="12">
        <f t="shared" si="23"/>
        <v>-5.9943582510578255E-2</v>
      </c>
      <c r="L298" s="10">
        <v>1.321</v>
      </c>
      <c r="M298" s="12">
        <f t="shared" si="24"/>
        <v>-4.8270893371757891E-2</v>
      </c>
    </row>
    <row r="299" spans="1:13" x14ac:dyDescent="0.25">
      <c r="A299" s="5">
        <v>42622</v>
      </c>
      <c r="B299" s="4">
        <v>1.413</v>
      </c>
      <c r="C299" s="12">
        <f t="shared" si="20"/>
        <v>3.0634573304157576E-2</v>
      </c>
      <c r="E299" s="37">
        <v>42622</v>
      </c>
      <c r="F299" s="38">
        <v>1.36</v>
      </c>
      <c r="G299" s="38">
        <f t="shared" si="21"/>
        <v>-1.4492753623188259E-2</v>
      </c>
      <c r="H299" s="7">
        <v>1.34</v>
      </c>
      <c r="I299" s="15">
        <f t="shared" si="22"/>
        <v>1.2084592145015116E-2</v>
      </c>
      <c r="J299" s="10">
        <v>1.35</v>
      </c>
      <c r="K299" s="12">
        <f t="shared" si="23"/>
        <v>1.2753188297074364E-2</v>
      </c>
      <c r="L299" s="10">
        <v>1.345</v>
      </c>
      <c r="M299" s="12">
        <f t="shared" si="24"/>
        <v>1.816805450416353E-2</v>
      </c>
    </row>
    <row r="300" spans="1:13" x14ac:dyDescent="0.25">
      <c r="A300" s="5">
        <v>42629</v>
      </c>
      <c r="B300" s="4">
        <v>1.4390000000000001</v>
      </c>
      <c r="C300" s="12">
        <f t="shared" si="20"/>
        <v>1.8400566171266824E-2</v>
      </c>
      <c r="E300" s="37">
        <v>42629</v>
      </c>
      <c r="F300" s="38">
        <v>1.4039999999999999</v>
      </c>
      <c r="G300" s="38">
        <f t="shared" si="21"/>
        <v>3.2352941176470452E-2</v>
      </c>
      <c r="H300" s="7">
        <v>1.335</v>
      </c>
      <c r="I300" s="15">
        <f t="shared" si="22"/>
        <v>-3.7313432835821753E-3</v>
      </c>
      <c r="J300" s="10">
        <v>1.363</v>
      </c>
      <c r="K300" s="12">
        <f t="shared" si="23"/>
        <v>9.6296296296295558E-3</v>
      </c>
      <c r="L300" s="10">
        <v>1.333</v>
      </c>
      <c r="M300" s="12">
        <f t="shared" si="24"/>
        <v>-8.9219330855018677E-3</v>
      </c>
    </row>
    <row r="301" spans="1:13" x14ac:dyDescent="0.25">
      <c r="A301" s="5">
        <v>42636</v>
      </c>
      <c r="B301" s="4">
        <v>1.44</v>
      </c>
      <c r="C301" s="12">
        <f t="shared" si="20"/>
        <v>6.9492703266149398E-4</v>
      </c>
      <c r="E301" s="37">
        <v>42636</v>
      </c>
      <c r="F301" s="38">
        <v>1.393</v>
      </c>
      <c r="G301" s="38">
        <f t="shared" si="21"/>
        <v>-7.8347578347577624E-3</v>
      </c>
      <c r="H301" s="7">
        <v>1.33</v>
      </c>
      <c r="I301" s="15">
        <f t="shared" si="22"/>
        <v>-3.7453183520598453E-3</v>
      </c>
      <c r="J301" s="10">
        <v>1.3560000000000001</v>
      </c>
      <c r="K301" s="12">
        <f t="shared" si="23"/>
        <v>-5.1357300073366806E-3</v>
      </c>
      <c r="L301" s="10">
        <v>1.3260000000000001</v>
      </c>
      <c r="M301" s="12">
        <f t="shared" si="24"/>
        <v>-5.2513128282069737E-3</v>
      </c>
    </row>
    <row r="302" spans="1:13" x14ac:dyDescent="0.25">
      <c r="A302" s="5">
        <v>42643</v>
      </c>
      <c r="B302" s="4">
        <v>1.486</v>
      </c>
      <c r="C302" s="12">
        <f t="shared" si="20"/>
        <v>3.1944444444444477E-2</v>
      </c>
      <c r="E302" s="37">
        <v>42643</v>
      </c>
      <c r="F302" s="38">
        <v>1.446</v>
      </c>
      <c r="G302" s="38">
        <f t="shared" si="21"/>
        <v>3.8047379755922421E-2</v>
      </c>
      <c r="H302" s="7">
        <v>1.389</v>
      </c>
      <c r="I302" s="15">
        <f t="shared" si="22"/>
        <v>4.4360902255639052E-2</v>
      </c>
      <c r="J302" s="10">
        <v>1.4179999999999999</v>
      </c>
      <c r="K302" s="12">
        <f t="shared" si="23"/>
        <v>4.5722713864306659E-2</v>
      </c>
      <c r="L302" s="10">
        <v>1.3839999999999999</v>
      </c>
      <c r="M302" s="12">
        <f t="shared" si="24"/>
        <v>4.3740573152337731E-2</v>
      </c>
    </row>
    <row r="303" spans="1:13" x14ac:dyDescent="0.25">
      <c r="A303" s="5">
        <v>42650</v>
      </c>
      <c r="B303" s="4">
        <v>1.506</v>
      </c>
      <c r="C303" s="12">
        <f t="shared" si="20"/>
        <v>1.3458950201884265E-2</v>
      </c>
      <c r="E303" s="37">
        <v>42650</v>
      </c>
      <c r="F303" s="38">
        <v>1.4890000000000001</v>
      </c>
      <c r="G303" s="38">
        <f t="shared" si="21"/>
        <v>2.9737206085753906E-2</v>
      </c>
      <c r="H303" s="7">
        <v>1.4670000000000001</v>
      </c>
      <c r="I303" s="15">
        <f t="shared" si="22"/>
        <v>5.6155507559395294E-2</v>
      </c>
      <c r="J303" s="10">
        <v>1.4670000000000001</v>
      </c>
      <c r="K303" s="12">
        <f t="shared" si="23"/>
        <v>3.4555712270804062E-2</v>
      </c>
      <c r="L303" s="10">
        <v>1.4810000000000001</v>
      </c>
      <c r="M303" s="12">
        <f t="shared" si="24"/>
        <v>7.0086705202312291E-2</v>
      </c>
    </row>
    <row r="304" spans="1:13" x14ac:dyDescent="0.25">
      <c r="A304" s="5">
        <v>42657</v>
      </c>
      <c r="B304" s="4">
        <v>1.5029999999999999</v>
      </c>
      <c r="C304" s="12">
        <f t="shared" si="20"/>
        <v>-1.9920318725100356E-3</v>
      </c>
      <c r="E304" s="37">
        <v>42657</v>
      </c>
      <c r="F304" s="38">
        <v>1.48</v>
      </c>
      <c r="G304" s="38">
        <f t="shared" si="21"/>
        <v>-6.0443250503694548E-3</v>
      </c>
      <c r="H304" s="7">
        <v>1.4790000000000001</v>
      </c>
      <c r="I304" s="15">
        <f t="shared" si="22"/>
        <v>8.179959100204505E-3</v>
      </c>
      <c r="J304" s="10">
        <v>1.4750000000000001</v>
      </c>
      <c r="K304" s="12">
        <f t="shared" si="23"/>
        <v>5.4533060668030039E-3</v>
      </c>
      <c r="L304" s="10">
        <v>1.494</v>
      </c>
      <c r="M304" s="12">
        <f t="shared" si="24"/>
        <v>8.777852802160634E-3</v>
      </c>
    </row>
    <row r="305" spans="1:13" x14ac:dyDescent="0.25">
      <c r="A305" s="5">
        <v>42664</v>
      </c>
      <c r="B305" s="4">
        <v>1.5489999999999999</v>
      </c>
      <c r="C305" s="12">
        <f t="shared" si="20"/>
        <v>3.0605455755156382E-2</v>
      </c>
      <c r="E305" s="37">
        <v>42664</v>
      </c>
      <c r="F305" s="38">
        <v>1.5069999999999999</v>
      </c>
      <c r="G305" s="38">
        <f t="shared" si="21"/>
        <v>1.8243243243243185E-2</v>
      </c>
      <c r="H305" s="7">
        <v>1.4950000000000001</v>
      </c>
      <c r="I305" s="15">
        <f t="shared" si="22"/>
        <v>1.081812035158892E-2</v>
      </c>
      <c r="J305" s="10">
        <v>1.494</v>
      </c>
      <c r="K305" s="12">
        <f t="shared" si="23"/>
        <v>1.2881355932203326E-2</v>
      </c>
      <c r="L305" s="10">
        <v>1.51</v>
      </c>
      <c r="M305" s="12">
        <f t="shared" si="24"/>
        <v>1.070950468540831E-2</v>
      </c>
    </row>
    <row r="306" spans="1:13" x14ac:dyDescent="0.25">
      <c r="A306" s="5">
        <v>42671</v>
      </c>
      <c r="B306" s="4">
        <v>1.534</v>
      </c>
      <c r="C306" s="12">
        <f t="shared" si="20"/>
        <v>-9.6836668818592007E-3</v>
      </c>
      <c r="E306" s="37">
        <v>42671</v>
      </c>
      <c r="F306" s="38">
        <v>1.4890000000000001</v>
      </c>
      <c r="G306" s="38">
        <f t="shared" si="21"/>
        <v>-1.1944260119442465E-2</v>
      </c>
      <c r="H306" s="7">
        <v>1.4770000000000001</v>
      </c>
      <c r="I306" s="15">
        <f t="shared" si="22"/>
        <v>-1.2040133779264224E-2</v>
      </c>
      <c r="J306" s="10">
        <v>1.476</v>
      </c>
      <c r="K306" s="12">
        <f t="shared" si="23"/>
        <v>-1.2048192771084348E-2</v>
      </c>
      <c r="L306" s="10">
        <v>1.492</v>
      </c>
      <c r="M306" s="12">
        <f t="shared" si="24"/>
        <v>-1.1920529801324515E-2</v>
      </c>
    </row>
    <row r="307" spans="1:13" x14ac:dyDescent="0.25">
      <c r="A307" s="5">
        <v>42678</v>
      </c>
      <c r="B307" s="4">
        <v>1.5289999999999999</v>
      </c>
      <c r="C307" s="12">
        <f t="shared" si="20"/>
        <v>-3.25945241199486E-3</v>
      </c>
      <c r="E307" s="37">
        <v>42678</v>
      </c>
      <c r="F307" s="38">
        <v>1.4370000000000001</v>
      </c>
      <c r="G307" s="38">
        <f t="shared" si="21"/>
        <v>-3.4922766957689755E-2</v>
      </c>
      <c r="H307" s="7">
        <v>1.413</v>
      </c>
      <c r="I307" s="15">
        <f t="shared" si="22"/>
        <v>-4.333107650643199E-2</v>
      </c>
      <c r="J307" s="10">
        <v>1.409</v>
      </c>
      <c r="K307" s="12">
        <f t="shared" si="23"/>
        <v>-4.5392953929539258E-2</v>
      </c>
      <c r="L307" s="10">
        <v>1.4319999999999999</v>
      </c>
      <c r="M307" s="12">
        <f t="shared" si="24"/>
        <v>-4.021447721179628E-2</v>
      </c>
    </row>
    <row r="308" spans="1:13" x14ac:dyDescent="0.25">
      <c r="A308" s="5">
        <v>42685</v>
      </c>
      <c r="B308" s="4">
        <v>1.4590000000000001</v>
      </c>
      <c r="C308" s="12">
        <f t="shared" si="20"/>
        <v>-4.5781556572923376E-2</v>
      </c>
      <c r="E308" s="37">
        <v>42685</v>
      </c>
      <c r="F308" s="38">
        <v>1.359</v>
      </c>
      <c r="G308" s="38">
        <f t="shared" si="21"/>
        <v>-5.4279749478079377E-2</v>
      </c>
      <c r="H308" s="7">
        <v>1.365</v>
      </c>
      <c r="I308" s="15">
        <f t="shared" si="22"/>
        <v>-3.3970276008492596E-2</v>
      </c>
      <c r="J308" s="10">
        <v>1.3540000000000001</v>
      </c>
      <c r="K308" s="12">
        <f t="shared" si="23"/>
        <v>-3.9034776437189452E-2</v>
      </c>
      <c r="L308" s="10">
        <v>1.3879999999999999</v>
      </c>
      <c r="M308" s="12">
        <f t="shared" si="24"/>
        <v>-3.0726256983240254E-2</v>
      </c>
    </row>
    <row r="309" spans="1:13" x14ac:dyDescent="0.25">
      <c r="A309" s="5">
        <v>42692</v>
      </c>
      <c r="B309" s="4">
        <v>1.3879999999999999</v>
      </c>
      <c r="C309" s="12">
        <f t="shared" si="20"/>
        <v>-4.8663468128855497E-2</v>
      </c>
      <c r="E309" s="37">
        <v>42692</v>
      </c>
      <c r="F309" s="38">
        <v>1.323</v>
      </c>
      <c r="G309" s="38">
        <f t="shared" si="21"/>
        <v>-2.6490066225165587E-2</v>
      </c>
      <c r="H309" s="7">
        <v>1.3380000000000001</v>
      </c>
      <c r="I309" s="15">
        <f t="shared" si="22"/>
        <v>-1.9780219780219717E-2</v>
      </c>
      <c r="J309" s="10">
        <v>1.3260000000000001</v>
      </c>
      <c r="K309" s="12">
        <f t="shared" si="23"/>
        <v>-2.0679468242245216E-2</v>
      </c>
      <c r="L309" s="10">
        <v>1.36</v>
      </c>
      <c r="M309" s="12">
        <f t="shared" si="24"/>
        <v>-2.0172910662824065E-2</v>
      </c>
    </row>
    <row r="310" spans="1:13" x14ac:dyDescent="0.25">
      <c r="A310" s="5">
        <v>42699</v>
      </c>
      <c r="B310" s="4">
        <v>1.47</v>
      </c>
      <c r="C310" s="12">
        <f t="shared" si="20"/>
        <v>5.9077809798270951E-2</v>
      </c>
      <c r="E310" s="37">
        <v>42699</v>
      </c>
      <c r="F310" s="38">
        <v>1.409</v>
      </c>
      <c r="G310" s="38">
        <f t="shared" si="21"/>
        <v>6.5003779289493635E-2</v>
      </c>
      <c r="H310" s="7">
        <v>1.4219999999999999</v>
      </c>
      <c r="I310" s="15">
        <f t="shared" si="22"/>
        <v>6.2780269058295854E-2</v>
      </c>
      <c r="J310" s="10">
        <v>1.413</v>
      </c>
      <c r="K310" s="12">
        <f t="shared" si="23"/>
        <v>6.5610859728506762E-2</v>
      </c>
      <c r="L310" s="10">
        <v>1.444</v>
      </c>
      <c r="M310" s="12">
        <f t="shared" si="24"/>
        <v>6.1764705882352826E-2</v>
      </c>
    </row>
    <row r="311" spans="1:13" x14ac:dyDescent="0.25">
      <c r="A311" s="5">
        <v>42706</v>
      </c>
      <c r="B311" s="4">
        <v>1.5289999999999999</v>
      </c>
      <c r="C311" s="12">
        <f t="shared" si="20"/>
        <v>4.0136054421768666E-2</v>
      </c>
      <c r="E311" s="37">
        <v>42706</v>
      </c>
      <c r="F311" s="38">
        <v>1.4770000000000001</v>
      </c>
      <c r="G311" s="38">
        <f t="shared" si="21"/>
        <v>4.8261178140525239E-2</v>
      </c>
      <c r="H311" s="7">
        <v>1.4930000000000001</v>
      </c>
      <c r="I311" s="15">
        <f t="shared" si="22"/>
        <v>4.9929676511955116E-2</v>
      </c>
      <c r="J311" s="10">
        <v>1.48</v>
      </c>
      <c r="K311" s="12">
        <f t="shared" si="23"/>
        <v>4.7416843595187504E-2</v>
      </c>
      <c r="L311" s="10">
        <v>1.5840000000000001</v>
      </c>
      <c r="M311" s="12">
        <f t="shared" si="24"/>
        <v>9.6952908587257705E-2</v>
      </c>
    </row>
    <row r="312" spans="1:13" x14ac:dyDescent="0.25">
      <c r="A312" s="5">
        <v>42713</v>
      </c>
      <c r="B312" s="4">
        <v>1.575</v>
      </c>
      <c r="C312" s="12">
        <f t="shared" si="20"/>
        <v>3.0085022890778315E-2</v>
      </c>
      <c r="E312" s="37">
        <v>42713</v>
      </c>
      <c r="F312" s="38">
        <v>1.5229999999999999</v>
      </c>
      <c r="G312" s="38">
        <f t="shared" si="21"/>
        <v>3.1144211238997844E-2</v>
      </c>
      <c r="H312" s="7">
        <v>1.56</v>
      </c>
      <c r="I312" s="15">
        <f t="shared" si="22"/>
        <v>4.4876088412592059E-2</v>
      </c>
      <c r="J312" s="10">
        <v>1.5369999999999999</v>
      </c>
      <c r="K312" s="12">
        <f t="shared" si="23"/>
        <v>3.8513513513513474E-2</v>
      </c>
      <c r="L312" s="10">
        <v>1.758</v>
      </c>
      <c r="M312" s="12">
        <f t="shared" si="24"/>
        <v>0.10984848484848481</v>
      </c>
    </row>
    <row r="313" spans="1:13" x14ac:dyDescent="0.25">
      <c r="A313" s="5">
        <v>42720</v>
      </c>
      <c r="B313" s="4">
        <v>1.603</v>
      </c>
      <c r="C313" s="12">
        <f t="shared" si="20"/>
        <v>1.7777777777777795E-2</v>
      </c>
      <c r="E313" s="37">
        <v>42720</v>
      </c>
      <c r="F313" s="38">
        <v>1.546</v>
      </c>
      <c r="G313" s="38">
        <f t="shared" si="21"/>
        <v>1.5101772816809017E-2</v>
      </c>
      <c r="H313" s="7">
        <v>1.5880000000000001</v>
      </c>
      <c r="I313" s="15">
        <f t="shared" si="22"/>
        <v>1.7948717948717965E-2</v>
      </c>
      <c r="J313" s="10">
        <v>1.5640000000000001</v>
      </c>
      <c r="K313" s="12">
        <f t="shared" si="23"/>
        <v>1.7566688353936329E-2</v>
      </c>
      <c r="L313" s="10">
        <v>1.7849999999999999</v>
      </c>
      <c r="M313" s="12">
        <f t="shared" si="24"/>
        <v>1.5358361774743978E-2</v>
      </c>
    </row>
    <row r="314" spans="1:13" x14ac:dyDescent="0.25">
      <c r="A314" s="5">
        <v>42727</v>
      </c>
      <c r="B314" s="4">
        <v>1.655</v>
      </c>
      <c r="C314" s="12">
        <f t="shared" si="20"/>
        <v>3.2439176543980069E-2</v>
      </c>
      <c r="E314" s="37">
        <v>42727</v>
      </c>
      <c r="F314" s="38">
        <v>1.599</v>
      </c>
      <c r="G314" s="38">
        <f t="shared" si="21"/>
        <v>3.4282018111254808E-2</v>
      </c>
      <c r="H314" s="7">
        <v>1.6339999999999999</v>
      </c>
      <c r="I314" s="15">
        <f t="shared" si="22"/>
        <v>2.8967254408060337E-2</v>
      </c>
      <c r="J314" s="10">
        <v>1.615</v>
      </c>
      <c r="K314" s="12">
        <f t="shared" si="23"/>
        <v>3.2608695652173871E-2</v>
      </c>
      <c r="L314" s="10">
        <v>1.82</v>
      </c>
      <c r="M314" s="12">
        <f t="shared" si="24"/>
        <v>1.9607843137254981E-2</v>
      </c>
    </row>
    <row r="315" spans="1:13" x14ac:dyDescent="0.25">
      <c r="A315" s="5">
        <v>42734</v>
      </c>
      <c r="B315" s="4">
        <v>1.7150000000000001</v>
      </c>
      <c r="C315" s="12">
        <f t="shared" si="20"/>
        <v>3.6253776435045348E-2</v>
      </c>
      <c r="E315" s="37">
        <v>42734</v>
      </c>
      <c r="F315" s="38">
        <v>1.669</v>
      </c>
      <c r="G315" s="38">
        <f t="shared" si="21"/>
        <v>4.3777360850531619E-2</v>
      </c>
      <c r="H315" s="7">
        <v>1.6870000000000001</v>
      </c>
      <c r="I315" s="15">
        <f t="shared" si="22"/>
        <v>3.2435740514075988E-2</v>
      </c>
      <c r="J315" s="10">
        <v>1.6719999999999999</v>
      </c>
      <c r="K315" s="12">
        <f t="shared" si="23"/>
        <v>3.5294117647058788E-2</v>
      </c>
      <c r="L315" s="10">
        <v>1.86</v>
      </c>
      <c r="M315" s="12">
        <f t="shared" si="24"/>
        <v>2.1978021978021997E-2</v>
      </c>
    </row>
    <row r="316" spans="1:13" x14ac:dyDescent="0.25">
      <c r="A316" s="5">
        <v>42741</v>
      </c>
      <c r="B316" s="4">
        <v>1.6950000000000001</v>
      </c>
      <c r="C316" s="12">
        <f t="shared" si="20"/>
        <v>-1.1661807580174937E-2</v>
      </c>
      <c r="E316" s="37">
        <v>42741</v>
      </c>
      <c r="F316" s="38">
        <v>1.635</v>
      </c>
      <c r="G316" s="38">
        <f t="shared" si="21"/>
        <v>-2.0371479928100678E-2</v>
      </c>
      <c r="H316" s="7">
        <v>1.835</v>
      </c>
      <c r="I316" s="15">
        <f t="shared" si="22"/>
        <v>8.772969768820385E-2</v>
      </c>
      <c r="J316" s="10">
        <v>1.655</v>
      </c>
      <c r="K316" s="12">
        <f t="shared" si="23"/>
        <v>-1.016746411483248E-2</v>
      </c>
      <c r="L316" s="10">
        <v>1.8460000000000001</v>
      </c>
      <c r="M316" s="12">
        <f t="shared" si="24"/>
        <v>-7.526881720430114E-3</v>
      </c>
    </row>
    <row r="317" spans="1:13" x14ac:dyDescent="0.25">
      <c r="A317" s="5">
        <v>42748</v>
      </c>
      <c r="B317" s="4">
        <v>1.6279999999999999</v>
      </c>
      <c r="C317" s="12">
        <f t="shared" si="20"/>
        <v>-3.9528023598820156E-2</v>
      </c>
      <c r="E317" s="37">
        <v>42748</v>
      </c>
      <c r="F317" s="38">
        <v>1.587</v>
      </c>
      <c r="G317" s="38">
        <f t="shared" si="21"/>
        <v>-2.9357798165137641E-2</v>
      </c>
      <c r="H317" s="7">
        <v>1.798</v>
      </c>
      <c r="I317" s="15">
        <f t="shared" si="22"/>
        <v>-2.0163487738419576E-2</v>
      </c>
      <c r="J317" s="10">
        <v>1.613</v>
      </c>
      <c r="K317" s="12">
        <f t="shared" si="23"/>
        <v>-2.5377643504531745E-2</v>
      </c>
      <c r="L317" s="10">
        <v>1.8089999999999999</v>
      </c>
      <c r="M317" s="12">
        <f t="shared" si="24"/>
        <v>-2.0043336944745471E-2</v>
      </c>
    </row>
    <row r="318" spans="1:13" x14ac:dyDescent="0.25">
      <c r="A318" s="5">
        <v>42755</v>
      </c>
      <c r="B318" s="4">
        <v>1.615</v>
      </c>
      <c r="C318" s="12">
        <f t="shared" si="20"/>
        <v>-7.9852579852579247E-3</v>
      </c>
      <c r="E318" s="37">
        <v>42755</v>
      </c>
      <c r="F318" s="38">
        <v>1.5620000000000001</v>
      </c>
      <c r="G318" s="38">
        <f t="shared" si="21"/>
        <v>-1.5752993068682993E-2</v>
      </c>
      <c r="H318" s="7">
        <v>1.788</v>
      </c>
      <c r="I318" s="15">
        <f t="shared" si="22"/>
        <v>-5.5617352614015618E-3</v>
      </c>
      <c r="J318" s="10">
        <v>1.591</v>
      </c>
      <c r="K318" s="12">
        <f t="shared" si="23"/>
        <v>-1.3639181649101067E-2</v>
      </c>
      <c r="L318" s="10">
        <v>1.7989999999999999</v>
      </c>
      <c r="M318" s="12">
        <f t="shared" si="24"/>
        <v>-5.5279159756771749E-3</v>
      </c>
    </row>
    <row r="319" spans="1:13" x14ac:dyDescent="0.25">
      <c r="A319" s="5">
        <v>42762</v>
      </c>
      <c r="B319" s="4">
        <v>1.5740000000000001</v>
      </c>
      <c r="C319" s="12">
        <f t="shared" si="20"/>
        <v>-2.5386996904024722E-2</v>
      </c>
      <c r="E319" s="37">
        <v>42762</v>
      </c>
      <c r="F319" s="38">
        <v>1.5469999999999999</v>
      </c>
      <c r="G319" s="38">
        <f t="shared" si="21"/>
        <v>-9.6030729833547525E-3</v>
      </c>
      <c r="H319" s="7">
        <v>1.7889999999999999</v>
      </c>
      <c r="I319" s="15">
        <f t="shared" si="22"/>
        <v>5.592841163310346E-4</v>
      </c>
      <c r="J319" s="10">
        <v>1.5740000000000001</v>
      </c>
      <c r="K319" s="12">
        <f t="shared" si="23"/>
        <v>-1.0685103708359463E-2</v>
      </c>
      <c r="L319" s="10">
        <v>1.802</v>
      </c>
      <c r="M319" s="12">
        <f t="shared" si="24"/>
        <v>1.6675931072818865E-3</v>
      </c>
    </row>
    <row r="320" spans="1:13" x14ac:dyDescent="0.25">
      <c r="A320" s="5">
        <v>42769</v>
      </c>
      <c r="B320" s="4">
        <v>1.5629999999999999</v>
      </c>
      <c r="C320" s="12">
        <f t="shared" si="20"/>
        <v>-6.9885641677256164E-3</v>
      </c>
      <c r="E320" s="37">
        <v>42769</v>
      </c>
      <c r="F320" s="38">
        <v>1.5389999999999999</v>
      </c>
      <c r="G320" s="38">
        <f t="shared" si="21"/>
        <v>-5.1712992889463528E-3</v>
      </c>
      <c r="H320" s="7">
        <v>1.7849999999999999</v>
      </c>
      <c r="I320" s="15">
        <f t="shared" si="22"/>
        <v>-2.2358859698155416E-3</v>
      </c>
      <c r="J320" s="10">
        <v>1.6850000000000001</v>
      </c>
      <c r="K320" s="12">
        <f t="shared" si="23"/>
        <v>7.0520965692503171E-2</v>
      </c>
      <c r="L320" s="10">
        <v>1.7909999999999999</v>
      </c>
      <c r="M320" s="12">
        <f t="shared" si="24"/>
        <v>-6.1043285238624422E-3</v>
      </c>
    </row>
    <row r="321" spans="1:13" x14ac:dyDescent="0.25">
      <c r="A321" s="5">
        <v>42776</v>
      </c>
      <c r="B321" s="4">
        <v>1.536</v>
      </c>
      <c r="C321" s="12">
        <f t="shared" si="20"/>
        <v>-1.7274472168905895E-2</v>
      </c>
      <c r="E321" s="37">
        <v>42776</v>
      </c>
      <c r="F321" s="38">
        <v>1.542</v>
      </c>
      <c r="G321" s="38">
        <f t="shared" si="21"/>
        <v>1.9493177387914971E-3</v>
      </c>
      <c r="H321" s="7">
        <v>1.78</v>
      </c>
      <c r="I321" s="15">
        <f t="shared" si="22"/>
        <v>-2.8011204481792123E-3</v>
      </c>
      <c r="J321" s="10">
        <v>1.76</v>
      </c>
      <c r="K321" s="12">
        <f t="shared" si="23"/>
        <v>4.4510385756676533E-2</v>
      </c>
      <c r="L321" s="10">
        <v>1.7809999999999999</v>
      </c>
      <c r="M321" s="12">
        <f t="shared" si="24"/>
        <v>-5.5834729201563425E-3</v>
      </c>
    </row>
    <row r="322" spans="1:13" x14ac:dyDescent="0.25">
      <c r="A322" s="5">
        <v>42783</v>
      </c>
      <c r="B322" s="4">
        <v>1.5469999999999999</v>
      </c>
      <c r="C322" s="12">
        <f t="shared" si="20"/>
        <v>7.1614583333332671E-3</v>
      </c>
      <c r="E322" s="37">
        <v>42783</v>
      </c>
      <c r="F322" s="38">
        <v>1.536</v>
      </c>
      <c r="G322" s="38">
        <f t="shared" si="21"/>
        <v>-3.8910505836575911E-3</v>
      </c>
      <c r="H322" s="7">
        <v>1.776</v>
      </c>
      <c r="I322" s="15">
        <f t="shared" si="22"/>
        <v>-2.247191011235957E-3</v>
      </c>
      <c r="J322" s="10">
        <v>1.756</v>
      </c>
      <c r="K322" s="12">
        <f t="shared" si="23"/>
        <v>-2.2727272727272748E-3</v>
      </c>
      <c r="L322" s="10">
        <v>1.78</v>
      </c>
      <c r="M322" s="12">
        <f t="shared" si="24"/>
        <v>-5.6148231330706907E-4</v>
      </c>
    </row>
    <row r="323" spans="1:13" x14ac:dyDescent="0.25">
      <c r="A323" s="5">
        <v>42790</v>
      </c>
      <c r="B323" s="4">
        <v>1.5329999999999999</v>
      </c>
      <c r="C323" s="12">
        <f t="shared" si="20"/>
        <v>-9.0497737556561163E-3</v>
      </c>
      <c r="E323" s="37">
        <v>42790</v>
      </c>
      <c r="F323" s="38">
        <v>1.5129999999999999</v>
      </c>
      <c r="G323" s="38">
        <f t="shared" si="21"/>
        <v>-1.4973958333333419E-2</v>
      </c>
      <c r="H323" s="7">
        <v>1.7589999999999999</v>
      </c>
      <c r="I323" s="15">
        <f t="shared" si="22"/>
        <v>-9.5720720720721426E-3</v>
      </c>
      <c r="J323" s="10">
        <v>1.736</v>
      </c>
      <c r="K323" s="12">
        <f t="shared" si="23"/>
        <v>-1.1389521640091126E-2</v>
      </c>
      <c r="L323" s="10">
        <v>1.7669999999999999</v>
      </c>
      <c r="M323" s="12">
        <f t="shared" si="24"/>
        <v>-7.3033707865169228E-3</v>
      </c>
    </row>
    <row r="324" spans="1:13" x14ac:dyDescent="0.25">
      <c r="A324" s="5">
        <v>42797</v>
      </c>
      <c r="B324" s="4">
        <v>1.492</v>
      </c>
      <c r="C324" s="12">
        <f t="shared" si="20"/>
        <v>-2.6744944553163685E-2</v>
      </c>
      <c r="E324" s="37">
        <v>42797</v>
      </c>
      <c r="F324" s="38">
        <v>1.6040000000000001</v>
      </c>
      <c r="G324" s="38">
        <f t="shared" si="21"/>
        <v>6.0145406477197752E-2</v>
      </c>
      <c r="H324" s="7">
        <v>1.7250000000000001</v>
      </c>
      <c r="I324" s="15">
        <f t="shared" si="22"/>
        <v>-1.9329164297896426E-2</v>
      </c>
      <c r="J324" s="10">
        <v>1.7070000000000001</v>
      </c>
      <c r="K324" s="12">
        <f t="shared" si="23"/>
        <v>-1.6705069124423915E-2</v>
      </c>
      <c r="L324" s="10">
        <v>1.7290000000000001</v>
      </c>
      <c r="M324" s="12">
        <f t="shared" si="24"/>
        <v>-2.1505376344085916E-2</v>
      </c>
    </row>
    <row r="325" spans="1:13" x14ac:dyDescent="0.25">
      <c r="A325" s="5">
        <v>42804</v>
      </c>
      <c r="B325" s="4">
        <v>1.484</v>
      </c>
      <c r="C325" s="12">
        <f t="shared" ref="C325:C388" si="25">(B325-B324)/B324</f>
        <v>-5.3619302949061707E-3</v>
      </c>
      <c r="E325" s="37">
        <v>42804</v>
      </c>
      <c r="F325" s="38">
        <v>1.6459999999999999</v>
      </c>
      <c r="G325" s="38">
        <f t="shared" ref="G325:G388" si="26">(F325-F324)/F324</f>
        <v>2.6184538653366465E-2</v>
      </c>
      <c r="H325" s="7">
        <v>1.677</v>
      </c>
      <c r="I325" s="15">
        <f t="shared" ref="I325:I388" si="27">(H325-H324)/H324</f>
        <v>-2.7826086956521761E-2</v>
      </c>
      <c r="J325" s="10">
        <v>1.6679999999999999</v>
      </c>
      <c r="K325" s="12">
        <f t="shared" ref="K325:K388" si="28">(J325-J324)/J324</f>
        <v>-2.2847100175747009E-2</v>
      </c>
      <c r="L325" s="10">
        <v>1.673</v>
      </c>
      <c r="M325" s="12">
        <f t="shared" ref="M325:M388" si="29">(L325-L324)/L324</f>
        <v>-3.2388663967611364E-2</v>
      </c>
    </row>
    <row r="326" spans="1:13" x14ac:dyDescent="0.25">
      <c r="A326" s="5">
        <v>42811</v>
      </c>
      <c r="B326" s="4">
        <v>1.454</v>
      </c>
      <c r="C326" s="12">
        <f t="shared" si="25"/>
        <v>-2.0215633423180612E-2</v>
      </c>
      <c r="E326" s="37">
        <v>42811</v>
      </c>
      <c r="F326" s="38">
        <v>1.5880000000000001</v>
      </c>
      <c r="G326" s="38">
        <f t="shared" si="26"/>
        <v>-3.5236938031591634E-2</v>
      </c>
      <c r="H326" s="7">
        <v>1.615</v>
      </c>
      <c r="I326" s="15">
        <f t="shared" si="27"/>
        <v>-3.6970781156827698E-2</v>
      </c>
      <c r="J326" s="10">
        <v>1.607</v>
      </c>
      <c r="K326" s="12">
        <f t="shared" si="28"/>
        <v>-3.6570743405275746E-2</v>
      </c>
      <c r="L326" s="10">
        <v>1.611</v>
      </c>
      <c r="M326" s="12">
        <f t="shared" si="29"/>
        <v>-3.7059175134488975E-2</v>
      </c>
    </row>
    <row r="327" spans="1:13" x14ac:dyDescent="0.25">
      <c r="A327" s="5">
        <v>42818</v>
      </c>
      <c r="B327" s="4">
        <v>1.4910000000000001</v>
      </c>
      <c r="C327" s="12">
        <f t="shared" si="25"/>
        <v>2.5447042640990472E-2</v>
      </c>
      <c r="E327" s="37">
        <v>42818</v>
      </c>
      <c r="F327" s="38">
        <v>1.603</v>
      </c>
      <c r="G327" s="38">
        <f t="shared" si="26"/>
        <v>9.4458438287153036E-3</v>
      </c>
      <c r="H327" s="7">
        <v>1.619</v>
      </c>
      <c r="I327" s="15">
        <f t="shared" si="27"/>
        <v>2.4767801857585162E-3</v>
      </c>
      <c r="J327" s="10">
        <v>1.6140000000000001</v>
      </c>
      <c r="K327" s="12">
        <f t="shared" si="28"/>
        <v>4.3559427504667814E-3</v>
      </c>
      <c r="L327" s="10">
        <v>1.613</v>
      </c>
      <c r="M327" s="12">
        <f t="shared" si="29"/>
        <v>1.2414649286157677E-3</v>
      </c>
    </row>
    <row r="328" spans="1:13" x14ac:dyDescent="0.25">
      <c r="A328" s="5">
        <v>42825</v>
      </c>
      <c r="B328" s="4">
        <v>1.5649999999999999</v>
      </c>
      <c r="C328" s="12">
        <f t="shared" si="25"/>
        <v>4.9631120053655157E-2</v>
      </c>
      <c r="E328" s="37">
        <v>42825</v>
      </c>
      <c r="F328" s="38">
        <v>1.661</v>
      </c>
      <c r="G328" s="38">
        <f t="shared" si="26"/>
        <v>3.6182158452900841E-2</v>
      </c>
      <c r="H328" s="7">
        <v>1.6619999999999999</v>
      </c>
      <c r="I328" s="15">
        <f t="shared" si="27"/>
        <v>2.6559604694255667E-2</v>
      </c>
      <c r="J328" s="10">
        <v>1.665</v>
      </c>
      <c r="K328" s="12">
        <f t="shared" si="28"/>
        <v>3.1598513011152372E-2</v>
      </c>
      <c r="L328" s="10">
        <v>1.6519999999999999</v>
      </c>
      <c r="M328" s="12">
        <f t="shared" si="29"/>
        <v>2.417854928704273E-2</v>
      </c>
    </row>
    <row r="329" spans="1:13" x14ac:dyDescent="0.25">
      <c r="A329" s="5">
        <v>42832</v>
      </c>
      <c r="B329" s="4">
        <v>1.6359999999999999</v>
      </c>
      <c r="C329" s="12">
        <f t="shared" si="25"/>
        <v>4.5367412140575047E-2</v>
      </c>
      <c r="E329" s="37">
        <v>42832</v>
      </c>
      <c r="F329" s="38">
        <v>1.7210000000000001</v>
      </c>
      <c r="G329" s="38">
        <f t="shared" si="26"/>
        <v>3.6122817579771253E-2</v>
      </c>
      <c r="H329" s="7">
        <v>1.7110000000000001</v>
      </c>
      <c r="I329" s="15">
        <f t="shared" si="27"/>
        <v>2.9482551143201058E-2</v>
      </c>
      <c r="J329" s="10">
        <v>1.718</v>
      </c>
      <c r="K329" s="12">
        <f t="shared" si="28"/>
        <v>3.1831831831831796E-2</v>
      </c>
      <c r="L329" s="10">
        <v>1.6950000000000001</v>
      </c>
      <c r="M329" s="12">
        <f t="shared" si="29"/>
        <v>2.602905569007273E-2</v>
      </c>
    </row>
    <row r="330" spans="1:13" x14ac:dyDescent="0.25">
      <c r="A330" s="5">
        <v>42839</v>
      </c>
      <c r="B330" s="4">
        <v>1.6559999999999999</v>
      </c>
      <c r="C330" s="12">
        <f t="shared" si="25"/>
        <v>1.2224938875305635E-2</v>
      </c>
      <c r="E330" s="37">
        <v>42839</v>
      </c>
      <c r="F330" s="38">
        <v>1.748</v>
      </c>
      <c r="G330" s="38">
        <f t="shared" si="26"/>
        <v>1.5688553166763458E-2</v>
      </c>
      <c r="H330" s="7">
        <v>1.7470000000000001</v>
      </c>
      <c r="I330" s="15">
        <f t="shared" si="27"/>
        <v>2.1040327293980147E-2</v>
      </c>
      <c r="J330" s="10">
        <v>1.75</v>
      </c>
      <c r="K330" s="12">
        <f t="shared" si="28"/>
        <v>1.8626309662398154E-2</v>
      </c>
      <c r="L330" s="10">
        <v>1.7350000000000001</v>
      </c>
      <c r="M330" s="12">
        <f t="shared" si="29"/>
        <v>2.3598820058997071E-2</v>
      </c>
    </row>
    <row r="331" spans="1:13" x14ac:dyDescent="0.25">
      <c r="A331" s="5">
        <v>42846</v>
      </c>
      <c r="B331" s="4">
        <v>1.621</v>
      </c>
      <c r="C331" s="12">
        <f t="shared" si="25"/>
        <v>-2.1135265700483043E-2</v>
      </c>
      <c r="E331" s="37">
        <v>42846</v>
      </c>
      <c r="F331" s="38">
        <v>1.681</v>
      </c>
      <c r="G331" s="38">
        <f t="shared" si="26"/>
        <v>-3.8329519450800889E-2</v>
      </c>
      <c r="H331" s="7">
        <v>1.6830000000000001</v>
      </c>
      <c r="I331" s="15">
        <f t="shared" si="27"/>
        <v>-3.6634230108757902E-2</v>
      </c>
      <c r="J331" s="10">
        <v>1.6850000000000001</v>
      </c>
      <c r="K331" s="12">
        <f t="shared" si="28"/>
        <v>-3.7142857142857109E-2</v>
      </c>
      <c r="L331" s="10">
        <v>1.673</v>
      </c>
      <c r="M331" s="12">
        <f t="shared" si="29"/>
        <v>-3.5734870317002912E-2</v>
      </c>
    </row>
    <row r="332" spans="1:13" x14ac:dyDescent="0.25">
      <c r="A332" s="5">
        <v>42853</v>
      </c>
      <c r="B332" s="4">
        <v>1.5329999999999999</v>
      </c>
      <c r="C332" s="12">
        <f t="shared" si="25"/>
        <v>-5.4287476866132063E-2</v>
      </c>
      <c r="E332" s="37">
        <v>42853</v>
      </c>
      <c r="F332" s="38">
        <v>1.587</v>
      </c>
      <c r="G332" s="38">
        <f t="shared" si="26"/>
        <v>-5.5919095776323667E-2</v>
      </c>
      <c r="H332" s="7">
        <v>1.5920000000000001</v>
      </c>
      <c r="I332" s="15">
        <f t="shared" si="27"/>
        <v>-5.4070112893642289E-2</v>
      </c>
      <c r="J332" s="10">
        <v>1.59</v>
      </c>
      <c r="K332" s="12">
        <f t="shared" si="28"/>
        <v>-5.6379821958456956E-2</v>
      </c>
      <c r="L332" s="10">
        <v>1.5860000000000001</v>
      </c>
      <c r="M332" s="12">
        <f t="shared" si="29"/>
        <v>-5.2002390914524785E-2</v>
      </c>
    </row>
    <row r="333" spans="1:13" x14ac:dyDescent="0.25">
      <c r="A333" s="5">
        <v>42860</v>
      </c>
      <c r="B333" s="4">
        <v>1.46</v>
      </c>
      <c r="C333" s="12">
        <f t="shared" si="25"/>
        <v>-4.7619047619047589E-2</v>
      </c>
      <c r="E333" s="37">
        <v>42860</v>
      </c>
      <c r="F333" s="38">
        <v>1.512</v>
      </c>
      <c r="G333" s="38">
        <f t="shared" si="26"/>
        <v>-4.7258979206049122E-2</v>
      </c>
      <c r="H333" s="7">
        <v>1.5129999999999999</v>
      </c>
      <c r="I333" s="15">
        <f t="shared" si="27"/>
        <v>-4.9623115577889558E-2</v>
      </c>
      <c r="J333" s="10">
        <v>1.516</v>
      </c>
      <c r="K333" s="12">
        <f t="shared" si="28"/>
        <v>-4.6540880503144692E-2</v>
      </c>
      <c r="L333" s="10">
        <v>1.5009999999999999</v>
      </c>
      <c r="M333" s="12">
        <f t="shared" si="29"/>
        <v>-5.3593947036570104E-2</v>
      </c>
    </row>
    <row r="334" spans="1:13" x14ac:dyDescent="0.25">
      <c r="A334" s="5">
        <v>42867</v>
      </c>
      <c r="B334" s="4">
        <v>1.486</v>
      </c>
      <c r="C334" s="12">
        <f t="shared" si="25"/>
        <v>1.7808219178082209E-2</v>
      </c>
      <c r="E334" s="37">
        <v>42867</v>
      </c>
      <c r="F334" s="38">
        <v>1.5369999999999999</v>
      </c>
      <c r="G334" s="38">
        <f t="shared" si="26"/>
        <v>1.6534391534391474E-2</v>
      </c>
      <c r="H334" s="7">
        <v>1.534</v>
      </c>
      <c r="I334" s="15">
        <f t="shared" si="27"/>
        <v>1.3879709187045692E-2</v>
      </c>
      <c r="J334" s="10">
        <v>1.5389999999999999</v>
      </c>
      <c r="K334" s="12">
        <f t="shared" si="28"/>
        <v>1.5171503957783581E-2</v>
      </c>
      <c r="L334" s="10">
        <v>1.5209999999999999</v>
      </c>
      <c r="M334" s="12">
        <f t="shared" si="29"/>
        <v>1.3324450366422397E-2</v>
      </c>
    </row>
    <row r="335" spans="1:13" x14ac:dyDescent="0.25">
      <c r="A335" s="5">
        <v>42874</v>
      </c>
      <c r="B335" s="4">
        <v>1.569</v>
      </c>
      <c r="C335" s="12">
        <f t="shared" si="25"/>
        <v>5.5854643337819629E-2</v>
      </c>
      <c r="E335" s="37">
        <v>42874</v>
      </c>
      <c r="F335" s="38">
        <v>1.6120000000000001</v>
      </c>
      <c r="G335" s="38">
        <f t="shared" si="26"/>
        <v>4.8796356538711894E-2</v>
      </c>
      <c r="H335" s="7">
        <v>1.603</v>
      </c>
      <c r="I335" s="15">
        <f t="shared" si="27"/>
        <v>4.4980443285527999E-2</v>
      </c>
      <c r="J335" s="10">
        <v>1.61</v>
      </c>
      <c r="K335" s="12">
        <f t="shared" si="28"/>
        <v>4.6133853151397126E-2</v>
      </c>
      <c r="L335" s="10">
        <v>1.589</v>
      </c>
      <c r="M335" s="12">
        <f t="shared" si="29"/>
        <v>4.4707429322813984E-2</v>
      </c>
    </row>
    <row r="336" spans="1:13" x14ac:dyDescent="0.25">
      <c r="A336" s="5">
        <v>42881</v>
      </c>
      <c r="B336" s="4">
        <v>1.61</v>
      </c>
      <c r="C336" s="12">
        <f t="shared" si="25"/>
        <v>2.6131293817718386E-2</v>
      </c>
      <c r="E336" s="37">
        <v>42881</v>
      </c>
      <c r="F336" s="38">
        <v>1.6459999999999999</v>
      </c>
      <c r="G336" s="38">
        <f t="shared" si="26"/>
        <v>2.1091811414391939E-2</v>
      </c>
      <c r="H336" s="7">
        <v>1.63</v>
      </c>
      <c r="I336" s="15">
        <f t="shared" si="27"/>
        <v>1.6843418590143426E-2</v>
      </c>
      <c r="J336" s="10">
        <v>1.6379999999999999</v>
      </c>
      <c r="K336" s="12">
        <f t="shared" si="28"/>
        <v>1.7391304347825962E-2</v>
      </c>
      <c r="L336" s="10">
        <v>1.619</v>
      </c>
      <c r="M336" s="12">
        <f t="shared" si="29"/>
        <v>1.8879798615481454E-2</v>
      </c>
    </row>
    <row r="337" spans="1:13" x14ac:dyDescent="0.25">
      <c r="A337" s="5">
        <v>42888</v>
      </c>
      <c r="B337" s="4">
        <v>1.585</v>
      </c>
      <c r="C337" s="12">
        <f t="shared" si="25"/>
        <v>-1.5527950310559088E-2</v>
      </c>
      <c r="E337" s="37">
        <v>42888</v>
      </c>
      <c r="F337" s="38">
        <v>1.607</v>
      </c>
      <c r="G337" s="38">
        <f t="shared" si="26"/>
        <v>-2.3693803159173708E-2</v>
      </c>
      <c r="H337" s="7">
        <v>1.579</v>
      </c>
      <c r="I337" s="15">
        <f t="shared" si="27"/>
        <v>-3.1288343558282174E-2</v>
      </c>
      <c r="J337" s="10">
        <v>1.593</v>
      </c>
      <c r="K337" s="12">
        <f t="shared" si="28"/>
        <v>-2.747252747252743E-2</v>
      </c>
      <c r="L337" s="10">
        <v>1.5149999999999999</v>
      </c>
      <c r="M337" s="12">
        <f t="shared" si="29"/>
        <v>-6.4237183446572019E-2</v>
      </c>
    </row>
    <row r="338" spans="1:13" x14ac:dyDescent="0.25">
      <c r="A338" s="5">
        <v>42895</v>
      </c>
      <c r="B338" s="4">
        <v>1.4810000000000001</v>
      </c>
      <c r="C338" s="12">
        <f t="shared" si="25"/>
        <v>-6.5615141955835884E-2</v>
      </c>
      <c r="E338" s="37">
        <v>42895</v>
      </c>
      <c r="F338" s="38">
        <v>1.516</v>
      </c>
      <c r="G338" s="38">
        <f t="shared" si="26"/>
        <v>-5.6627255756067189E-2</v>
      </c>
      <c r="H338" s="7">
        <v>1.496</v>
      </c>
      <c r="I338" s="15">
        <f t="shared" si="27"/>
        <v>-5.2564914502849884E-2</v>
      </c>
      <c r="J338" s="10">
        <v>1.508</v>
      </c>
      <c r="K338" s="12">
        <f t="shared" si="28"/>
        <v>-5.3358443188951644E-2</v>
      </c>
      <c r="L338" s="10">
        <v>1.3919999999999999</v>
      </c>
      <c r="M338" s="12">
        <f t="shared" si="29"/>
        <v>-8.1188118811881191E-2</v>
      </c>
    </row>
    <row r="339" spans="1:13" x14ac:dyDescent="0.25">
      <c r="A339" s="5">
        <v>42902</v>
      </c>
      <c r="B339" s="4">
        <v>1.415</v>
      </c>
      <c r="C339" s="12">
        <f t="shared" si="25"/>
        <v>-4.4564483457123605E-2</v>
      </c>
      <c r="E339" s="37">
        <v>42902</v>
      </c>
      <c r="F339" s="38">
        <v>1.462</v>
      </c>
      <c r="G339" s="38">
        <f t="shared" si="26"/>
        <v>-3.5620052770448579E-2</v>
      </c>
      <c r="H339" s="7">
        <v>1.45</v>
      </c>
      <c r="I339" s="15">
        <f t="shared" si="27"/>
        <v>-3.0748663101604304E-2</v>
      </c>
      <c r="J339" s="10">
        <v>1.458</v>
      </c>
      <c r="K339" s="12">
        <f t="shared" si="28"/>
        <v>-3.3156498673740084E-2</v>
      </c>
      <c r="L339" s="10">
        <v>1.3580000000000001</v>
      </c>
      <c r="M339" s="12">
        <f t="shared" si="29"/>
        <v>-2.4425287356321702E-2</v>
      </c>
    </row>
    <row r="340" spans="1:13" x14ac:dyDescent="0.25">
      <c r="A340" s="5">
        <v>42909</v>
      </c>
      <c r="B340" s="4">
        <v>1.3879999999999999</v>
      </c>
      <c r="C340" s="12">
        <f t="shared" si="25"/>
        <v>-1.9081272084805749E-2</v>
      </c>
      <c r="E340" s="37">
        <v>42909</v>
      </c>
      <c r="F340" s="38">
        <v>1.431</v>
      </c>
      <c r="G340" s="38">
        <f t="shared" si="26"/>
        <v>-2.1203830369356989E-2</v>
      </c>
      <c r="H340" s="7">
        <v>1.413</v>
      </c>
      <c r="I340" s="15">
        <f t="shared" si="27"/>
        <v>-2.5517241379310291E-2</v>
      </c>
      <c r="J340" s="10">
        <v>1.423</v>
      </c>
      <c r="K340" s="12">
        <f t="shared" si="28"/>
        <v>-2.4005486968449879E-2</v>
      </c>
      <c r="L340" s="10">
        <v>1.32</v>
      </c>
      <c r="M340" s="12">
        <f t="shared" si="29"/>
        <v>-2.7982326951399138E-2</v>
      </c>
    </row>
    <row r="341" spans="1:13" x14ac:dyDescent="0.25">
      <c r="A341" s="5">
        <v>42916</v>
      </c>
      <c r="B341" s="4">
        <v>1.4470000000000001</v>
      </c>
      <c r="C341" s="12">
        <f t="shared" si="25"/>
        <v>4.250720461095113E-2</v>
      </c>
      <c r="E341" s="37">
        <v>42916</v>
      </c>
      <c r="F341" s="38">
        <v>1.4770000000000001</v>
      </c>
      <c r="G341" s="38">
        <f t="shared" si="26"/>
        <v>3.214535290006991E-2</v>
      </c>
      <c r="H341" s="7">
        <v>1.458</v>
      </c>
      <c r="I341" s="15">
        <f t="shared" si="27"/>
        <v>3.1847133757961735E-2</v>
      </c>
      <c r="J341" s="10">
        <v>1.4690000000000001</v>
      </c>
      <c r="K341" s="12">
        <f t="shared" si="28"/>
        <v>3.2326071679550275E-2</v>
      </c>
      <c r="L341" s="10">
        <v>1.3640000000000001</v>
      </c>
      <c r="M341" s="12">
        <f t="shared" si="29"/>
        <v>3.3333333333333361E-2</v>
      </c>
    </row>
    <row r="342" spans="1:13" x14ac:dyDescent="0.25">
      <c r="A342" s="5">
        <v>42923</v>
      </c>
      <c r="B342" s="4">
        <v>1.494</v>
      </c>
      <c r="C342" s="12">
        <f t="shared" si="25"/>
        <v>3.2480995162404928E-2</v>
      </c>
      <c r="E342" s="37">
        <v>42923</v>
      </c>
      <c r="F342" s="38">
        <v>1.516</v>
      </c>
      <c r="G342" s="38">
        <f t="shared" si="26"/>
        <v>2.6404874746106921E-2</v>
      </c>
      <c r="H342" s="7">
        <v>1.4079999999999999</v>
      </c>
      <c r="I342" s="15">
        <f t="shared" si="27"/>
        <v>-3.429355281207136E-2</v>
      </c>
      <c r="J342" s="10">
        <v>1.5029999999999999</v>
      </c>
      <c r="K342" s="12">
        <f t="shared" si="28"/>
        <v>2.3144996596323898E-2</v>
      </c>
      <c r="L342" s="10">
        <v>1.3879999999999999</v>
      </c>
      <c r="M342" s="12">
        <f t="shared" si="29"/>
        <v>1.7595307917888416E-2</v>
      </c>
    </row>
    <row r="343" spans="1:13" x14ac:dyDescent="0.25">
      <c r="A343" s="5">
        <v>42930</v>
      </c>
      <c r="B343" s="4">
        <v>1.5289999999999999</v>
      </c>
      <c r="C343" s="12">
        <f t="shared" si="25"/>
        <v>2.3427041499330604E-2</v>
      </c>
      <c r="E343" s="37">
        <v>42930</v>
      </c>
      <c r="F343" s="38">
        <v>1.5249999999999999</v>
      </c>
      <c r="G343" s="38">
        <f t="shared" si="26"/>
        <v>5.9366754617413567E-3</v>
      </c>
      <c r="H343" s="7">
        <v>1.405</v>
      </c>
      <c r="I343" s="15">
        <f t="shared" si="27"/>
        <v>-2.1306818181817413E-3</v>
      </c>
      <c r="J343" s="10">
        <v>1.504</v>
      </c>
      <c r="K343" s="12">
        <f t="shared" si="28"/>
        <v>6.6533599467738654E-4</v>
      </c>
      <c r="L343" s="10">
        <v>1.383</v>
      </c>
      <c r="M343" s="12">
        <f t="shared" si="29"/>
        <v>-3.6023054755042463E-3</v>
      </c>
    </row>
    <row r="344" spans="1:13" x14ac:dyDescent="0.25">
      <c r="A344" s="5">
        <v>42937</v>
      </c>
      <c r="B344" s="4">
        <v>1.591</v>
      </c>
      <c r="C344" s="12">
        <f t="shared" si="25"/>
        <v>4.054937867887512E-2</v>
      </c>
      <c r="E344" s="37">
        <v>42937</v>
      </c>
      <c r="F344" s="38">
        <v>1.5840000000000001</v>
      </c>
      <c r="G344" s="38">
        <f t="shared" si="26"/>
        <v>3.8688524590164045E-2</v>
      </c>
      <c r="H344" s="7">
        <v>1.4419999999999999</v>
      </c>
      <c r="I344" s="15">
        <f t="shared" si="27"/>
        <v>2.6334519572953682E-2</v>
      </c>
      <c r="J344" s="10">
        <v>1.55</v>
      </c>
      <c r="K344" s="12">
        <f t="shared" si="28"/>
        <v>3.058510638297875E-2</v>
      </c>
      <c r="L344" s="10">
        <v>1.417</v>
      </c>
      <c r="M344" s="12">
        <f t="shared" si="29"/>
        <v>2.4584237165582088E-2</v>
      </c>
    </row>
    <row r="345" spans="1:13" x14ac:dyDescent="0.25">
      <c r="A345" s="5">
        <v>42944</v>
      </c>
      <c r="B345" s="4">
        <v>1.61</v>
      </c>
      <c r="C345" s="12">
        <f t="shared" si="25"/>
        <v>1.1942174732872488E-2</v>
      </c>
      <c r="E345" s="37">
        <v>42944</v>
      </c>
      <c r="F345" s="38">
        <v>1.6180000000000001</v>
      </c>
      <c r="G345" s="38">
        <f t="shared" si="26"/>
        <v>2.1464646464646481E-2</v>
      </c>
      <c r="H345" s="7">
        <v>1.4850000000000001</v>
      </c>
      <c r="I345" s="15">
        <f t="shared" si="27"/>
        <v>2.9819694868238662E-2</v>
      </c>
      <c r="J345" s="10">
        <v>1.593</v>
      </c>
      <c r="K345" s="12">
        <f t="shared" si="28"/>
        <v>2.7741935483870921E-2</v>
      </c>
      <c r="L345" s="10">
        <v>1.4590000000000001</v>
      </c>
      <c r="M345" s="12">
        <f t="shared" si="29"/>
        <v>2.9640084685956272E-2</v>
      </c>
    </row>
    <row r="346" spans="1:13" x14ac:dyDescent="0.25">
      <c r="A346" s="5">
        <v>42951</v>
      </c>
      <c r="B346" s="4">
        <v>1.6639999999999999</v>
      </c>
      <c r="C346" s="12">
        <f t="shared" si="25"/>
        <v>3.3540372670807346E-2</v>
      </c>
      <c r="E346" s="37">
        <v>42951</v>
      </c>
      <c r="F346" s="38">
        <v>1.6579999999999999</v>
      </c>
      <c r="G346" s="38">
        <f t="shared" si="26"/>
        <v>2.4721878862793454E-2</v>
      </c>
      <c r="H346" s="7">
        <v>1.5229999999999999</v>
      </c>
      <c r="I346" s="15">
        <f t="shared" si="27"/>
        <v>2.558922558922546E-2</v>
      </c>
      <c r="J346" s="10">
        <v>1.571</v>
      </c>
      <c r="K346" s="12">
        <f t="shared" si="28"/>
        <v>-1.3810420590081619E-2</v>
      </c>
      <c r="L346" s="10">
        <v>1.498</v>
      </c>
      <c r="M346" s="12">
        <f t="shared" si="29"/>
        <v>2.6730637422892337E-2</v>
      </c>
    </row>
    <row r="347" spans="1:13" x14ac:dyDescent="0.25">
      <c r="A347" s="5">
        <v>42958</v>
      </c>
      <c r="B347" s="4">
        <v>1.635</v>
      </c>
      <c r="C347" s="12">
        <f t="shared" si="25"/>
        <v>-1.7427884615384564E-2</v>
      </c>
      <c r="E347" s="37">
        <v>42958</v>
      </c>
      <c r="F347" s="38">
        <v>1.617</v>
      </c>
      <c r="G347" s="38">
        <f t="shared" si="26"/>
        <v>-2.4728588661037349E-2</v>
      </c>
      <c r="H347" s="7">
        <v>1.496</v>
      </c>
      <c r="I347" s="15">
        <f t="shared" si="27"/>
        <v>-1.7728168089297384E-2</v>
      </c>
      <c r="J347" s="10">
        <v>1.5249999999999999</v>
      </c>
      <c r="K347" s="12">
        <f t="shared" si="28"/>
        <v>-2.9280712921705948E-2</v>
      </c>
      <c r="L347" s="10">
        <v>1.476</v>
      </c>
      <c r="M347" s="12">
        <f t="shared" si="29"/>
        <v>-1.4686248331108157E-2</v>
      </c>
    </row>
    <row r="348" spans="1:13" x14ac:dyDescent="0.25">
      <c r="A348" s="5">
        <v>42965</v>
      </c>
      <c r="B348" s="4">
        <v>1.609</v>
      </c>
      <c r="C348" s="12">
        <f t="shared" si="25"/>
        <v>-1.5902140672782887E-2</v>
      </c>
      <c r="E348" s="37">
        <v>42965</v>
      </c>
      <c r="F348" s="38">
        <v>1.5860000000000001</v>
      </c>
      <c r="G348" s="38">
        <f t="shared" si="26"/>
        <v>-1.9171304885590549E-2</v>
      </c>
      <c r="H348" s="7">
        <v>1.464</v>
      </c>
      <c r="I348" s="15">
        <f t="shared" si="27"/>
        <v>-2.1390374331550822E-2</v>
      </c>
      <c r="J348" s="10">
        <v>1.4950000000000001</v>
      </c>
      <c r="K348" s="12">
        <f t="shared" si="28"/>
        <v>-1.9672131147540857E-2</v>
      </c>
      <c r="L348" s="10">
        <v>1.4430000000000001</v>
      </c>
      <c r="M348" s="12">
        <f t="shared" si="29"/>
        <v>-2.2357723577235717E-2</v>
      </c>
    </row>
    <row r="349" spans="1:13" x14ac:dyDescent="0.25">
      <c r="A349" s="5">
        <v>42972</v>
      </c>
      <c r="B349" s="4">
        <v>1.657</v>
      </c>
      <c r="C349" s="12">
        <f t="shared" si="25"/>
        <v>2.9832193909260438E-2</v>
      </c>
      <c r="E349" s="37">
        <v>42972</v>
      </c>
      <c r="F349" s="38">
        <v>1.625</v>
      </c>
      <c r="G349" s="38">
        <f t="shared" si="26"/>
        <v>2.459016393442618E-2</v>
      </c>
      <c r="H349" s="7">
        <v>1.486</v>
      </c>
      <c r="I349" s="15">
        <f t="shared" si="27"/>
        <v>1.5027322404371598E-2</v>
      </c>
      <c r="J349" s="10">
        <v>1.5229999999999999</v>
      </c>
      <c r="K349" s="12">
        <f t="shared" si="28"/>
        <v>1.8729096989966422E-2</v>
      </c>
      <c r="L349" s="10">
        <v>1.4610000000000001</v>
      </c>
      <c r="M349" s="12">
        <f t="shared" si="29"/>
        <v>1.2474012474012485E-2</v>
      </c>
    </row>
    <row r="350" spans="1:13" x14ac:dyDescent="0.25">
      <c r="A350" s="5">
        <v>42979</v>
      </c>
      <c r="B350" s="4">
        <v>1.95</v>
      </c>
      <c r="C350" s="12">
        <f t="shared" si="25"/>
        <v>0.17682558841279417</v>
      </c>
      <c r="E350" s="37">
        <v>42979</v>
      </c>
      <c r="F350" s="38">
        <v>1.8540000000000001</v>
      </c>
      <c r="G350" s="38">
        <f t="shared" si="26"/>
        <v>0.14092307692307698</v>
      </c>
      <c r="H350" s="7">
        <v>1.536</v>
      </c>
      <c r="I350" s="15">
        <f t="shared" si="27"/>
        <v>3.3647375504710662E-2</v>
      </c>
      <c r="J350" s="10">
        <v>1.6379999999999999</v>
      </c>
      <c r="K350" s="12">
        <f t="shared" si="28"/>
        <v>7.5508864084044641E-2</v>
      </c>
      <c r="L350" s="10">
        <v>1.4930000000000001</v>
      </c>
      <c r="M350" s="12">
        <f t="shared" si="29"/>
        <v>2.1902806297056827E-2</v>
      </c>
    </row>
    <row r="351" spans="1:13" x14ac:dyDescent="0.25">
      <c r="A351" s="5">
        <v>42986</v>
      </c>
      <c r="B351" s="4">
        <v>2.048</v>
      </c>
      <c r="C351" s="12">
        <f t="shared" si="25"/>
        <v>5.0256410256410304E-2</v>
      </c>
      <c r="E351" s="37">
        <v>42986</v>
      </c>
      <c r="F351" s="38">
        <v>1.67</v>
      </c>
      <c r="G351" s="38">
        <f t="shared" si="26"/>
        <v>-9.9244875943905159E-2</v>
      </c>
      <c r="H351" s="7">
        <v>1.54</v>
      </c>
      <c r="I351" s="15">
        <f t="shared" si="27"/>
        <v>2.6041666666666691E-3</v>
      </c>
      <c r="J351" s="10">
        <v>1.5860000000000001</v>
      </c>
      <c r="K351" s="12">
        <f t="shared" si="28"/>
        <v>-3.174603174603164E-2</v>
      </c>
      <c r="L351" s="10">
        <v>1.5269999999999999</v>
      </c>
      <c r="M351" s="12">
        <f t="shared" si="29"/>
        <v>2.2772940388479442E-2</v>
      </c>
    </row>
    <row r="352" spans="1:13" x14ac:dyDescent="0.25">
      <c r="A352" s="5">
        <v>42993</v>
      </c>
      <c r="B352" s="4">
        <v>1.889</v>
      </c>
      <c r="C352" s="12">
        <f t="shared" si="25"/>
        <v>-7.7636718750000014E-2</v>
      </c>
      <c r="E352" s="37">
        <v>42993</v>
      </c>
      <c r="F352" s="38">
        <v>1.6459999999999999</v>
      </c>
      <c r="G352" s="38">
        <f t="shared" si="26"/>
        <v>-1.4371257485029954E-2</v>
      </c>
      <c r="H352" s="7">
        <v>1.5649999999999999</v>
      </c>
      <c r="I352" s="15">
        <f t="shared" si="27"/>
        <v>1.6233766233766177E-2</v>
      </c>
      <c r="J352" s="10">
        <v>1.6</v>
      </c>
      <c r="K352" s="12">
        <f t="shared" si="28"/>
        <v>8.8272383354350645E-3</v>
      </c>
      <c r="L352" s="10">
        <v>1.552</v>
      </c>
      <c r="M352" s="12">
        <f t="shared" si="29"/>
        <v>1.6371971185330802E-2</v>
      </c>
    </row>
    <row r="353" spans="1:13" x14ac:dyDescent="0.25">
      <c r="A353" s="5">
        <v>43000</v>
      </c>
      <c r="B353" s="4">
        <v>1.766</v>
      </c>
      <c r="C353" s="12">
        <f t="shared" si="25"/>
        <v>-6.5113816834303867E-2</v>
      </c>
      <c r="E353" s="37">
        <v>43000</v>
      </c>
      <c r="F353" s="38">
        <v>1.6579999999999999</v>
      </c>
      <c r="G353" s="38">
        <f t="shared" si="26"/>
        <v>7.2904009720534697E-3</v>
      </c>
      <c r="H353" s="7">
        <v>1.585</v>
      </c>
      <c r="I353" s="15">
        <f t="shared" si="27"/>
        <v>1.2779552715654964E-2</v>
      </c>
      <c r="J353" s="10">
        <v>1.6140000000000001</v>
      </c>
      <c r="K353" s="12">
        <f t="shared" si="28"/>
        <v>8.7500000000000078E-3</v>
      </c>
      <c r="L353" s="10">
        <v>1.5740000000000001</v>
      </c>
      <c r="M353" s="12">
        <f t="shared" si="29"/>
        <v>1.4175257731958775E-2</v>
      </c>
    </row>
    <row r="354" spans="1:13" x14ac:dyDescent="0.25">
      <c r="A354" s="5">
        <v>43007</v>
      </c>
      <c r="B354" s="4">
        <v>1.726</v>
      </c>
      <c r="C354" s="12">
        <f t="shared" si="25"/>
        <v>-2.2650056625141583E-2</v>
      </c>
      <c r="E354" s="37">
        <v>43007</v>
      </c>
      <c r="F354" s="38">
        <v>1.663</v>
      </c>
      <c r="G354" s="38">
        <f t="shared" si="26"/>
        <v>3.0156815440290203E-3</v>
      </c>
      <c r="H354" s="7">
        <v>1.609</v>
      </c>
      <c r="I354" s="15">
        <f t="shared" si="27"/>
        <v>1.5141955835962159E-2</v>
      </c>
      <c r="J354" s="10">
        <v>1.629</v>
      </c>
      <c r="K354" s="12">
        <f t="shared" si="28"/>
        <v>9.2936802973977092E-3</v>
      </c>
      <c r="L354" s="10">
        <v>1.6040000000000001</v>
      </c>
      <c r="M354" s="12">
        <f t="shared" si="29"/>
        <v>1.9059720457433309E-2</v>
      </c>
    </row>
    <row r="355" spans="1:13" x14ac:dyDescent="0.25">
      <c r="A355" s="5">
        <v>43014</v>
      </c>
      <c r="B355" s="4">
        <v>1.645</v>
      </c>
      <c r="C355" s="12">
        <f t="shared" si="25"/>
        <v>-4.6929316338354558E-2</v>
      </c>
      <c r="E355" s="37">
        <v>43014</v>
      </c>
      <c r="F355" s="38">
        <v>1.5740000000000001</v>
      </c>
      <c r="G355" s="38">
        <f t="shared" si="26"/>
        <v>-5.3517739025856867E-2</v>
      </c>
      <c r="H355" s="7">
        <v>1.5609999999999999</v>
      </c>
      <c r="I355" s="15">
        <f t="shared" si="27"/>
        <v>-2.9832193909260438E-2</v>
      </c>
      <c r="J355" s="10">
        <v>1.5640000000000001</v>
      </c>
      <c r="K355" s="12">
        <f t="shared" si="28"/>
        <v>-3.9901780233271913E-2</v>
      </c>
      <c r="L355" s="10">
        <v>1.569</v>
      </c>
      <c r="M355" s="12">
        <f t="shared" si="29"/>
        <v>-2.1820448877805574E-2</v>
      </c>
    </row>
    <row r="356" spans="1:13" x14ac:dyDescent="0.25">
      <c r="A356" s="5">
        <v>43021</v>
      </c>
      <c r="B356" s="4">
        <v>1.665</v>
      </c>
      <c r="C356" s="12">
        <f t="shared" si="25"/>
        <v>1.2158054711246211E-2</v>
      </c>
      <c r="E356" s="37">
        <v>43021</v>
      </c>
      <c r="F356" s="38">
        <v>1.6020000000000001</v>
      </c>
      <c r="G356" s="38">
        <f t="shared" si="26"/>
        <v>1.7789072426937752E-2</v>
      </c>
      <c r="H356" s="7">
        <v>1.573</v>
      </c>
      <c r="I356" s="15">
        <f t="shared" si="27"/>
        <v>7.6873798846893091E-3</v>
      </c>
      <c r="J356" s="10">
        <v>1.5820000000000001</v>
      </c>
      <c r="K356" s="12">
        <f t="shared" si="28"/>
        <v>1.1508951406649625E-2</v>
      </c>
      <c r="L356" s="10">
        <v>1.581</v>
      </c>
      <c r="M356" s="12">
        <f t="shared" si="29"/>
        <v>7.6481835564053604E-3</v>
      </c>
    </row>
    <row r="357" spans="1:13" x14ac:dyDescent="0.25">
      <c r="A357" s="5">
        <v>43028</v>
      </c>
      <c r="B357" s="4">
        <v>1.7110000000000001</v>
      </c>
      <c r="C357" s="12">
        <f t="shared" si="25"/>
        <v>2.7627627627627653E-2</v>
      </c>
      <c r="E357" s="37">
        <v>43028</v>
      </c>
      <c r="F357" s="38">
        <v>1.643</v>
      </c>
      <c r="G357" s="38">
        <f t="shared" si="26"/>
        <v>2.5593008739076106E-2</v>
      </c>
      <c r="H357" s="7">
        <v>1.6060000000000001</v>
      </c>
      <c r="I357" s="15">
        <f t="shared" si="27"/>
        <v>2.097902097902107E-2</v>
      </c>
      <c r="J357" s="10">
        <v>1.6180000000000001</v>
      </c>
      <c r="K357" s="12">
        <f t="shared" si="28"/>
        <v>2.275600505689003E-2</v>
      </c>
      <c r="L357" s="10">
        <v>1.6120000000000001</v>
      </c>
      <c r="M357" s="12">
        <f t="shared" si="29"/>
        <v>1.9607843137254988E-2</v>
      </c>
    </row>
    <row r="358" spans="1:13" x14ac:dyDescent="0.25">
      <c r="A358" s="5">
        <v>43035</v>
      </c>
      <c r="B358" s="4">
        <v>1.794</v>
      </c>
      <c r="C358" s="12">
        <f t="shared" si="25"/>
        <v>4.8509643483343051E-2</v>
      </c>
      <c r="E358" s="37">
        <v>43035</v>
      </c>
      <c r="F358" s="38">
        <v>1.73</v>
      </c>
      <c r="G358" s="38">
        <f t="shared" si="26"/>
        <v>5.2951917224589147E-2</v>
      </c>
      <c r="H358" s="7">
        <v>1.659</v>
      </c>
      <c r="I358" s="15">
        <f t="shared" si="27"/>
        <v>3.3001245330012412E-2</v>
      </c>
      <c r="J358" s="10">
        <v>1.6839999999999999</v>
      </c>
      <c r="K358" s="12">
        <f t="shared" si="28"/>
        <v>4.0791100123609293E-2</v>
      </c>
      <c r="L358" s="10">
        <v>1.661</v>
      </c>
      <c r="M358" s="12">
        <f t="shared" si="29"/>
        <v>3.0397022332506161E-2</v>
      </c>
    </row>
    <row r="359" spans="1:13" x14ac:dyDescent="0.25">
      <c r="A359" s="5">
        <v>43042</v>
      </c>
      <c r="B359" s="4">
        <v>1.8360000000000001</v>
      </c>
      <c r="C359" s="12">
        <f t="shared" si="25"/>
        <v>2.3411371237458213E-2</v>
      </c>
      <c r="E359" s="37">
        <v>43042</v>
      </c>
      <c r="F359" s="38">
        <v>1.77</v>
      </c>
      <c r="G359" s="38">
        <f t="shared" si="26"/>
        <v>2.3121387283237014E-2</v>
      </c>
      <c r="H359" s="7">
        <v>1.7170000000000001</v>
      </c>
      <c r="I359" s="15">
        <f t="shared" si="27"/>
        <v>3.496081977094638E-2</v>
      </c>
      <c r="J359" s="10">
        <v>1.73</v>
      </c>
      <c r="K359" s="12">
        <f t="shared" si="28"/>
        <v>2.7315914489311189E-2</v>
      </c>
      <c r="L359" s="10">
        <v>1.724</v>
      </c>
      <c r="M359" s="12">
        <f t="shared" si="29"/>
        <v>3.7928958458759751E-2</v>
      </c>
    </row>
    <row r="360" spans="1:13" x14ac:dyDescent="0.25">
      <c r="A360" s="5">
        <v>43049</v>
      </c>
      <c r="B360" s="4">
        <v>1.9119999999999999</v>
      </c>
      <c r="C360" s="12">
        <f t="shared" si="25"/>
        <v>4.1394335511982482E-2</v>
      </c>
      <c r="E360" s="37">
        <v>43049</v>
      </c>
      <c r="F360" s="38">
        <v>1.8220000000000001</v>
      </c>
      <c r="G360" s="38">
        <f t="shared" si="26"/>
        <v>2.9378531073446353E-2</v>
      </c>
      <c r="H360" s="7">
        <v>1.794</v>
      </c>
      <c r="I360" s="15">
        <f t="shared" si="27"/>
        <v>4.4845661036691881E-2</v>
      </c>
      <c r="J360" s="10">
        <v>1.798</v>
      </c>
      <c r="K360" s="12">
        <f t="shared" si="28"/>
        <v>3.9306358381502926E-2</v>
      </c>
      <c r="L360" s="10">
        <v>1.8049999999999999</v>
      </c>
      <c r="M360" s="12">
        <f t="shared" si="29"/>
        <v>4.6983758700696036E-2</v>
      </c>
    </row>
    <row r="361" spans="1:13" x14ac:dyDescent="0.25">
      <c r="A361" s="5">
        <v>43056</v>
      </c>
      <c r="B361" s="4">
        <v>1.802</v>
      </c>
      <c r="C361" s="12">
        <f t="shared" si="25"/>
        <v>-5.753138075313801E-2</v>
      </c>
      <c r="E361" s="37">
        <v>43056</v>
      </c>
      <c r="F361" s="38">
        <v>1.75</v>
      </c>
      <c r="G361" s="38">
        <f t="shared" si="26"/>
        <v>-3.9517014270032964E-2</v>
      </c>
      <c r="H361" s="7">
        <v>1.7490000000000001</v>
      </c>
      <c r="I361" s="15">
        <f t="shared" si="27"/>
        <v>-2.5083612040133738E-2</v>
      </c>
      <c r="J361" s="10">
        <v>1.7450000000000001</v>
      </c>
      <c r="K361" s="12">
        <f t="shared" si="28"/>
        <v>-2.9477196885428218E-2</v>
      </c>
      <c r="L361" s="10">
        <v>1.7629999999999999</v>
      </c>
      <c r="M361" s="12">
        <f t="shared" si="29"/>
        <v>-2.326869806094185E-2</v>
      </c>
    </row>
    <row r="362" spans="1:13" x14ac:dyDescent="0.25">
      <c r="A362" s="5">
        <v>43063</v>
      </c>
      <c r="B362" s="4">
        <v>1.802</v>
      </c>
      <c r="C362" s="12">
        <f t="shared" si="25"/>
        <v>0</v>
      </c>
      <c r="E362" s="37">
        <v>43063</v>
      </c>
      <c r="F362" s="38">
        <v>1.762</v>
      </c>
      <c r="G362" s="38">
        <f t="shared" si="26"/>
        <v>6.8571428571428629E-3</v>
      </c>
      <c r="H362" s="7">
        <v>1.7589999999999999</v>
      </c>
      <c r="I362" s="15">
        <f t="shared" si="27"/>
        <v>5.7175528873640857E-3</v>
      </c>
      <c r="J362" s="10">
        <v>1.7549999999999999</v>
      </c>
      <c r="K362" s="12">
        <f t="shared" si="28"/>
        <v>5.7306590257878431E-3</v>
      </c>
      <c r="L362" s="10">
        <v>1.77</v>
      </c>
      <c r="M362" s="12">
        <f t="shared" si="29"/>
        <v>3.9705048213273496E-3</v>
      </c>
    </row>
    <row r="363" spans="1:13" x14ac:dyDescent="0.25">
      <c r="A363" s="5">
        <v>43070</v>
      </c>
      <c r="B363" s="4">
        <v>1.7849999999999999</v>
      </c>
      <c r="C363" s="12">
        <f t="shared" si="25"/>
        <v>-9.4339622641510124E-3</v>
      </c>
      <c r="E363" s="37">
        <v>43070</v>
      </c>
      <c r="F363" s="38">
        <v>1.752</v>
      </c>
      <c r="G363" s="38">
        <f t="shared" si="26"/>
        <v>-5.6753688989784386E-3</v>
      </c>
      <c r="H363" s="7">
        <v>1.7649999999999999</v>
      </c>
      <c r="I363" s="15">
        <f t="shared" si="27"/>
        <v>3.4110289937464501E-3</v>
      </c>
      <c r="J363" s="10">
        <v>1.7549999999999999</v>
      </c>
      <c r="K363" s="12">
        <f t="shared" si="28"/>
        <v>0</v>
      </c>
      <c r="L363" s="10">
        <v>1.8109999999999999</v>
      </c>
      <c r="M363" s="12">
        <f t="shared" si="29"/>
        <v>2.3163841807909563E-2</v>
      </c>
    </row>
    <row r="364" spans="1:13" x14ac:dyDescent="0.25">
      <c r="A364" s="5">
        <v>43077</v>
      </c>
      <c r="B364" s="4">
        <v>1.736</v>
      </c>
      <c r="C364" s="12">
        <f t="shared" si="25"/>
        <v>-2.7450980392156828E-2</v>
      </c>
      <c r="E364" s="37">
        <v>43077</v>
      </c>
      <c r="F364" s="38">
        <v>1.698</v>
      </c>
      <c r="G364" s="38">
        <f t="shared" si="26"/>
        <v>-3.0821917808219204E-2</v>
      </c>
      <c r="H364" s="7">
        <v>1.7330000000000001</v>
      </c>
      <c r="I364" s="15">
        <f t="shared" si="27"/>
        <v>-1.8130311614730769E-2</v>
      </c>
      <c r="J364" s="10">
        <v>1.714</v>
      </c>
      <c r="K364" s="12">
        <f t="shared" si="28"/>
        <v>-2.3361823361823322E-2</v>
      </c>
      <c r="L364" s="10">
        <v>1.9079999999999999</v>
      </c>
      <c r="M364" s="12">
        <f t="shared" si="29"/>
        <v>5.3561568194367741E-2</v>
      </c>
    </row>
    <row r="365" spans="1:13" x14ac:dyDescent="0.25">
      <c r="A365" s="5">
        <v>43084</v>
      </c>
      <c r="B365" s="4">
        <v>1.7170000000000001</v>
      </c>
      <c r="C365" s="12">
        <f t="shared" si="25"/>
        <v>-1.0944700460829439E-2</v>
      </c>
      <c r="E365" s="37">
        <v>43084</v>
      </c>
      <c r="F365" s="38">
        <v>1.679</v>
      </c>
      <c r="G365" s="38">
        <f t="shared" si="26"/>
        <v>-1.118963486454647E-2</v>
      </c>
      <c r="H365" s="7">
        <v>1.7170000000000001</v>
      </c>
      <c r="I365" s="15">
        <f t="shared" si="27"/>
        <v>-9.2325447201384962E-3</v>
      </c>
      <c r="J365" s="10">
        <v>1.696</v>
      </c>
      <c r="K365" s="12">
        <f t="shared" si="28"/>
        <v>-1.0501750291715295E-2</v>
      </c>
      <c r="L365" s="10">
        <v>1.897</v>
      </c>
      <c r="M365" s="12">
        <f t="shared" si="29"/>
        <v>-5.7651991614255235E-3</v>
      </c>
    </row>
    <row r="366" spans="1:13" x14ac:dyDescent="0.25">
      <c r="A366" s="5">
        <v>43091</v>
      </c>
      <c r="B366" s="4">
        <v>1.7529999999999999</v>
      </c>
      <c r="C366" s="12">
        <f t="shared" si="25"/>
        <v>2.0966802562609091E-2</v>
      </c>
      <c r="E366" s="37">
        <v>43091</v>
      </c>
      <c r="F366" s="38">
        <v>1.7230000000000001</v>
      </c>
      <c r="G366" s="38">
        <f t="shared" si="26"/>
        <v>2.6206075044669468E-2</v>
      </c>
      <c r="H366" s="7">
        <v>1.75</v>
      </c>
      <c r="I366" s="15">
        <f t="shared" si="27"/>
        <v>1.9219569015725052E-2</v>
      </c>
      <c r="J366" s="10">
        <v>1.7330000000000001</v>
      </c>
      <c r="K366" s="12">
        <f t="shared" si="28"/>
        <v>2.1816037735849142E-2</v>
      </c>
      <c r="L366" s="10">
        <v>1.925</v>
      </c>
      <c r="M366" s="12">
        <f t="shared" si="29"/>
        <v>1.4760147601476028E-2</v>
      </c>
    </row>
    <row r="367" spans="1:13" x14ac:dyDescent="0.25">
      <c r="A367" s="5">
        <v>43098</v>
      </c>
      <c r="B367" s="4">
        <v>1.819</v>
      </c>
      <c r="C367" s="12">
        <f t="shared" si="25"/>
        <v>3.764974329720483E-2</v>
      </c>
      <c r="E367" s="37">
        <v>43098</v>
      </c>
      <c r="F367" s="38">
        <v>1.7929999999999999</v>
      </c>
      <c r="G367" s="38">
        <f t="shared" si="26"/>
        <v>4.0626813697039951E-2</v>
      </c>
      <c r="H367" s="7">
        <v>1.8109999999999999</v>
      </c>
      <c r="I367" s="15">
        <f t="shared" si="27"/>
        <v>3.4857142857142823E-2</v>
      </c>
      <c r="J367" s="10">
        <v>1.7949999999999999</v>
      </c>
      <c r="K367" s="12">
        <f t="shared" si="28"/>
        <v>3.5776110790536546E-2</v>
      </c>
      <c r="L367" s="10">
        <v>1.9870000000000001</v>
      </c>
      <c r="M367" s="12">
        <f t="shared" si="29"/>
        <v>3.2207792207792234E-2</v>
      </c>
    </row>
    <row r="368" spans="1:13" x14ac:dyDescent="0.25">
      <c r="A368" s="5">
        <v>43105</v>
      </c>
      <c r="B368" s="4">
        <v>1.8180000000000001</v>
      </c>
      <c r="C368" s="12">
        <f t="shared" si="25"/>
        <v>-5.4975261132484321E-4</v>
      </c>
      <c r="E368" s="37">
        <v>43105</v>
      </c>
      <c r="F368" s="38">
        <v>1.788</v>
      </c>
      <c r="G368" s="38">
        <f t="shared" si="26"/>
        <v>-2.7886224205242015E-3</v>
      </c>
      <c r="H368" s="7">
        <v>1.996</v>
      </c>
      <c r="I368" s="15">
        <f t="shared" si="27"/>
        <v>0.10215350635008286</v>
      </c>
      <c r="J368" s="10">
        <v>1.81</v>
      </c>
      <c r="K368" s="12">
        <f t="shared" si="28"/>
        <v>8.3565459610028554E-3</v>
      </c>
      <c r="L368" s="10">
        <v>2.0030000000000001</v>
      </c>
      <c r="M368" s="12">
        <f t="shared" si="29"/>
        <v>8.0523402113739373E-3</v>
      </c>
    </row>
    <row r="369" spans="1:13" x14ac:dyDescent="0.25">
      <c r="A369" s="5">
        <v>43112</v>
      </c>
      <c r="B369" s="4">
        <v>1.86</v>
      </c>
      <c r="C369" s="12">
        <f t="shared" si="25"/>
        <v>2.3102310231023122E-2</v>
      </c>
      <c r="E369" s="37">
        <v>43112</v>
      </c>
      <c r="F369" s="38">
        <v>1.829</v>
      </c>
      <c r="G369" s="38">
        <f t="shared" si="26"/>
        <v>2.2930648769574902E-2</v>
      </c>
      <c r="H369" s="7">
        <v>2.0310000000000001</v>
      </c>
      <c r="I369" s="15">
        <f t="shared" si="27"/>
        <v>1.7535070140280631E-2</v>
      </c>
      <c r="J369" s="10">
        <v>1.8480000000000001</v>
      </c>
      <c r="K369" s="12">
        <f t="shared" si="28"/>
        <v>2.0994475138121565E-2</v>
      </c>
      <c r="L369" s="10">
        <v>2.0369999999999999</v>
      </c>
      <c r="M369" s="12">
        <f t="shared" si="29"/>
        <v>1.6974538192710838E-2</v>
      </c>
    </row>
    <row r="370" spans="1:13" x14ac:dyDescent="0.25">
      <c r="A370" s="5">
        <v>43119</v>
      </c>
      <c r="B370" s="4">
        <v>1.901</v>
      </c>
      <c r="C370" s="12">
        <f t="shared" si="25"/>
        <v>2.2043010752688132E-2</v>
      </c>
      <c r="E370" s="37">
        <v>43119</v>
      </c>
      <c r="F370" s="38">
        <v>1.859</v>
      </c>
      <c r="G370" s="38">
        <f t="shared" si="26"/>
        <v>1.6402405686167319E-2</v>
      </c>
      <c r="H370" s="7">
        <v>2.0419999999999998</v>
      </c>
      <c r="I370" s="15">
        <f t="shared" si="27"/>
        <v>5.4160512063021549E-3</v>
      </c>
      <c r="J370" s="10">
        <v>1.8680000000000001</v>
      </c>
      <c r="K370" s="12">
        <f t="shared" si="28"/>
        <v>1.0822510822510832E-2</v>
      </c>
      <c r="L370" s="10">
        <v>2.0470000000000002</v>
      </c>
      <c r="M370" s="12">
        <f t="shared" si="29"/>
        <v>4.9091801669122392E-3</v>
      </c>
    </row>
    <row r="371" spans="1:13" x14ac:dyDescent="0.25">
      <c r="A371" s="5">
        <v>43126</v>
      </c>
      <c r="B371" s="4">
        <v>1.9730000000000001</v>
      </c>
      <c r="C371" s="12">
        <f t="shared" si="25"/>
        <v>3.7874802735402453E-2</v>
      </c>
      <c r="E371" s="37">
        <v>43126</v>
      </c>
      <c r="F371" s="38">
        <v>1.9119999999999999</v>
      </c>
      <c r="G371" s="38">
        <f t="shared" si="26"/>
        <v>2.8509951586874631E-2</v>
      </c>
      <c r="H371" s="7">
        <v>2.0710000000000002</v>
      </c>
      <c r="I371" s="15">
        <f t="shared" si="27"/>
        <v>1.4201762977473243E-2</v>
      </c>
      <c r="J371" s="10">
        <v>1.907</v>
      </c>
      <c r="K371" s="12">
        <f t="shared" si="28"/>
        <v>2.0877944325481755E-2</v>
      </c>
      <c r="L371" s="10">
        <v>2.0750000000000002</v>
      </c>
      <c r="M371" s="12">
        <f t="shared" si="29"/>
        <v>1.367855398143626E-2</v>
      </c>
    </row>
    <row r="372" spans="1:13" x14ac:dyDescent="0.25">
      <c r="A372" s="5">
        <v>43133</v>
      </c>
      <c r="B372" s="4">
        <v>1.958</v>
      </c>
      <c r="C372" s="12">
        <f t="shared" si="25"/>
        <v>-7.602635580334579E-3</v>
      </c>
      <c r="E372" s="37">
        <v>43133</v>
      </c>
      <c r="F372" s="38">
        <v>1.901</v>
      </c>
      <c r="G372" s="38">
        <f t="shared" si="26"/>
        <v>-5.7531380753137549E-3</v>
      </c>
      <c r="H372" s="7">
        <v>2.0619999999999998</v>
      </c>
      <c r="I372" s="15">
        <f t="shared" si="27"/>
        <v>-4.3457267020764563E-3</v>
      </c>
      <c r="J372" s="10">
        <v>1.9610000000000001</v>
      </c>
      <c r="K372" s="12">
        <f t="shared" si="28"/>
        <v>2.8316727844782407E-2</v>
      </c>
      <c r="L372" s="10">
        <v>2.0609999999999999</v>
      </c>
      <c r="M372" s="12">
        <f t="shared" si="29"/>
        <v>-6.7469879518073416E-3</v>
      </c>
    </row>
    <row r="373" spans="1:13" x14ac:dyDescent="0.25">
      <c r="A373" s="5">
        <v>43140</v>
      </c>
      <c r="B373" s="4">
        <v>1.8260000000000001</v>
      </c>
      <c r="C373" s="12">
        <f t="shared" si="25"/>
        <v>-6.7415730337078594E-2</v>
      </c>
      <c r="E373" s="37">
        <v>43140</v>
      </c>
      <c r="F373" s="38">
        <v>1.7769999999999999</v>
      </c>
      <c r="G373" s="38">
        <f t="shared" si="26"/>
        <v>-6.522882693319311E-2</v>
      </c>
      <c r="H373" s="7">
        <v>1.962</v>
      </c>
      <c r="I373" s="15">
        <f t="shared" si="27"/>
        <v>-4.8496605237633307E-2</v>
      </c>
      <c r="J373" s="10">
        <v>1.956</v>
      </c>
      <c r="K373" s="12">
        <f t="shared" si="28"/>
        <v>-2.5497195308516649E-3</v>
      </c>
      <c r="L373" s="10">
        <v>1.952</v>
      </c>
      <c r="M373" s="12">
        <f t="shared" si="29"/>
        <v>-5.2886948083454628E-2</v>
      </c>
    </row>
    <row r="374" spans="1:13" x14ac:dyDescent="0.25">
      <c r="A374" s="5">
        <v>43147</v>
      </c>
      <c r="B374" s="4">
        <v>1.7589999999999999</v>
      </c>
      <c r="C374" s="12">
        <f t="shared" si="25"/>
        <v>-3.6692223439211483E-2</v>
      </c>
      <c r="E374" s="37">
        <v>43147</v>
      </c>
      <c r="F374" s="38">
        <v>1.7130000000000001</v>
      </c>
      <c r="G374" s="38">
        <f t="shared" si="26"/>
        <v>-3.601575689364088E-2</v>
      </c>
      <c r="H374" s="7">
        <v>1.9039999999999999</v>
      </c>
      <c r="I374" s="15">
        <f t="shared" si="27"/>
        <v>-2.9561671763506651E-2</v>
      </c>
      <c r="J374" s="10">
        <v>1.8939999999999999</v>
      </c>
      <c r="K374" s="12">
        <f t="shared" si="28"/>
        <v>-3.1697341513292461E-2</v>
      </c>
      <c r="L374" s="10">
        <v>1.897</v>
      </c>
      <c r="M374" s="12">
        <f t="shared" si="29"/>
        <v>-2.817622950819669E-2</v>
      </c>
    </row>
    <row r="375" spans="1:13" x14ac:dyDescent="0.25">
      <c r="A375" s="5">
        <v>43154</v>
      </c>
      <c r="B375" s="4">
        <v>1.8049999999999999</v>
      </c>
      <c r="C375" s="12">
        <f t="shared" si="25"/>
        <v>2.615122228538945E-2</v>
      </c>
      <c r="E375" s="37">
        <v>43154</v>
      </c>
      <c r="F375" s="38">
        <v>1.7669999999999999</v>
      </c>
      <c r="G375" s="38">
        <f t="shared" si="26"/>
        <v>3.1523642732048933E-2</v>
      </c>
      <c r="H375" s="7">
        <v>1.9650000000000001</v>
      </c>
      <c r="I375" s="15">
        <f t="shared" si="27"/>
        <v>3.2037815126050508E-2</v>
      </c>
      <c r="J375" s="10">
        <v>1.952</v>
      </c>
      <c r="K375" s="12">
        <f t="shared" si="28"/>
        <v>3.0623020063358E-2</v>
      </c>
      <c r="L375" s="10">
        <v>1.96</v>
      </c>
      <c r="M375" s="12">
        <f t="shared" si="29"/>
        <v>3.3210332103321007E-2</v>
      </c>
    </row>
    <row r="376" spans="1:13" x14ac:dyDescent="0.25">
      <c r="A376" s="5">
        <v>43161</v>
      </c>
      <c r="B376" s="4">
        <v>1.84</v>
      </c>
      <c r="C376" s="12">
        <f t="shared" si="25"/>
        <v>1.9390581717451602E-2</v>
      </c>
      <c r="E376" s="37">
        <v>43161</v>
      </c>
      <c r="F376" s="38">
        <v>1.837</v>
      </c>
      <c r="G376" s="38">
        <f t="shared" si="26"/>
        <v>3.9615166949632186E-2</v>
      </c>
      <c r="H376" s="7">
        <v>1.9550000000000001</v>
      </c>
      <c r="I376" s="15">
        <f t="shared" si="27"/>
        <v>-5.0890585241730327E-3</v>
      </c>
      <c r="J376" s="10">
        <v>1.9470000000000001</v>
      </c>
      <c r="K376" s="12">
        <f t="shared" si="28"/>
        <v>-2.5614754098360112E-3</v>
      </c>
      <c r="L376" s="10">
        <v>1.9470000000000001</v>
      </c>
      <c r="M376" s="12">
        <f t="shared" si="29"/>
        <v>-6.6326530612244392E-3</v>
      </c>
    </row>
    <row r="377" spans="1:13" x14ac:dyDescent="0.25">
      <c r="A377" s="5">
        <v>43168</v>
      </c>
      <c r="B377" s="4">
        <v>1.7769999999999999</v>
      </c>
      <c r="C377" s="12">
        <f t="shared" si="25"/>
        <v>-3.4239130434782696E-2</v>
      </c>
      <c r="E377" s="37">
        <v>43168</v>
      </c>
      <c r="F377" s="38">
        <v>1.91</v>
      </c>
      <c r="G377" s="38">
        <f t="shared" si="26"/>
        <v>3.9738704409363071E-2</v>
      </c>
      <c r="H377" s="7">
        <v>1.923</v>
      </c>
      <c r="I377" s="15">
        <f t="shared" si="27"/>
        <v>-1.63682864450128E-2</v>
      </c>
      <c r="J377" s="10">
        <v>1.9239999999999999</v>
      </c>
      <c r="K377" s="12">
        <f t="shared" si="28"/>
        <v>-1.1813045711350863E-2</v>
      </c>
      <c r="L377" s="10">
        <v>1.913</v>
      </c>
      <c r="M377" s="12">
        <f t="shared" si="29"/>
        <v>-1.7462763225475107E-2</v>
      </c>
    </row>
    <row r="378" spans="1:13" x14ac:dyDescent="0.25">
      <c r="A378" s="5">
        <v>43175</v>
      </c>
      <c r="B378" s="4">
        <v>1.7789999999999999</v>
      </c>
      <c r="C378" s="12">
        <f t="shared" si="25"/>
        <v>1.1254924029262814E-3</v>
      </c>
      <c r="E378" s="37">
        <v>43175</v>
      </c>
      <c r="F378" s="38">
        <v>1.915</v>
      </c>
      <c r="G378" s="38">
        <f t="shared" si="26"/>
        <v>2.6178010471204793E-3</v>
      </c>
      <c r="H378" s="7">
        <v>1.9279999999999999</v>
      </c>
      <c r="I378" s="15">
        <f t="shared" si="27"/>
        <v>2.6001040041601108E-3</v>
      </c>
      <c r="J378" s="10">
        <v>1.927</v>
      </c>
      <c r="K378" s="12">
        <f t="shared" si="28"/>
        <v>1.5592515592516183E-3</v>
      </c>
      <c r="L378" s="10">
        <v>1.92</v>
      </c>
      <c r="M378" s="12">
        <f t="shared" si="29"/>
        <v>3.6591740721379482E-3</v>
      </c>
    </row>
    <row r="379" spans="1:13" x14ac:dyDescent="0.25">
      <c r="A379" s="5">
        <v>43182</v>
      </c>
      <c r="B379" s="4">
        <v>1.865</v>
      </c>
      <c r="C379" s="12">
        <f t="shared" si="25"/>
        <v>4.8341765036537428E-2</v>
      </c>
      <c r="E379" s="37">
        <v>43182</v>
      </c>
      <c r="F379" s="38">
        <v>1.9890000000000001</v>
      </c>
      <c r="G379" s="38">
        <f t="shared" si="26"/>
        <v>3.864229765013058E-2</v>
      </c>
      <c r="H379" s="7">
        <v>2.0009999999999999</v>
      </c>
      <c r="I379" s="15">
        <f t="shared" si="27"/>
        <v>3.7863070539419064E-2</v>
      </c>
      <c r="J379" s="10">
        <v>1.9990000000000001</v>
      </c>
      <c r="K379" s="12">
        <f t="shared" si="28"/>
        <v>3.736377789309811E-2</v>
      </c>
      <c r="L379" s="10">
        <v>1.9930000000000001</v>
      </c>
      <c r="M379" s="12">
        <f t="shared" si="29"/>
        <v>3.8020833333333427E-2</v>
      </c>
    </row>
    <row r="380" spans="1:13" x14ac:dyDescent="0.25">
      <c r="A380" s="5">
        <v>43189</v>
      </c>
      <c r="B380" s="4">
        <v>1.9119999999999999</v>
      </c>
      <c r="C380" s="12">
        <f t="shared" si="25"/>
        <v>2.5201072386058943E-2</v>
      </c>
      <c r="E380" s="37">
        <v>43189</v>
      </c>
      <c r="F380" s="38">
        <v>2.0129999999999999</v>
      </c>
      <c r="G380" s="38">
        <f t="shared" si="26"/>
        <v>1.2066365007541376E-2</v>
      </c>
      <c r="H380" s="7">
        <v>2.024</v>
      </c>
      <c r="I380" s="15">
        <f t="shared" si="27"/>
        <v>1.1494252873563284E-2</v>
      </c>
      <c r="J380" s="10">
        <v>2.02</v>
      </c>
      <c r="K380" s="12">
        <f t="shared" si="28"/>
        <v>1.050525262631311E-2</v>
      </c>
      <c r="L380" s="10">
        <v>2.0190000000000001</v>
      </c>
      <c r="M380" s="12">
        <f t="shared" si="29"/>
        <v>1.3045659809332675E-2</v>
      </c>
    </row>
    <row r="381" spans="1:13" x14ac:dyDescent="0.25">
      <c r="A381" s="5">
        <v>43196</v>
      </c>
      <c r="B381" s="4">
        <v>1.883</v>
      </c>
      <c r="C381" s="12">
        <f t="shared" si="25"/>
        <v>-1.5167364016736358E-2</v>
      </c>
      <c r="E381" s="37">
        <v>43196</v>
      </c>
      <c r="F381" s="38">
        <v>1.9710000000000001</v>
      </c>
      <c r="G381" s="38">
        <f t="shared" si="26"/>
        <v>-2.0864381520119133E-2</v>
      </c>
      <c r="H381" s="7">
        <v>1.97</v>
      </c>
      <c r="I381" s="15">
        <f t="shared" si="27"/>
        <v>-2.6679841897233224E-2</v>
      </c>
      <c r="J381" s="10">
        <v>1.9750000000000001</v>
      </c>
      <c r="K381" s="12">
        <f t="shared" si="28"/>
        <v>-2.2277227722772242E-2</v>
      </c>
      <c r="L381" s="10">
        <v>1.956</v>
      </c>
      <c r="M381" s="12">
        <f t="shared" si="29"/>
        <v>-3.1203566121842576E-2</v>
      </c>
    </row>
    <row r="382" spans="1:13" x14ac:dyDescent="0.25">
      <c r="A382" s="5">
        <v>43203</v>
      </c>
      <c r="B382" s="4">
        <v>1.9670000000000001</v>
      </c>
      <c r="C382" s="12">
        <f t="shared" si="25"/>
        <v>4.4609665427509333E-2</v>
      </c>
      <c r="E382" s="37">
        <v>43203</v>
      </c>
      <c r="F382" s="38">
        <v>2.0430000000000001</v>
      </c>
      <c r="G382" s="38">
        <f t="shared" si="26"/>
        <v>3.6529680365296836E-2</v>
      </c>
      <c r="H382" s="7">
        <v>2.0379999999999998</v>
      </c>
      <c r="I382" s="15">
        <f t="shared" si="27"/>
        <v>3.4517766497461848E-2</v>
      </c>
      <c r="J382" s="10">
        <v>2.0449999999999999</v>
      </c>
      <c r="K382" s="12">
        <f t="shared" si="28"/>
        <v>3.5443037974683463E-2</v>
      </c>
      <c r="L382" s="10">
        <v>2.0259999999999998</v>
      </c>
      <c r="M382" s="12">
        <f t="shared" si="29"/>
        <v>3.5787321063394599E-2</v>
      </c>
    </row>
    <row r="383" spans="1:13" x14ac:dyDescent="0.25">
      <c r="A383" s="5">
        <v>43210</v>
      </c>
      <c r="B383" s="4">
        <v>2.0390000000000001</v>
      </c>
      <c r="C383" s="12">
        <f t="shared" si="25"/>
        <v>3.6603965429588235E-2</v>
      </c>
      <c r="E383" s="37">
        <v>43210</v>
      </c>
      <c r="F383" s="38">
        <v>2.0649999999999999</v>
      </c>
      <c r="G383" s="38">
        <f t="shared" si="26"/>
        <v>1.0768477728830052E-2</v>
      </c>
      <c r="H383" s="7">
        <v>2.0659999999999998</v>
      </c>
      <c r="I383" s="15">
        <f t="shared" si="27"/>
        <v>1.3738959764474989E-2</v>
      </c>
      <c r="J383" s="10">
        <v>2.0699999999999998</v>
      </c>
      <c r="K383" s="12">
        <f t="shared" si="28"/>
        <v>1.2224938875305581E-2</v>
      </c>
      <c r="L383" s="10">
        <v>2.0550000000000002</v>
      </c>
      <c r="M383" s="12">
        <f t="shared" si="29"/>
        <v>1.4313919052320021E-2</v>
      </c>
    </row>
    <row r="384" spans="1:13" x14ac:dyDescent="0.25">
      <c r="A384" s="5">
        <v>43217</v>
      </c>
      <c r="B384" s="4">
        <v>2.073</v>
      </c>
      <c r="C384" s="12">
        <f t="shared" si="25"/>
        <v>1.6674840608141152E-2</v>
      </c>
      <c r="E384" s="37">
        <v>43217</v>
      </c>
      <c r="F384" s="38">
        <v>2.11</v>
      </c>
      <c r="G384" s="38">
        <f t="shared" si="26"/>
        <v>2.1791767554479386E-2</v>
      </c>
      <c r="H384" s="7">
        <v>2.1080000000000001</v>
      </c>
      <c r="I384" s="15">
        <f t="shared" si="27"/>
        <v>2.0329138431752304E-2</v>
      </c>
      <c r="J384" s="10">
        <v>2.113</v>
      </c>
      <c r="K384" s="12">
        <f t="shared" si="28"/>
        <v>2.0772946859903454E-2</v>
      </c>
      <c r="L384" s="10">
        <v>2.0950000000000002</v>
      </c>
      <c r="M384" s="12">
        <f t="shared" si="29"/>
        <v>1.9464720194647216E-2</v>
      </c>
    </row>
    <row r="385" spans="1:13" x14ac:dyDescent="0.25">
      <c r="A385" s="5">
        <v>43224</v>
      </c>
      <c r="B385" s="4">
        <v>2.0569999999999999</v>
      </c>
      <c r="C385" s="12">
        <f t="shared" si="25"/>
        <v>-7.7182826821032393E-3</v>
      </c>
      <c r="E385" s="37">
        <v>43224</v>
      </c>
      <c r="F385" s="38">
        <v>2.1</v>
      </c>
      <c r="G385" s="38">
        <f t="shared" si="26"/>
        <v>-4.7393364928908941E-3</v>
      </c>
      <c r="H385" s="7">
        <v>2.0910000000000002</v>
      </c>
      <c r="I385" s="15">
        <f t="shared" si="27"/>
        <v>-8.0645161290322127E-3</v>
      </c>
      <c r="J385" s="10">
        <v>2.1</v>
      </c>
      <c r="K385" s="12">
        <f t="shared" si="28"/>
        <v>-6.1523899668716993E-3</v>
      </c>
      <c r="L385" s="10">
        <v>2.073</v>
      </c>
      <c r="M385" s="12">
        <f t="shared" si="29"/>
        <v>-1.0501193317422549E-2</v>
      </c>
    </row>
    <row r="386" spans="1:13" x14ac:dyDescent="0.25">
      <c r="A386" s="5">
        <v>43231</v>
      </c>
      <c r="B386" s="4">
        <v>2.1139999999999999</v>
      </c>
      <c r="C386" s="12">
        <f t="shared" si="25"/>
        <v>2.7710257656781694E-2</v>
      </c>
      <c r="E386" s="37">
        <v>43231</v>
      </c>
      <c r="F386" s="38">
        <v>2.1579999999999999</v>
      </c>
      <c r="G386" s="38">
        <f t="shared" si="26"/>
        <v>2.7619047619047536E-2</v>
      </c>
      <c r="H386" s="7">
        <v>2.15</v>
      </c>
      <c r="I386" s="15">
        <f t="shared" si="27"/>
        <v>2.8216164514586185E-2</v>
      </c>
      <c r="J386" s="10">
        <v>2.1579999999999999</v>
      </c>
      <c r="K386" s="12">
        <f t="shared" si="28"/>
        <v>2.7619047619047536E-2</v>
      </c>
      <c r="L386" s="10">
        <v>2.1320000000000001</v>
      </c>
      <c r="M386" s="12">
        <f t="shared" si="29"/>
        <v>2.8461167390255747E-2</v>
      </c>
    </row>
    <row r="387" spans="1:13" x14ac:dyDescent="0.25">
      <c r="A387" s="5">
        <v>43238</v>
      </c>
      <c r="B387" s="4">
        <v>2.181</v>
      </c>
      <c r="C387" s="12">
        <f t="shared" si="25"/>
        <v>3.1693472090823169E-2</v>
      </c>
      <c r="E387" s="37">
        <v>43238</v>
      </c>
      <c r="F387" s="38">
        <v>2.226</v>
      </c>
      <c r="G387" s="38">
        <f t="shared" si="26"/>
        <v>3.1510658016682146E-2</v>
      </c>
      <c r="H387" s="7">
        <v>2.214</v>
      </c>
      <c r="I387" s="15">
        <f t="shared" si="27"/>
        <v>2.9767441860465142E-2</v>
      </c>
      <c r="J387" s="10">
        <v>2.2240000000000002</v>
      </c>
      <c r="K387" s="12">
        <f t="shared" si="28"/>
        <v>3.0583873957368064E-2</v>
      </c>
      <c r="L387" s="10">
        <v>2.1949999999999998</v>
      </c>
      <c r="M387" s="12">
        <f t="shared" si="29"/>
        <v>2.9549718574108687E-2</v>
      </c>
    </row>
    <row r="388" spans="1:13" x14ac:dyDescent="0.25">
      <c r="A388" s="5">
        <v>43245</v>
      </c>
      <c r="B388" s="4">
        <v>2.1789999999999998</v>
      </c>
      <c r="C388" s="12">
        <f t="shared" si="25"/>
        <v>-9.1701054562137729E-4</v>
      </c>
      <c r="E388" s="37">
        <v>43245</v>
      </c>
      <c r="F388" s="38">
        <v>2.2400000000000002</v>
      </c>
      <c r="G388" s="38">
        <f t="shared" si="26"/>
        <v>6.2893081761007342E-3</v>
      </c>
      <c r="H388" s="7">
        <v>2.2240000000000002</v>
      </c>
      <c r="I388" s="15">
        <f t="shared" si="27"/>
        <v>4.5167118337851092E-3</v>
      </c>
      <c r="J388" s="10">
        <v>2.2349999999999999</v>
      </c>
      <c r="K388" s="12">
        <f t="shared" si="28"/>
        <v>4.9460431654674798E-3</v>
      </c>
      <c r="L388" s="10">
        <v>2.2050000000000001</v>
      </c>
      <c r="M388" s="12">
        <f t="shared" si="29"/>
        <v>4.5558086560365521E-3</v>
      </c>
    </row>
    <row r="389" spans="1:13" x14ac:dyDescent="0.25">
      <c r="A389" s="5">
        <v>43252</v>
      </c>
      <c r="B389" s="4">
        <v>2.097</v>
      </c>
      <c r="C389" s="12">
        <f t="shared" ref="C389:C452" si="30">(B389-B388)/B388</f>
        <v>-3.7631941257457481E-2</v>
      </c>
      <c r="E389" s="37">
        <v>43252</v>
      </c>
      <c r="F389" s="38">
        <v>2.1629999999999998</v>
      </c>
      <c r="G389" s="38">
        <f t="shared" ref="G389:G452" si="31">(F389-F388)/F388</f>
        <v>-3.4375000000000176E-2</v>
      </c>
      <c r="H389" s="7">
        <v>2.1459999999999999</v>
      </c>
      <c r="I389" s="15">
        <f t="shared" ref="I389:I452" si="32">(H389-H388)/H388</f>
        <v>-3.5071942446043294E-2</v>
      </c>
      <c r="J389" s="10">
        <v>2.1560000000000001</v>
      </c>
      <c r="K389" s="12">
        <f t="shared" ref="K389:K452" si="33">(J389-J388)/J388</f>
        <v>-3.5346756152125167E-2</v>
      </c>
      <c r="L389" s="10">
        <v>2.109</v>
      </c>
      <c r="M389" s="12">
        <f t="shared" ref="M389:M452" si="34">(L389-L388)/L388</f>
        <v>-4.3537414965986433E-2</v>
      </c>
    </row>
    <row r="390" spans="1:13" x14ac:dyDescent="0.25">
      <c r="A390" s="5">
        <v>43259</v>
      </c>
      <c r="B390" s="4">
        <v>2.048</v>
      </c>
      <c r="C390" s="12">
        <f t="shared" si="30"/>
        <v>-2.3366714353838785E-2</v>
      </c>
      <c r="E390" s="37">
        <v>43259</v>
      </c>
      <c r="F390" s="38">
        <v>2.1059999999999999</v>
      </c>
      <c r="G390" s="38">
        <f t="shared" si="31"/>
        <v>-2.6352288488210793E-2</v>
      </c>
      <c r="H390" s="7">
        <v>2.08</v>
      </c>
      <c r="I390" s="15">
        <f t="shared" si="32"/>
        <v>-3.0754892823858265E-2</v>
      </c>
      <c r="J390" s="10">
        <v>2.0960000000000001</v>
      </c>
      <c r="K390" s="12">
        <f t="shared" si="33"/>
        <v>-2.7829313543599282E-2</v>
      </c>
      <c r="L390" s="10">
        <v>1.964</v>
      </c>
      <c r="M390" s="12">
        <f t="shared" si="34"/>
        <v>-6.8752963489805599E-2</v>
      </c>
    </row>
    <row r="391" spans="1:13" x14ac:dyDescent="0.25">
      <c r="A391" s="5">
        <v>43266</v>
      </c>
      <c r="B391" s="4">
        <v>2.024</v>
      </c>
      <c r="C391" s="12">
        <f t="shared" si="30"/>
        <v>-1.171875000000001E-2</v>
      </c>
      <c r="E391" s="37">
        <v>43266</v>
      </c>
      <c r="F391" s="38">
        <v>2.0870000000000002</v>
      </c>
      <c r="G391" s="38">
        <f t="shared" si="31"/>
        <v>-9.0218423551755387E-3</v>
      </c>
      <c r="H391" s="7">
        <v>2.0579999999999998</v>
      </c>
      <c r="I391" s="15">
        <f t="shared" si="32"/>
        <v>-1.0576923076923192E-2</v>
      </c>
      <c r="J391" s="10">
        <v>2.0750000000000002</v>
      </c>
      <c r="K391" s="12">
        <f t="shared" si="33"/>
        <v>-1.0019083969465605E-2</v>
      </c>
      <c r="L391" s="10">
        <v>1.946</v>
      </c>
      <c r="M391" s="12">
        <f t="shared" si="34"/>
        <v>-9.1649694501018415E-3</v>
      </c>
    </row>
    <row r="392" spans="1:13" x14ac:dyDescent="0.25">
      <c r="A392" s="5">
        <v>43273</v>
      </c>
      <c r="B392" s="4">
        <v>1.984</v>
      </c>
      <c r="C392" s="12">
        <f t="shared" si="30"/>
        <v>-1.9762845849802389E-2</v>
      </c>
      <c r="E392" s="37">
        <v>43273</v>
      </c>
      <c r="F392" s="38">
        <v>2.04</v>
      </c>
      <c r="G392" s="38">
        <f t="shared" si="31"/>
        <v>-2.252036415908009E-2</v>
      </c>
      <c r="H392" s="7">
        <v>2.0089999999999999</v>
      </c>
      <c r="I392" s="15">
        <f t="shared" si="32"/>
        <v>-2.3809523809523777E-2</v>
      </c>
      <c r="J392" s="10">
        <v>2.0259999999999998</v>
      </c>
      <c r="K392" s="12">
        <f t="shared" si="33"/>
        <v>-2.3614457831325479E-2</v>
      </c>
      <c r="L392" s="10">
        <v>1.899</v>
      </c>
      <c r="M392" s="12">
        <f t="shared" si="34"/>
        <v>-2.4152106885919799E-2</v>
      </c>
    </row>
    <row r="393" spans="1:13" x14ac:dyDescent="0.25">
      <c r="A393" s="5">
        <v>43280</v>
      </c>
      <c r="B393" s="4">
        <v>2.0529999999999999</v>
      </c>
      <c r="C393" s="12">
        <f t="shared" si="30"/>
        <v>3.4778225806451589E-2</v>
      </c>
      <c r="E393" s="37">
        <v>43280</v>
      </c>
      <c r="F393" s="38">
        <v>2.1139999999999999</v>
      </c>
      <c r="G393" s="38">
        <f t="shared" si="31"/>
        <v>3.6274509803921488E-2</v>
      </c>
      <c r="H393" s="7">
        <v>2.073</v>
      </c>
      <c r="I393" s="15">
        <f t="shared" si="32"/>
        <v>3.1856645097063242E-2</v>
      </c>
      <c r="J393" s="10">
        <v>2.0920000000000001</v>
      </c>
      <c r="K393" s="12">
        <f t="shared" si="33"/>
        <v>3.2576505429417715E-2</v>
      </c>
      <c r="L393" s="10">
        <v>1.962</v>
      </c>
      <c r="M393" s="12">
        <f t="shared" si="34"/>
        <v>3.3175355450236935E-2</v>
      </c>
    </row>
    <row r="394" spans="1:13" x14ac:dyDescent="0.25">
      <c r="A394" s="5">
        <v>43287</v>
      </c>
      <c r="B394" s="4">
        <v>2.0880000000000001</v>
      </c>
      <c r="C394" s="12">
        <f t="shared" si="30"/>
        <v>1.7048222113979612E-2</v>
      </c>
      <c r="E394" s="37">
        <v>43287</v>
      </c>
      <c r="F394" s="38">
        <v>2.1160000000000001</v>
      </c>
      <c r="G394" s="38">
        <f t="shared" si="31"/>
        <v>9.4607379375601889E-4</v>
      </c>
      <c r="H394" s="7">
        <v>1.9830000000000001</v>
      </c>
      <c r="I394" s="15">
        <f t="shared" si="32"/>
        <v>-4.3415340086830616E-2</v>
      </c>
      <c r="J394" s="10">
        <v>2.0960000000000001</v>
      </c>
      <c r="K394" s="12">
        <f t="shared" si="33"/>
        <v>1.9120458891013401E-3</v>
      </c>
      <c r="L394" s="10">
        <v>1.956</v>
      </c>
      <c r="M394" s="12">
        <f t="shared" si="34"/>
        <v>-3.0581039755351708E-3</v>
      </c>
    </row>
    <row r="395" spans="1:13" x14ac:dyDescent="0.25">
      <c r="A395" s="5">
        <v>43294</v>
      </c>
      <c r="B395" s="4">
        <v>2.0750000000000002</v>
      </c>
      <c r="C395" s="12">
        <f t="shared" si="30"/>
        <v>-6.2260536398466952E-3</v>
      </c>
      <c r="E395" s="37">
        <v>43294</v>
      </c>
      <c r="F395" s="38">
        <v>2.11</v>
      </c>
      <c r="G395" s="38">
        <f t="shared" si="31"/>
        <v>-2.8355387523630563E-3</v>
      </c>
      <c r="H395" s="7">
        <v>1.972</v>
      </c>
      <c r="I395" s="15">
        <f t="shared" si="32"/>
        <v>-5.547150781644034E-3</v>
      </c>
      <c r="J395" s="10">
        <v>2.085</v>
      </c>
      <c r="K395" s="12">
        <f t="shared" si="33"/>
        <v>-5.2480916030534924E-3</v>
      </c>
      <c r="L395" s="10">
        <v>1.9450000000000001</v>
      </c>
      <c r="M395" s="12">
        <f t="shared" si="34"/>
        <v>-5.6237218813905412E-3</v>
      </c>
    </row>
    <row r="396" spans="1:13" x14ac:dyDescent="0.25">
      <c r="A396" s="5">
        <v>43301</v>
      </c>
      <c r="B396" s="4">
        <v>2.0070000000000001</v>
      </c>
      <c r="C396" s="12">
        <f t="shared" si="30"/>
        <v>-3.2771084337349425E-2</v>
      </c>
      <c r="E396" s="37">
        <v>43301</v>
      </c>
      <c r="F396" s="38">
        <v>2.0369999999999999</v>
      </c>
      <c r="G396" s="38">
        <f t="shared" si="31"/>
        <v>-3.4597156398104248E-2</v>
      </c>
      <c r="H396" s="7">
        <v>1.893</v>
      </c>
      <c r="I396" s="15">
        <f t="shared" si="32"/>
        <v>-4.006085192697767E-2</v>
      </c>
      <c r="J396" s="10">
        <v>2.0070000000000001</v>
      </c>
      <c r="K396" s="12">
        <f t="shared" si="33"/>
        <v>-3.7410071942445972E-2</v>
      </c>
      <c r="L396" s="10">
        <v>1.8680000000000001</v>
      </c>
      <c r="M396" s="12">
        <f t="shared" si="34"/>
        <v>-3.9588688946015402E-2</v>
      </c>
    </row>
    <row r="397" spans="1:13" x14ac:dyDescent="0.25">
      <c r="A397" s="5">
        <v>43308</v>
      </c>
      <c r="B397" s="4">
        <v>2.1059999999999999</v>
      </c>
      <c r="C397" s="12">
        <f t="shared" si="30"/>
        <v>4.9327354260089558E-2</v>
      </c>
      <c r="E397" s="37">
        <v>43308</v>
      </c>
      <c r="F397" s="38">
        <v>2.1269999999999998</v>
      </c>
      <c r="G397" s="38">
        <f t="shared" si="31"/>
        <v>4.4182621502209064E-2</v>
      </c>
      <c r="H397" s="7">
        <v>1.968</v>
      </c>
      <c r="I397" s="15">
        <f t="shared" si="32"/>
        <v>3.9619651347068123E-2</v>
      </c>
      <c r="J397" s="10">
        <v>2.085</v>
      </c>
      <c r="K397" s="12">
        <f t="shared" si="33"/>
        <v>3.8863976083706946E-2</v>
      </c>
      <c r="L397" s="10">
        <v>1.94</v>
      </c>
      <c r="M397" s="12">
        <f t="shared" si="34"/>
        <v>3.8543897216274006E-2</v>
      </c>
    </row>
    <row r="398" spans="1:13" x14ac:dyDescent="0.25">
      <c r="A398" s="5">
        <v>43315</v>
      </c>
      <c r="B398" s="4">
        <v>2.0950000000000002</v>
      </c>
      <c r="C398" s="12">
        <f t="shared" si="30"/>
        <v>-5.223171889838403E-3</v>
      </c>
      <c r="E398" s="37">
        <v>43315</v>
      </c>
      <c r="F398" s="38">
        <v>2.0939999999999999</v>
      </c>
      <c r="G398" s="38">
        <f t="shared" si="31"/>
        <v>-1.5514809590973165E-2</v>
      </c>
      <c r="H398" s="7">
        <v>1.94</v>
      </c>
      <c r="I398" s="15">
        <f t="shared" si="32"/>
        <v>-1.4227642276422777E-2</v>
      </c>
      <c r="J398" s="10">
        <v>2.0030000000000001</v>
      </c>
      <c r="K398" s="12">
        <f t="shared" si="33"/>
        <v>-3.9328537170263717E-2</v>
      </c>
      <c r="L398" s="10">
        <v>1.917</v>
      </c>
      <c r="M398" s="12">
        <f t="shared" si="34"/>
        <v>-1.1855670103092738E-2</v>
      </c>
    </row>
    <row r="399" spans="1:13" x14ac:dyDescent="0.25">
      <c r="A399" s="5">
        <v>43322</v>
      </c>
      <c r="B399" s="4">
        <v>2.0680000000000001</v>
      </c>
      <c r="C399" s="12">
        <f t="shared" si="30"/>
        <v>-1.2887828162291233E-2</v>
      </c>
      <c r="E399" s="37">
        <v>43322</v>
      </c>
      <c r="F399" s="38">
        <v>2.0459999999999998</v>
      </c>
      <c r="G399" s="38">
        <f t="shared" si="31"/>
        <v>-2.2922636103151886E-2</v>
      </c>
      <c r="H399" s="7">
        <v>1.905</v>
      </c>
      <c r="I399" s="15">
        <f t="shared" si="32"/>
        <v>-1.8041237113402022E-2</v>
      </c>
      <c r="J399" s="10">
        <v>1.9319999999999999</v>
      </c>
      <c r="K399" s="12">
        <f t="shared" si="33"/>
        <v>-3.5446829755367032E-2</v>
      </c>
      <c r="L399" s="10">
        <v>1.887</v>
      </c>
      <c r="M399" s="12">
        <f t="shared" si="34"/>
        <v>-1.5649452269170593E-2</v>
      </c>
    </row>
    <row r="400" spans="1:13" x14ac:dyDescent="0.25">
      <c r="A400" s="5">
        <v>43329</v>
      </c>
      <c r="B400" s="4">
        <v>2.0299999999999998</v>
      </c>
      <c r="C400" s="12">
        <f t="shared" si="30"/>
        <v>-1.8375241779497221E-2</v>
      </c>
      <c r="E400" s="37">
        <v>43329</v>
      </c>
      <c r="F400" s="38">
        <v>2.0030000000000001</v>
      </c>
      <c r="G400" s="38">
        <f t="shared" si="31"/>
        <v>-2.1016617790811196E-2</v>
      </c>
      <c r="H400" s="7">
        <v>1.871</v>
      </c>
      <c r="I400" s="15">
        <f t="shared" si="32"/>
        <v>-1.7847769028871408E-2</v>
      </c>
      <c r="J400" s="10">
        <v>1.8979999999999999</v>
      </c>
      <c r="K400" s="12">
        <f t="shared" si="33"/>
        <v>-1.7598343685300222E-2</v>
      </c>
      <c r="L400" s="10">
        <v>1.853</v>
      </c>
      <c r="M400" s="12">
        <f t="shared" si="34"/>
        <v>-1.8018018018018035E-2</v>
      </c>
    </row>
    <row r="401" spans="1:13" x14ac:dyDescent="0.25">
      <c r="A401" s="5">
        <v>43336</v>
      </c>
      <c r="B401" s="4">
        <v>2.077</v>
      </c>
      <c r="C401" s="12">
        <f t="shared" si="30"/>
        <v>2.3152709359605988E-2</v>
      </c>
      <c r="E401" s="37">
        <v>43336</v>
      </c>
      <c r="F401" s="38">
        <v>2.048</v>
      </c>
      <c r="G401" s="38">
        <f t="shared" si="31"/>
        <v>2.2466300549176199E-2</v>
      </c>
      <c r="H401" s="7">
        <v>1.917</v>
      </c>
      <c r="I401" s="15">
        <f t="shared" si="32"/>
        <v>2.4585783003741337E-2</v>
      </c>
      <c r="J401" s="10">
        <v>1.9430000000000001</v>
      </c>
      <c r="K401" s="12">
        <f t="shared" si="33"/>
        <v>2.3709167544784065E-2</v>
      </c>
      <c r="L401" s="10">
        <v>1.9</v>
      </c>
      <c r="M401" s="12">
        <f t="shared" si="34"/>
        <v>2.5364274150026945E-2</v>
      </c>
    </row>
    <row r="402" spans="1:13" x14ac:dyDescent="0.25">
      <c r="A402" s="5">
        <v>43343</v>
      </c>
      <c r="B402" s="4">
        <v>2.13</v>
      </c>
      <c r="C402" s="12">
        <f t="shared" si="30"/>
        <v>2.5517573423206517E-2</v>
      </c>
      <c r="E402" s="37">
        <v>43343</v>
      </c>
      <c r="F402" s="38">
        <v>2.1120000000000001</v>
      </c>
      <c r="G402" s="38">
        <f t="shared" si="31"/>
        <v>3.1250000000000028E-2</v>
      </c>
      <c r="H402" s="7">
        <v>1.974</v>
      </c>
      <c r="I402" s="15">
        <f t="shared" si="32"/>
        <v>2.9733959311424068E-2</v>
      </c>
      <c r="J402" s="10">
        <v>1.994</v>
      </c>
      <c r="K402" s="12">
        <f t="shared" si="33"/>
        <v>2.6248069994853285E-2</v>
      </c>
      <c r="L402" s="10">
        <v>1.958</v>
      </c>
      <c r="M402" s="12">
        <f t="shared" si="34"/>
        <v>3.0526315789473714E-2</v>
      </c>
    </row>
    <row r="403" spans="1:13" x14ac:dyDescent="0.25">
      <c r="A403" s="5">
        <v>43350</v>
      </c>
      <c r="B403" s="4">
        <v>2.0979999999999999</v>
      </c>
      <c r="C403" s="12">
        <f t="shared" si="30"/>
        <v>-1.5023474178403769E-2</v>
      </c>
      <c r="E403" s="37">
        <v>43350</v>
      </c>
      <c r="F403" s="38">
        <v>1.9750000000000001</v>
      </c>
      <c r="G403" s="38">
        <f t="shared" si="31"/>
        <v>-6.486742424242424E-2</v>
      </c>
      <c r="H403" s="7">
        <v>1.946</v>
      </c>
      <c r="I403" s="15">
        <f t="shared" si="32"/>
        <v>-1.4184397163120581E-2</v>
      </c>
      <c r="J403" s="10">
        <v>1.9590000000000001</v>
      </c>
      <c r="K403" s="12">
        <f t="shared" si="33"/>
        <v>-1.7552657973921724E-2</v>
      </c>
      <c r="L403" s="10">
        <v>1.9430000000000001</v>
      </c>
      <c r="M403" s="12">
        <f t="shared" si="34"/>
        <v>-7.6608784473952514E-3</v>
      </c>
    </row>
    <row r="404" spans="1:13" x14ac:dyDescent="0.25">
      <c r="A404" s="5">
        <v>43357</v>
      </c>
      <c r="B404" s="4">
        <v>2.0609999999999999</v>
      </c>
      <c r="C404" s="12">
        <f t="shared" si="30"/>
        <v>-1.7635843660629133E-2</v>
      </c>
      <c r="E404" s="37">
        <v>43357</v>
      </c>
      <c r="F404" s="38">
        <v>1.994</v>
      </c>
      <c r="G404" s="38">
        <f t="shared" si="31"/>
        <v>9.6202531645569137E-3</v>
      </c>
      <c r="H404" s="7">
        <v>1.964</v>
      </c>
      <c r="I404" s="15">
        <f t="shared" si="32"/>
        <v>9.2497430626927116E-3</v>
      </c>
      <c r="J404" s="10">
        <v>1.978</v>
      </c>
      <c r="K404" s="12">
        <f t="shared" si="33"/>
        <v>9.6988259315977047E-3</v>
      </c>
      <c r="L404" s="10">
        <v>1.9610000000000001</v>
      </c>
      <c r="M404" s="12">
        <f t="shared" si="34"/>
        <v>9.2640247040658846E-3</v>
      </c>
    </row>
    <row r="405" spans="1:13" x14ac:dyDescent="0.25">
      <c r="A405" s="5">
        <v>43364</v>
      </c>
      <c r="B405" s="4">
        <v>2.0750000000000002</v>
      </c>
      <c r="C405" s="12">
        <f t="shared" si="30"/>
        <v>6.7928190198933694E-3</v>
      </c>
      <c r="E405" s="37">
        <v>43364</v>
      </c>
      <c r="F405" s="38">
        <v>2.0070000000000001</v>
      </c>
      <c r="G405" s="38">
        <f t="shared" si="31"/>
        <v>6.5195586760281457E-3</v>
      </c>
      <c r="H405" s="7">
        <v>1.9790000000000001</v>
      </c>
      <c r="I405" s="15">
        <f t="shared" si="32"/>
        <v>7.6374745417515906E-3</v>
      </c>
      <c r="J405" s="10">
        <v>1.994</v>
      </c>
      <c r="K405" s="12">
        <f t="shared" si="33"/>
        <v>8.0889787664307454E-3</v>
      </c>
      <c r="L405" s="10">
        <v>1.9770000000000001</v>
      </c>
      <c r="M405" s="12">
        <f t="shared" si="34"/>
        <v>8.1591024987251477E-3</v>
      </c>
    </row>
    <row r="406" spans="1:13" x14ac:dyDescent="0.25">
      <c r="A406" s="5">
        <v>43371</v>
      </c>
      <c r="B406" s="4">
        <v>2.1379999999999999</v>
      </c>
      <c r="C406" s="12">
        <f t="shared" si="30"/>
        <v>3.0361445783132393E-2</v>
      </c>
      <c r="E406" s="37">
        <v>43371</v>
      </c>
      <c r="F406" s="38">
        <v>2.073</v>
      </c>
      <c r="G406" s="38">
        <f t="shared" si="31"/>
        <v>3.288490284005971E-2</v>
      </c>
      <c r="H406" s="7">
        <v>2.0470000000000002</v>
      </c>
      <c r="I406" s="15">
        <f t="shared" si="32"/>
        <v>3.4360788276907556E-2</v>
      </c>
      <c r="J406" s="10">
        <v>2.06</v>
      </c>
      <c r="K406" s="12">
        <f t="shared" si="33"/>
        <v>3.3099297893681073E-2</v>
      </c>
      <c r="L406" s="10">
        <v>2.0449999999999999</v>
      </c>
      <c r="M406" s="12">
        <f t="shared" si="34"/>
        <v>3.4395548811330216E-2</v>
      </c>
    </row>
    <row r="407" spans="1:13" x14ac:dyDescent="0.25">
      <c r="A407" s="5">
        <v>43378</v>
      </c>
      <c r="B407" s="4">
        <v>2.1949999999999998</v>
      </c>
      <c r="C407" s="12">
        <f t="shared" si="30"/>
        <v>2.6660430308699693E-2</v>
      </c>
      <c r="E407" s="37">
        <v>43378</v>
      </c>
      <c r="F407" s="38">
        <v>2.1160000000000001</v>
      </c>
      <c r="G407" s="38">
        <f t="shared" si="31"/>
        <v>2.0742884708152508E-2</v>
      </c>
      <c r="H407" s="7">
        <v>2.1110000000000002</v>
      </c>
      <c r="I407" s="15">
        <f t="shared" si="32"/>
        <v>3.126526624328288E-2</v>
      </c>
      <c r="J407" s="10">
        <v>2.1110000000000002</v>
      </c>
      <c r="K407" s="12">
        <f t="shared" si="33"/>
        <v>2.4757281553398132E-2</v>
      </c>
      <c r="L407" s="10">
        <v>2.12</v>
      </c>
      <c r="M407" s="12">
        <f t="shared" si="34"/>
        <v>3.6674816625916956E-2</v>
      </c>
    </row>
    <row r="408" spans="1:13" x14ac:dyDescent="0.25">
      <c r="A408" s="5">
        <v>43385</v>
      </c>
      <c r="B408" s="4">
        <v>2.0939999999999999</v>
      </c>
      <c r="C408" s="12">
        <f t="shared" si="30"/>
        <v>-4.6013667425968102E-2</v>
      </c>
      <c r="E408" s="37">
        <v>43385</v>
      </c>
      <c r="F408" s="38">
        <v>2.0129999999999999</v>
      </c>
      <c r="G408" s="38">
        <f t="shared" si="31"/>
        <v>-4.8676748582230714E-2</v>
      </c>
      <c r="H408" s="7">
        <v>2.012</v>
      </c>
      <c r="I408" s="15">
        <f t="shared" si="32"/>
        <v>-4.6897205116058827E-2</v>
      </c>
      <c r="J408" s="10">
        <v>2.0099999999999998</v>
      </c>
      <c r="K408" s="12">
        <f t="shared" si="33"/>
        <v>-4.7844623401231842E-2</v>
      </c>
      <c r="L408" s="10">
        <v>2.024</v>
      </c>
      <c r="M408" s="12">
        <f t="shared" si="34"/>
        <v>-4.5283018867924567E-2</v>
      </c>
    </row>
    <row r="409" spans="1:13" x14ac:dyDescent="0.25">
      <c r="A409" s="5">
        <v>43392</v>
      </c>
      <c r="B409" s="4">
        <v>2.008</v>
      </c>
      <c r="C409" s="12">
        <f t="shared" si="30"/>
        <v>-4.1069723018147021E-2</v>
      </c>
      <c r="E409" s="37">
        <v>43392</v>
      </c>
      <c r="F409" s="38">
        <v>1.929</v>
      </c>
      <c r="G409" s="38">
        <f t="shared" si="31"/>
        <v>-4.1728763040238377E-2</v>
      </c>
      <c r="H409" s="7">
        <v>1.93</v>
      </c>
      <c r="I409" s="15">
        <f t="shared" si="32"/>
        <v>-4.075546719681912E-2</v>
      </c>
      <c r="J409" s="10">
        <v>1.9259999999999999</v>
      </c>
      <c r="K409" s="12">
        <f t="shared" si="33"/>
        <v>-4.1791044776119335E-2</v>
      </c>
      <c r="L409" s="10">
        <v>1.9419999999999999</v>
      </c>
      <c r="M409" s="12">
        <f t="shared" si="34"/>
        <v>-4.0513833992094898E-2</v>
      </c>
    </row>
    <row r="410" spans="1:13" x14ac:dyDescent="0.25">
      <c r="A410" s="5">
        <v>43399</v>
      </c>
      <c r="B410" s="4">
        <v>1.911</v>
      </c>
      <c r="C410" s="12">
        <f t="shared" si="30"/>
        <v>-4.8306772908366519E-2</v>
      </c>
      <c r="E410" s="37">
        <v>43399</v>
      </c>
      <c r="F410" s="38">
        <v>1.839</v>
      </c>
      <c r="G410" s="38">
        <f t="shared" si="31"/>
        <v>-4.6656298600311084E-2</v>
      </c>
      <c r="H410" s="7">
        <v>1.839</v>
      </c>
      <c r="I410" s="15">
        <f t="shared" si="32"/>
        <v>-4.7150259067357501E-2</v>
      </c>
      <c r="J410" s="10">
        <v>1.8360000000000001</v>
      </c>
      <c r="K410" s="12">
        <f t="shared" si="33"/>
        <v>-4.6728971962616751E-2</v>
      </c>
      <c r="L410" s="10">
        <v>1.851</v>
      </c>
      <c r="M410" s="12">
        <f t="shared" si="34"/>
        <v>-4.6858908341915535E-2</v>
      </c>
    </row>
    <row r="411" spans="1:13" x14ac:dyDescent="0.25">
      <c r="A411" s="5">
        <v>43406</v>
      </c>
      <c r="B411" s="4">
        <v>1.83</v>
      </c>
      <c r="C411" s="12">
        <f t="shared" si="30"/>
        <v>-4.238618524332808E-2</v>
      </c>
      <c r="E411" s="37">
        <v>43406</v>
      </c>
      <c r="F411" s="38">
        <v>1.7649999999999999</v>
      </c>
      <c r="G411" s="38">
        <f t="shared" si="31"/>
        <v>-4.0239260467645498E-2</v>
      </c>
      <c r="H411" s="7">
        <v>1.7629999999999999</v>
      </c>
      <c r="I411" s="15">
        <f t="shared" si="32"/>
        <v>-4.1326808047852132E-2</v>
      </c>
      <c r="J411" s="10">
        <v>1.7589999999999999</v>
      </c>
      <c r="K411" s="12">
        <f t="shared" si="33"/>
        <v>-4.1938997821350861E-2</v>
      </c>
      <c r="L411" s="10">
        <v>1.7769999999999999</v>
      </c>
      <c r="M411" s="12">
        <f t="shared" si="34"/>
        <v>-3.9978390059427375E-2</v>
      </c>
    </row>
    <row r="412" spans="1:13" x14ac:dyDescent="0.25">
      <c r="A412" s="5">
        <v>43413</v>
      </c>
      <c r="B412" s="4">
        <v>1.72</v>
      </c>
      <c r="C412" s="12">
        <f t="shared" si="30"/>
        <v>-6.0109289617486392E-2</v>
      </c>
      <c r="E412" s="37">
        <v>43413</v>
      </c>
      <c r="F412" s="38">
        <v>1.66</v>
      </c>
      <c r="G412" s="38">
        <f t="shared" si="31"/>
        <v>-5.9490084985835689E-2</v>
      </c>
      <c r="H412" s="7">
        <v>1.6619999999999999</v>
      </c>
      <c r="I412" s="15">
        <f t="shared" si="32"/>
        <v>-5.7288712422007934E-2</v>
      </c>
      <c r="J412" s="10">
        <v>1.653</v>
      </c>
      <c r="K412" s="12">
        <f t="shared" si="33"/>
        <v>-6.0261512222853822E-2</v>
      </c>
      <c r="L412" s="10">
        <v>1.6830000000000001</v>
      </c>
      <c r="M412" s="12">
        <f t="shared" si="34"/>
        <v>-5.2898142937535093E-2</v>
      </c>
    </row>
    <row r="413" spans="1:13" x14ac:dyDescent="0.25">
      <c r="A413" s="5">
        <v>43420</v>
      </c>
      <c r="B413" s="4">
        <v>1.6339999999999999</v>
      </c>
      <c r="C413" s="12">
        <f t="shared" si="30"/>
        <v>-5.0000000000000044E-2</v>
      </c>
      <c r="E413" s="37">
        <v>43420</v>
      </c>
      <c r="F413" s="38">
        <v>1.575</v>
      </c>
      <c r="G413" s="38">
        <f t="shared" si="31"/>
        <v>-5.1204819277108418E-2</v>
      </c>
      <c r="H413" s="7">
        <v>1.5680000000000001</v>
      </c>
      <c r="I413" s="15">
        <f t="shared" si="32"/>
        <v>-5.6558363417569112E-2</v>
      </c>
      <c r="J413" s="10">
        <v>1.5640000000000001</v>
      </c>
      <c r="K413" s="12">
        <f t="shared" si="33"/>
        <v>-5.3841500302480319E-2</v>
      </c>
      <c r="L413" s="10">
        <v>1.587</v>
      </c>
      <c r="M413" s="12">
        <f t="shared" si="34"/>
        <v>-5.7040998217468858E-2</v>
      </c>
    </row>
    <row r="414" spans="1:13" x14ac:dyDescent="0.25">
      <c r="A414" s="5">
        <v>43427</v>
      </c>
      <c r="B414" s="4">
        <v>1.587</v>
      </c>
      <c r="C414" s="12">
        <f t="shared" si="30"/>
        <v>-2.8763769889840841E-2</v>
      </c>
      <c r="E414" s="37">
        <v>43427</v>
      </c>
      <c r="F414" s="38">
        <v>1.498</v>
      </c>
      <c r="G414" s="38">
        <f t="shared" si="31"/>
        <v>-4.8888888888888864E-2</v>
      </c>
      <c r="H414" s="7">
        <v>1.4870000000000001</v>
      </c>
      <c r="I414" s="15">
        <f t="shared" si="32"/>
        <v>-5.1658163265306097E-2</v>
      </c>
      <c r="J414" s="10">
        <v>1.4830000000000001</v>
      </c>
      <c r="K414" s="12">
        <f t="shared" si="33"/>
        <v>-5.1790281329923249E-2</v>
      </c>
      <c r="L414" s="10">
        <v>1.508</v>
      </c>
      <c r="M414" s="12">
        <f t="shared" si="34"/>
        <v>-4.9779458097038411E-2</v>
      </c>
    </row>
    <row r="415" spans="1:13" x14ac:dyDescent="0.25">
      <c r="A415" s="5">
        <v>43434</v>
      </c>
      <c r="B415" s="4">
        <v>1.5029999999999999</v>
      </c>
      <c r="C415" s="12">
        <f t="shared" si="30"/>
        <v>-5.2930056710775095E-2</v>
      </c>
      <c r="E415" s="37">
        <v>43434</v>
      </c>
      <c r="F415" s="38">
        <v>1.431</v>
      </c>
      <c r="G415" s="38">
        <f t="shared" si="31"/>
        <v>-4.4726301735647497E-2</v>
      </c>
      <c r="H415" s="7">
        <v>1.411</v>
      </c>
      <c r="I415" s="15">
        <f t="shared" si="32"/>
        <v>-5.1109616677874961E-2</v>
      </c>
      <c r="J415" s="10">
        <v>1.407</v>
      </c>
      <c r="K415" s="12">
        <f t="shared" si="33"/>
        <v>-5.1247471341874622E-2</v>
      </c>
      <c r="L415" s="10">
        <v>1.4330000000000001</v>
      </c>
      <c r="M415" s="12">
        <f t="shared" si="34"/>
        <v>-4.973474801061005E-2</v>
      </c>
    </row>
    <row r="416" spans="1:13" x14ac:dyDescent="0.25">
      <c r="A416" s="5">
        <v>43441</v>
      </c>
      <c r="B416" s="4">
        <v>1.53</v>
      </c>
      <c r="C416" s="12">
        <f t="shared" si="30"/>
        <v>1.7964071856287515E-2</v>
      </c>
      <c r="E416" s="37">
        <v>43441</v>
      </c>
      <c r="F416" s="38">
        <v>1.448</v>
      </c>
      <c r="G416" s="38">
        <f t="shared" si="31"/>
        <v>1.1879804332634454E-2</v>
      </c>
      <c r="H416" s="7">
        <v>1.47</v>
      </c>
      <c r="I416" s="15">
        <f t="shared" si="32"/>
        <v>4.1814316087880894E-2</v>
      </c>
      <c r="J416" s="10">
        <v>1.4510000000000001</v>
      </c>
      <c r="K416" s="12">
        <f t="shared" si="33"/>
        <v>3.1272210376688016E-2</v>
      </c>
      <c r="L416" s="10">
        <v>1.6659999999999999</v>
      </c>
      <c r="M416" s="12">
        <f t="shared" si="34"/>
        <v>0.16259595254710388</v>
      </c>
    </row>
    <row r="417" spans="1:13" x14ac:dyDescent="0.25">
      <c r="A417" s="5">
        <v>43448</v>
      </c>
      <c r="B417" s="4">
        <v>1.506</v>
      </c>
      <c r="C417" s="12">
        <f t="shared" si="30"/>
        <v>-1.5686274509803935E-2</v>
      </c>
      <c r="E417" s="37">
        <v>43448</v>
      </c>
      <c r="F417" s="38">
        <v>1.4379999999999999</v>
      </c>
      <c r="G417" s="38">
        <f t="shared" si="31"/>
        <v>-6.906077348066305E-3</v>
      </c>
      <c r="H417" s="7">
        <v>1.4570000000000001</v>
      </c>
      <c r="I417" s="15">
        <f t="shared" si="32"/>
        <v>-8.8435374149659195E-3</v>
      </c>
      <c r="J417" s="10">
        <v>1.44</v>
      </c>
      <c r="K417" s="12">
        <f t="shared" si="33"/>
        <v>-7.5809786354239283E-3</v>
      </c>
      <c r="L417" s="10">
        <v>1.651</v>
      </c>
      <c r="M417" s="12">
        <f t="shared" si="34"/>
        <v>-9.0036014405761727E-3</v>
      </c>
    </row>
    <row r="418" spans="1:13" x14ac:dyDescent="0.25">
      <c r="A418" s="5">
        <v>43455</v>
      </c>
      <c r="B418" s="4">
        <v>1.405</v>
      </c>
      <c r="C418" s="12">
        <f t="shared" si="30"/>
        <v>-6.7065073041168641E-2</v>
      </c>
      <c r="E418" s="37">
        <v>43455</v>
      </c>
      <c r="F418" s="38">
        <v>1.3580000000000001</v>
      </c>
      <c r="G418" s="38">
        <f t="shared" si="31"/>
        <v>-5.5632823365785712E-2</v>
      </c>
      <c r="H418" s="7">
        <v>1.365</v>
      </c>
      <c r="I418" s="15">
        <f t="shared" si="32"/>
        <v>-6.3143445435827089E-2</v>
      </c>
      <c r="J418" s="10">
        <v>1.349</v>
      </c>
      <c r="K418" s="12">
        <f t="shared" si="33"/>
        <v>-6.3194444444444428E-2</v>
      </c>
      <c r="L418" s="10">
        <v>1.552</v>
      </c>
      <c r="M418" s="12">
        <f t="shared" si="34"/>
        <v>-5.9963658388855222E-2</v>
      </c>
    </row>
    <row r="419" spans="1:13" x14ac:dyDescent="0.25">
      <c r="A419" s="5">
        <v>43462</v>
      </c>
      <c r="B419" s="4">
        <v>1.3720000000000001</v>
      </c>
      <c r="C419" s="12">
        <f t="shared" si="30"/>
        <v>-2.3487544483985708E-2</v>
      </c>
      <c r="E419" s="37">
        <v>43462</v>
      </c>
      <c r="F419" s="38">
        <v>1.302</v>
      </c>
      <c r="G419" s="38">
        <f t="shared" si="31"/>
        <v>-4.123711340206189E-2</v>
      </c>
      <c r="H419" s="7">
        <v>1.296</v>
      </c>
      <c r="I419" s="15">
        <f t="shared" si="32"/>
        <v>-5.0549450549450516E-2</v>
      </c>
      <c r="J419" s="10">
        <v>1.286</v>
      </c>
      <c r="K419" s="12">
        <f t="shared" si="33"/>
        <v>-4.6701260192735322E-2</v>
      </c>
      <c r="L419" s="10">
        <v>1.476</v>
      </c>
      <c r="M419" s="12">
        <f t="shared" si="34"/>
        <v>-4.8969072164948495E-2</v>
      </c>
    </row>
    <row r="420" spans="1:13" x14ac:dyDescent="0.25">
      <c r="A420" s="5">
        <v>43469</v>
      </c>
      <c r="B420" s="4">
        <v>1.389</v>
      </c>
      <c r="C420" s="12">
        <f t="shared" si="30"/>
        <v>1.2390670553935789E-2</v>
      </c>
      <c r="E420" s="37">
        <v>43469</v>
      </c>
      <c r="F420" s="38">
        <v>1.33</v>
      </c>
      <c r="G420" s="38">
        <f t="shared" si="31"/>
        <v>2.1505376344086041E-2</v>
      </c>
      <c r="H420" s="7">
        <v>1.4830000000000001</v>
      </c>
      <c r="I420" s="15">
        <f t="shared" si="32"/>
        <v>0.14429012345679015</v>
      </c>
      <c r="J420" s="10">
        <v>1.3340000000000001</v>
      </c>
      <c r="K420" s="12">
        <f t="shared" si="33"/>
        <v>3.7325038880248865E-2</v>
      </c>
      <c r="L420" s="10">
        <v>1.5289999999999999</v>
      </c>
      <c r="M420" s="12">
        <f t="shared" si="34"/>
        <v>3.5907859078590745E-2</v>
      </c>
    </row>
    <row r="421" spans="1:13" x14ac:dyDescent="0.25">
      <c r="A421" s="5">
        <v>43476</v>
      </c>
      <c r="B421" s="4">
        <v>1.4419999999999999</v>
      </c>
      <c r="C421" s="12">
        <f t="shared" si="30"/>
        <v>3.815694744420442E-2</v>
      </c>
      <c r="E421" s="37">
        <v>43476</v>
      </c>
      <c r="F421" s="38">
        <v>1.3919999999999999</v>
      </c>
      <c r="G421" s="38">
        <f t="shared" si="31"/>
        <v>4.6616541353383334E-2</v>
      </c>
      <c r="H421" s="7">
        <v>1.601</v>
      </c>
      <c r="I421" s="15">
        <f t="shared" si="32"/>
        <v>7.9568442346594659E-2</v>
      </c>
      <c r="J421" s="10">
        <v>1.4059999999999999</v>
      </c>
      <c r="K421" s="12">
        <f t="shared" si="33"/>
        <v>5.3973013493253251E-2</v>
      </c>
      <c r="L421" s="10">
        <v>1.6180000000000001</v>
      </c>
      <c r="M421" s="12">
        <f t="shared" si="34"/>
        <v>5.8207979071288551E-2</v>
      </c>
    </row>
    <row r="422" spans="1:13" x14ac:dyDescent="0.25">
      <c r="A422" s="5">
        <v>43483</v>
      </c>
      <c r="B422" s="4">
        <v>1.448</v>
      </c>
      <c r="C422" s="12">
        <f t="shared" si="30"/>
        <v>4.1608876560332913E-3</v>
      </c>
      <c r="E422" s="37">
        <v>43483</v>
      </c>
      <c r="F422" s="38">
        <v>1.415</v>
      </c>
      <c r="G422" s="38">
        <f t="shared" si="31"/>
        <v>1.6522988505747221E-2</v>
      </c>
      <c r="H422" s="7">
        <v>1.6240000000000001</v>
      </c>
      <c r="I422" s="15">
        <f t="shared" si="32"/>
        <v>1.4366021236727127E-2</v>
      </c>
      <c r="J422" s="10">
        <v>1.43</v>
      </c>
      <c r="K422" s="12">
        <f t="shared" si="33"/>
        <v>1.7069701280227612E-2</v>
      </c>
      <c r="L422" s="10">
        <v>1.64</v>
      </c>
      <c r="M422" s="12">
        <f t="shared" si="34"/>
        <v>1.3597033374536339E-2</v>
      </c>
    </row>
    <row r="423" spans="1:13" x14ac:dyDescent="0.25">
      <c r="A423" s="5">
        <v>43490</v>
      </c>
      <c r="B423" s="4">
        <v>1.429</v>
      </c>
      <c r="C423" s="12">
        <f t="shared" si="30"/>
        <v>-1.3121546961325902E-2</v>
      </c>
      <c r="E423" s="37">
        <v>43490</v>
      </c>
      <c r="F423" s="38">
        <v>1.391</v>
      </c>
      <c r="G423" s="38">
        <f t="shared" si="31"/>
        <v>-1.6961130742049486E-2</v>
      </c>
      <c r="H423" s="7">
        <v>1.609</v>
      </c>
      <c r="I423" s="15">
        <f t="shared" si="32"/>
        <v>-9.2364532019705188E-3</v>
      </c>
      <c r="J423" s="10">
        <v>1.4059999999999999</v>
      </c>
      <c r="K423" s="12">
        <f t="shared" si="33"/>
        <v>-1.6783216783216801E-2</v>
      </c>
      <c r="L423" s="10">
        <v>1.627</v>
      </c>
      <c r="M423" s="12">
        <f t="shared" si="34"/>
        <v>-7.9268292682926223E-3</v>
      </c>
    </row>
    <row r="424" spans="1:13" x14ac:dyDescent="0.25">
      <c r="A424" s="5">
        <v>43497</v>
      </c>
      <c r="B424" s="4">
        <v>1.413</v>
      </c>
      <c r="C424" s="12">
        <f t="shared" si="30"/>
        <v>-1.11966410076977E-2</v>
      </c>
      <c r="E424" s="37">
        <v>43497</v>
      </c>
      <c r="F424" s="38">
        <v>1.373</v>
      </c>
      <c r="G424" s="38">
        <f t="shared" si="31"/>
        <v>-1.2940330697340054E-2</v>
      </c>
      <c r="H424" s="7">
        <v>1.5980000000000001</v>
      </c>
      <c r="I424" s="15">
        <f t="shared" si="32"/>
        <v>-6.8365444375387812E-3</v>
      </c>
      <c r="J424" s="10">
        <v>1.4279999999999999</v>
      </c>
      <c r="K424" s="12">
        <f t="shared" si="33"/>
        <v>1.5647226173541976E-2</v>
      </c>
      <c r="L424" s="10">
        <v>1.6140000000000001</v>
      </c>
      <c r="M424" s="12">
        <f t="shared" si="34"/>
        <v>-7.99016594960043E-3</v>
      </c>
    </row>
    <row r="425" spans="1:13" x14ac:dyDescent="0.25">
      <c r="A425" s="5">
        <v>43504</v>
      </c>
      <c r="B425" s="4">
        <v>1.474</v>
      </c>
      <c r="C425" s="12">
        <f t="shared" si="30"/>
        <v>4.3170559094125933E-2</v>
      </c>
      <c r="E425" s="37">
        <v>43504</v>
      </c>
      <c r="F425" s="38">
        <v>1.4379999999999999</v>
      </c>
      <c r="G425" s="38">
        <f t="shared" si="31"/>
        <v>4.7341587764020351E-2</v>
      </c>
      <c r="H425" s="7">
        <v>1.6359999999999999</v>
      </c>
      <c r="I425" s="15">
        <f t="shared" si="32"/>
        <v>2.3779724655819654E-2</v>
      </c>
      <c r="J425" s="10">
        <v>1.62</v>
      </c>
      <c r="K425" s="12">
        <f t="shared" si="33"/>
        <v>0.13445378151260517</v>
      </c>
      <c r="L425" s="10">
        <v>1.643</v>
      </c>
      <c r="M425" s="12">
        <f t="shared" si="34"/>
        <v>1.79677819083023E-2</v>
      </c>
    </row>
    <row r="426" spans="1:13" x14ac:dyDescent="0.25">
      <c r="A426" s="5">
        <v>43511</v>
      </c>
      <c r="B426" s="4">
        <v>1.53</v>
      </c>
      <c r="C426" s="12">
        <f t="shared" si="30"/>
        <v>3.7991858887381311E-2</v>
      </c>
      <c r="E426" s="37">
        <v>43511</v>
      </c>
      <c r="F426" s="38">
        <v>1.4790000000000001</v>
      </c>
      <c r="G426" s="38">
        <f t="shared" si="31"/>
        <v>2.8511821974965334E-2</v>
      </c>
      <c r="H426" s="7">
        <v>1.675</v>
      </c>
      <c r="I426" s="15">
        <f t="shared" si="32"/>
        <v>2.3838630806846055E-2</v>
      </c>
      <c r="J426" s="10">
        <v>1.659</v>
      </c>
      <c r="K426" s="12">
        <f t="shared" si="33"/>
        <v>2.4074074074074026E-2</v>
      </c>
      <c r="L426" s="10">
        <v>1.681</v>
      </c>
      <c r="M426" s="12">
        <f t="shared" si="34"/>
        <v>2.3128423615337818E-2</v>
      </c>
    </row>
    <row r="427" spans="1:13" x14ac:dyDescent="0.25">
      <c r="A427" s="5">
        <v>43518</v>
      </c>
      <c r="B427" s="4">
        <v>1.6479999999999999</v>
      </c>
      <c r="C427" s="12">
        <f t="shared" si="30"/>
        <v>7.7124183006535868E-2</v>
      </c>
      <c r="E427" s="37">
        <v>43518</v>
      </c>
      <c r="F427" s="38">
        <v>1.5920000000000001</v>
      </c>
      <c r="G427" s="38">
        <f t="shared" si="31"/>
        <v>7.6402974983096672E-2</v>
      </c>
      <c r="H427" s="7">
        <v>1.7689999999999999</v>
      </c>
      <c r="I427" s="15">
        <f t="shared" si="32"/>
        <v>5.6119402985074542E-2</v>
      </c>
      <c r="J427" s="10">
        <v>1.7549999999999999</v>
      </c>
      <c r="K427" s="12">
        <f t="shared" si="33"/>
        <v>5.7866184448462844E-2</v>
      </c>
      <c r="L427" s="10">
        <v>1.7729999999999999</v>
      </c>
      <c r="M427" s="12">
        <f t="shared" si="34"/>
        <v>5.4729327781082603E-2</v>
      </c>
    </row>
    <row r="428" spans="1:13" x14ac:dyDescent="0.25">
      <c r="A428" s="5">
        <v>43525</v>
      </c>
      <c r="B428" s="4">
        <v>1.6830000000000001</v>
      </c>
      <c r="C428" s="12">
        <f t="shared" si="30"/>
        <v>2.1237864077669991E-2</v>
      </c>
      <c r="E428" s="37">
        <v>43525</v>
      </c>
      <c r="F428" s="38">
        <v>1.625</v>
      </c>
      <c r="G428" s="38">
        <f t="shared" si="31"/>
        <v>2.072864321608035E-2</v>
      </c>
      <c r="H428" s="7">
        <v>1.7490000000000001</v>
      </c>
      <c r="I428" s="15">
        <f t="shared" si="32"/>
        <v>-1.1305822498586658E-2</v>
      </c>
      <c r="J428" s="10">
        <v>1.7370000000000001</v>
      </c>
      <c r="K428" s="12">
        <f t="shared" si="33"/>
        <v>-1.025641025641014E-2</v>
      </c>
      <c r="L428" s="10">
        <v>1.752</v>
      </c>
      <c r="M428" s="12">
        <f t="shared" si="34"/>
        <v>-1.1844331641285904E-2</v>
      </c>
    </row>
    <row r="429" spans="1:13" x14ac:dyDescent="0.25">
      <c r="A429" s="5">
        <v>43532</v>
      </c>
      <c r="B429" s="4">
        <v>1.7070000000000001</v>
      </c>
      <c r="C429" s="12">
        <f t="shared" si="30"/>
        <v>1.4260249554367214E-2</v>
      </c>
      <c r="E429" s="37">
        <v>43532</v>
      </c>
      <c r="F429" s="38">
        <v>1.7829999999999999</v>
      </c>
      <c r="G429" s="38">
        <f t="shared" si="31"/>
        <v>9.7230769230769176E-2</v>
      </c>
      <c r="H429" s="7">
        <v>1.79</v>
      </c>
      <c r="I429" s="15">
        <f t="shared" si="32"/>
        <v>2.3441966838193211E-2</v>
      </c>
      <c r="J429" s="10">
        <v>1.7889999999999999</v>
      </c>
      <c r="K429" s="12">
        <f t="shared" si="33"/>
        <v>2.9936672423718953E-2</v>
      </c>
      <c r="L429" s="10">
        <v>1.784</v>
      </c>
      <c r="M429" s="12">
        <f t="shared" si="34"/>
        <v>1.8264840182648418E-2</v>
      </c>
    </row>
    <row r="430" spans="1:13" x14ac:dyDescent="0.25">
      <c r="A430" s="5">
        <v>43539</v>
      </c>
      <c r="B430" s="4">
        <v>1.7969999999999999</v>
      </c>
      <c r="C430" s="12">
        <f t="shared" si="30"/>
        <v>5.2724077328646667E-2</v>
      </c>
      <c r="E430" s="37">
        <v>43539</v>
      </c>
      <c r="F430" s="38">
        <v>1.841</v>
      </c>
      <c r="G430" s="38">
        <f t="shared" si="31"/>
        <v>3.2529444756029195E-2</v>
      </c>
      <c r="H430" s="7">
        <v>1.827</v>
      </c>
      <c r="I430" s="15">
        <f t="shared" si="32"/>
        <v>2.0670391061452471E-2</v>
      </c>
      <c r="J430" s="10">
        <v>1.833</v>
      </c>
      <c r="K430" s="12">
        <f t="shared" si="33"/>
        <v>2.4594745667970958E-2</v>
      </c>
      <c r="L430" s="10">
        <v>1.8180000000000001</v>
      </c>
      <c r="M430" s="12">
        <f t="shared" si="34"/>
        <v>1.9058295964125577E-2</v>
      </c>
    </row>
    <row r="431" spans="1:13" x14ac:dyDescent="0.25">
      <c r="A431" s="5">
        <v>43546</v>
      </c>
      <c r="B431" s="4">
        <v>1.89</v>
      </c>
      <c r="C431" s="12">
        <f t="shared" si="30"/>
        <v>5.1752921535893143E-2</v>
      </c>
      <c r="E431" s="37">
        <v>43546</v>
      </c>
      <c r="F431" s="38">
        <v>1.9079999999999999</v>
      </c>
      <c r="G431" s="38">
        <f t="shared" si="31"/>
        <v>3.639326453014663E-2</v>
      </c>
      <c r="H431" s="7">
        <v>1.869</v>
      </c>
      <c r="I431" s="15">
        <f t="shared" si="32"/>
        <v>2.2988505747126457E-2</v>
      </c>
      <c r="J431" s="10">
        <v>1.8839999999999999</v>
      </c>
      <c r="K431" s="12">
        <f t="shared" si="33"/>
        <v>2.7823240589198002E-2</v>
      </c>
      <c r="L431" s="10">
        <v>1.855</v>
      </c>
      <c r="M431" s="12">
        <f t="shared" si="34"/>
        <v>2.0352035203520309E-2</v>
      </c>
    </row>
    <row r="432" spans="1:13" x14ac:dyDescent="0.25">
      <c r="A432" s="5">
        <v>43553</v>
      </c>
      <c r="B432" s="4">
        <v>1.8620000000000001</v>
      </c>
      <c r="C432" s="12">
        <f t="shared" si="30"/>
        <v>-1.4814814814814711E-2</v>
      </c>
      <c r="E432" s="37">
        <v>43553</v>
      </c>
      <c r="F432" s="38">
        <v>1.913</v>
      </c>
      <c r="G432" s="38">
        <f t="shared" si="31"/>
        <v>2.6205450733753225E-3</v>
      </c>
      <c r="H432" s="7">
        <v>1.8660000000000001</v>
      </c>
      <c r="I432" s="15">
        <f t="shared" si="32"/>
        <v>-1.6051364365970528E-3</v>
      </c>
      <c r="J432" s="10">
        <v>1.883</v>
      </c>
      <c r="K432" s="12">
        <f t="shared" si="33"/>
        <v>-5.3078556263263794E-4</v>
      </c>
      <c r="L432" s="10">
        <v>1.849</v>
      </c>
      <c r="M432" s="12">
        <f t="shared" si="34"/>
        <v>-3.2345013477088976E-3</v>
      </c>
    </row>
    <row r="433" spans="1:13" x14ac:dyDescent="0.25">
      <c r="A433" s="5">
        <v>43560</v>
      </c>
      <c r="B433" s="4">
        <v>1.9239999999999999</v>
      </c>
      <c r="C433" s="12">
        <f t="shared" si="30"/>
        <v>3.3297529538130949E-2</v>
      </c>
      <c r="E433" s="37">
        <v>43560</v>
      </c>
      <c r="F433" s="38">
        <v>1.9370000000000001</v>
      </c>
      <c r="G433" s="38">
        <f t="shared" si="31"/>
        <v>1.2545739675901736E-2</v>
      </c>
      <c r="H433" s="7">
        <v>1.903</v>
      </c>
      <c r="I433" s="15">
        <f t="shared" si="32"/>
        <v>1.9828510182207888E-2</v>
      </c>
      <c r="J433" s="10">
        <v>1.92</v>
      </c>
      <c r="K433" s="12">
        <f t="shared" si="33"/>
        <v>1.964949548592667E-2</v>
      </c>
      <c r="L433" s="10">
        <v>1.8819999999999999</v>
      </c>
      <c r="M433" s="12">
        <f t="shared" si="34"/>
        <v>1.7847485127095684E-2</v>
      </c>
    </row>
    <row r="434" spans="1:13" x14ac:dyDescent="0.25">
      <c r="A434" s="5">
        <v>43567</v>
      </c>
      <c r="B434" s="4">
        <v>2.04</v>
      </c>
      <c r="C434" s="12">
        <f t="shared" si="30"/>
        <v>6.029106029106035E-2</v>
      </c>
      <c r="E434" s="37">
        <v>43567</v>
      </c>
      <c r="F434" s="38">
        <v>2.0249999999999999</v>
      </c>
      <c r="G434" s="38">
        <f t="shared" si="31"/>
        <v>4.5431078988125893E-2</v>
      </c>
      <c r="H434" s="7">
        <v>1.972</v>
      </c>
      <c r="I434" s="15">
        <f t="shared" si="32"/>
        <v>3.6258539148712535E-2</v>
      </c>
      <c r="J434" s="10">
        <v>1.996</v>
      </c>
      <c r="K434" s="12">
        <f t="shared" si="33"/>
        <v>3.9583333333333373E-2</v>
      </c>
      <c r="L434" s="10">
        <v>1.948</v>
      </c>
      <c r="M434" s="12">
        <f t="shared" si="34"/>
        <v>3.5069075451647218E-2</v>
      </c>
    </row>
    <row r="435" spans="1:13" x14ac:dyDescent="0.25">
      <c r="A435" s="5">
        <v>43574</v>
      </c>
      <c r="B435" s="4">
        <v>2.069</v>
      </c>
      <c r="C435" s="12">
        <f t="shared" si="30"/>
        <v>1.4215686274509762E-2</v>
      </c>
      <c r="E435" s="37">
        <v>43574</v>
      </c>
      <c r="F435" s="38">
        <v>2.0459999999999998</v>
      </c>
      <c r="G435" s="38">
        <f t="shared" si="31"/>
        <v>1.0370370370370325E-2</v>
      </c>
      <c r="H435" s="7">
        <v>1.99</v>
      </c>
      <c r="I435" s="15">
        <f t="shared" si="32"/>
        <v>9.1277890466531526E-3</v>
      </c>
      <c r="J435" s="10">
        <v>2.0150000000000001</v>
      </c>
      <c r="K435" s="12">
        <f t="shared" si="33"/>
        <v>9.5190380761523679E-3</v>
      </c>
      <c r="L435" s="10">
        <v>1.9650000000000001</v>
      </c>
      <c r="M435" s="12">
        <f t="shared" si="34"/>
        <v>8.7268993839836381E-3</v>
      </c>
    </row>
    <row r="436" spans="1:13" x14ac:dyDescent="0.25">
      <c r="A436" s="5">
        <v>43581</v>
      </c>
      <c r="B436" s="4">
        <v>2.125</v>
      </c>
      <c r="C436" s="12">
        <f t="shared" si="30"/>
        <v>2.7066215563073974E-2</v>
      </c>
      <c r="E436" s="37">
        <v>43581</v>
      </c>
      <c r="F436" s="38">
        <v>2.125</v>
      </c>
      <c r="G436" s="38">
        <f t="shared" si="31"/>
        <v>3.8611925708699993E-2</v>
      </c>
      <c r="H436" s="7">
        <v>2.04</v>
      </c>
      <c r="I436" s="15">
        <f t="shared" si="32"/>
        <v>2.512562814070354E-2</v>
      </c>
      <c r="J436" s="10">
        <v>2.0720000000000001</v>
      </c>
      <c r="K436" s="12">
        <f t="shared" si="33"/>
        <v>2.8287841191066965E-2</v>
      </c>
      <c r="L436" s="10">
        <v>2.008</v>
      </c>
      <c r="M436" s="12">
        <f t="shared" si="34"/>
        <v>2.1882951653943983E-2</v>
      </c>
    </row>
    <row r="437" spans="1:13" x14ac:dyDescent="0.25">
      <c r="A437" s="5">
        <v>43588</v>
      </c>
      <c r="B437" s="4">
        <v>2.02</v>
      </c>
      <c r="C437" s="12">
        <f t="shared" si="30"/>
        <v>-4.9411764705882343E-2</v>
      </c>
      <c r="E437" s="37">
        <v>43588</v>
      </c>
      <c r="F437" s="38">
        <v>2.0630000000000002</v>
      </c>
      <c r="G437" s="38">
        <f t="shared" si="31"/>
        <v>-2.9176470588235217E-2</v>
      </c>
      <c r="H437" s="7">
        <v>1.988</v>
      </c>
      <c r="I437" s="15">
        <f t="shared" si="32"/>
        <v>-2.5490196078431393E-2</v>
      </c>
      <c r="J437" s="10">
        <v>2.0209999999999999</v>
      </c>
      <c r="K437" s="12">
        <f t="shared" si="33"/>
        <v>-2.461389961389969E-2</v>
      </c>
      <c r="L437" s="10">
        <v>1.954</v>
      </c>
      <c r="M437" s="12">
        <f t="shared" si="34"/>
        <v>-2.6892430278884487E-2</v>
      </c>
    </row>
    <row r="438" spans="1:13" x14ac:dyDescent="0.25">
      <c r="A438" s="5">
        <v>43595</v>
      </c>
      <c r="B438" s="4">
        <v>1.921</v>
      </c>
      <c r="C438" s="12">
        <f t="shared" si="30"/>
        <v>-4.9009900990098998E-2</v>
      </c>
      <c r="E438" s="37">
        <v>43595</v>
      </c>
      <c r="F438" s="38">
        <v>1.9770000000000001</v>
      </c>
      <c r="G438" s="38">
        <f t="shared" si="31"/>
        <v>-4.1686863790596253E-2</v>
      </c>
      <c r="H438" s="7">
        <v>1.917</v>
      </c>
      <c r="I438" s="15">
        <f t="shared" si="32"/>
        <v>-3.5714285714285691E-2</v>
      </c>
      <c r="J438" s="10">
        <v>1.946</v>
      </c>
      <c r="K438" s="12">
        <f t="shared" si="33"/>
        <v>-3.7110341415140996E-2</v>
      </c>
      <c r="L438" s="10">
        <v>1.887</v>
      </c>
      <c r="M438" s="12">
        <f t="shared" si="34"/>
        <v>-3.4288638689866917E-2</v>
      </c>
    </row>
    <row r="439" spans="1:13" x14ac:dyDescent="0.25">
      <c r="A439" s="5">
        <v>43602</v>
      </c>
      <c r="B439" s="4">
        <v>1.956</v>
      </c>
      <c r="C439" s="12">
        <f t="shared" si="30"/>
        <v>1.8219677251431504E-2</v>
      </c>
      <c r="E439" s="37">
        <v>43602</v>
      </c>
      <c r="F439" s="38">
        <v>2.012</v>
      </c>
      <c r="G439" s="38">
        <f t="shared" si="31"/>
        <v>1.7703591299949376E-2</v>
      </c>
      <c r="H439" s="7">
        <v>1.95</v>
      </c>
      <c r="I439" s="15">
        <f t="shared" si="32"/>
        <v>1.7214397496087594E-2</v>
      </c>
      <c r="J439" s="10">
        <v>1.982</v>
      </c>
      <c r="K439" s="12">
        <f t="shared" si="33"/>
        <v>1.8499486125385423E-2</v>
      </c>
      <c r="L439" s="10">
        <v>1.917</v>
      </c>
      <c r="M439" s="12">
        <f t="shared" si="34"/>
        <v>1.5898251192368852E-2</v>
      </c>
    </row>
    <row r="440" spans="1:13" x14ac:dyDescent="0.25">
      <c r="A440" s="5">
        <v>43609</v>
      </c>
      <c r="B440" s="4">
        <v>1.911</v>
      </c>
      <c r="C440" s="12">
        <f t="shared" si="30"/>
        <v>-2.3006134969325118E-2</v>
      </c>
      <c r="E440" s="37">
        <v>43609</v>
      </c>
      <c r="F440" s="38">
        <v>1.974</v>
      </c>
      <c r="G440" s="38">
        <f t="shared" si="31"/>
        <v>-1.8886679920477153E-2</v>
      </c>
      <c r="H440" s="7">
        <v>1.9179999999999999</v>
      </c>
      <c r="I440" s="15">
        <f t="shared" si="32"/>
        <v>-1.6410256410256424E-2</v>
      </c>
      <c r="J440" s="10">
        <v>1.9510000000000001</v>
      </c>
      <c r="K440" s="12">
        <f t="shared" si="33"/>
        <v>-1.5640766902119029E-2</v>
      </c>
      <c r="L440" s="10">
        <v>1.8839999999999999</v>
      </c>
      <c r="M440" s="12">
        <f t="shared" si="34"/>
        <v>-1.7214397496087708E-2</v>
      </c>
    </row>
    <row r="441" spans="1:13" x14ac:dyDescent="0.25">
      <c r="A441" s="5">
        <v>43616</v>
      </c>
      <c r="B441" s="4">
        <v>1.83</v>
      </c>
      <c r="C441" s="12">
        <f t="shared" si="30"/>
        <v>-4.238618524332808E-2</v>
      </c>
      <c r="E441" s="37">
        <v>43616</v>
      </c>
      <c r="F441" s="38">
        <v>1.8959999999999999</v>
      </c>
      <c r="G441" s="38">
        <f t="shared" si="31"/>
        <v>-3.9513677811550185E-2</v>
      </c>
      <c r="H441" s="7">
        <v>1.837</v>
      </c>
      <c r="I441" s="15">
        <f t="shared" si="32"/>
        <v>-4.2231491136600609E-2</v>
      </c>
      <c r="J441" s="10">
        <v>1.87</v>
      </c>
      <c r="K441" s="12">
        <f t="shared" si="33"/>
        <v>-4.1517170681701673E-2</v>
      </c>
      <c r="L441" s="10">
        <v>1.804</v>
      </c>
      <c r="M441" s="12">
        <f t="shared" si="34"/>
        <v>-4.2462845010615632E-2</v>
      </c>
    </row>
    <row r="442" spans="1:13" x14ac:dyDescent="0.25">
      <c r="A442" s="5">
        <v>43623</v>
      </c>
      <c r="B442" s="4">
        <v>1.6459999999999999</v>
      </c>
      <c r="C442" s="12">
        <f t="shared" si="30"/>
        <v>-0.10054644808743178</v>
      </c>
      <c r="E442" s="37">
        <v>43623</v>
      </c>
      <c r="F442" s="38">
        <v>1.7210000000000001</v>
      </c>
      <c r="G442" s="38">
        <f t="shared" si="31"/>
        <v>-9.2299578059071644E-2</v>
      </c>
      <c r="H442" s="7">
        <v>1.663</v>
      </c>
      <c r="I442" s="15">
        <f t="shared" si="32"/>
        <v>-9.4719651605879113E-2</v>
      </c>
      <c r="J442" s="10">
        <v>1.6919999999999999</v>
      </c>
      <c r="K442" s="12">
        <f t="shared" si="33"/>
        <v>-9.518716577540115E-2</v>
      </c>
      <c r="L442" s="10">
        <v>1.5229999999999999</v>
      </c>
      <c r="M442" s="12">
        <f t="shared" si="34"/>
        <v>-0.15576496674057658</v>
      </c>
    </row>
    <row r="443" spans="1:13" x14ac:dyDescent="0.25">
      <c r="A443" s="5">
        <v>43630</v>
      </c>
      <c r="B443" s="4">
        <v>1.6830000000000001</v>
      </c>
      <c r="C443" s="12">
        <f t="shared" si="30"/>
        <v>2.2478736330498267E-2</v>
      </c>
      <c r="E443" s="37">
        <v>43630</v>
      </c>
      <c r="F443" s="38">
        <v>1.7250000000000001</v>
      </c>
      <c r="G443" s="38">
        <f t="shared" si="31"/>
        <v>2.3242300987797813E-3</v>
      </c>
      <c r="H443" s="7">
        <v>1.667</v>
      </c>
      <c r="I443" s="15">
        <f t="shared" si="32"/>
        <v>2.4052916416115477E-3</v>
      </c>
      <c r="J443" s="10">
        <v>1.698</v>
      </c>
      <c r="K443" s="12">
        <f t="shared" si="33"/>
        <v>3.5460992907801452E-3</v>
      </c>
      <c r="L443" s="10">
        <v>1.53</v>
      </c>
      <c r="M443" s="12">
        <f t="shared" si="34"/>
        <v>4.5961917268549689E-3</v>
      </c>
    </row>
    <row r="444" spans="1:13" x14ac:dyDescent="0.25">
      <c r="A444" s="5">
        <v>43637</v>
      </c>
      <c r="B444" s="4">
        <v>1.742</v>
      </c>
      <c r="C444" s="12">
        <f t="shared" si="30"/>
        <v>3.5056446821152665E-2</v>
      </c>
      <c r="E444" s="37">
        <v>43637</v>
      </c>
      <c r="F444" s="38">
        <v>1.758</v>
      </c>
      <c r="G444" s="38">
        <f t="shared" si="31"/>
        <v>1.9130434782608646E-2</v>
      </c>
      <c r="H444" s="7">
        <v>1.7010000000000001</v>
      </c>
      <c r="I444" s="15">
        <f t="shared" si="32"/>
        <v>2.0395920815836851E-2</v>
      </c>
      <c r="J444" s="10">
        <v>1.732</v>
      </c>
      <c r="K444" s="12">
        <f t="shared" si="33"/>
        <v>2.0023557126030642E-2</v>
      </c>
      <c r="L444" s="10">
        <v>1.5640000000000001</v>
      </c>
      <c r="M444" s="12">
        <f t="shared" si="34"/>
        <v>2.222222222222224E-2</v>
      </c>
    </row>
    <row r="445" spans="1:13" x14ac:dyDescent="0.25">
      <c r="A445" s="5">
        <v>43644</v>
      </c>
      <c r="B445" s="4">
        <v>1.89</v>
      </c>
      <c r="C445" s="12">
        <f t="shared" si="30"/>
        <v>8.495981630309983E-2</v>
      </c>
      <c r="E445" s="37">
        <v>43644</v>
      </c>
      <c r="F445" s="38">
        <v>1.9179999999999999</v>
      </c>
      <c r="G445" s="38">
        <f t="shared" si="31"/>
        <v>9.1012514220705304E-2</v>
      </c>
      <c r="H445" s="7">
        <v>1.8380000000000001</v>
      </c>
      <c r="I445" s="15">
        <f t="shared" si="32"/>
        <v>8.0540858318636097E-2</v>
      </c>
      <c r="J445" s="10">
        <v>1.881</v>
      </c>
      <c r="K445" s="12">
        <f t="shared" si="33"/>
        <v>8.6027713625866059E-2</v>
      </c>
      <c r="L445" s="10">
        <v>1.6839999999999999</v>
      </c>
      <c r="M445" s="12">
        <f t="shared" si="34"/>
        <v>7.6726342710997361E-2</v>
      </c>
    </row>
    <row r="446" spans="1:13" x14ac:dyDescent="0.25">
      <c r="A446" s="5">
        <v>43651</v>
      </c>
      <c r="B446" s="4">
        <v>1.9079999999999999</v>
      </c>
      <c r="C446" s="12">
        <f t="shared" si="30"/>
        <v>9.5238095238095333E-3</v>
      </c>
      <c r="E446" s="37">
        <v>43651</v>
      </c>
      <c r="F446" s="38">
        <v>1.9119999999999999</v>
      </c>
      <c r="G446" s="38">
        <f t="shared" si="31"/>
        <v>-3.1282586027111601E-3</v>
      </c>
      <c r="H446" s="7">
        <v>1.6970000000000001</v>
      </c>
      <c r="I446" s="15">
        <f t="shared" si="32"/>
        <v>-7.6713819368879221E-2</v>
      </c>
      <c r="J446" s="10">
        <v>1.86</v>
      </c>
      <c r="K446" s="12">
        <f t="shared" si="33"/>
        <v>-1.116427432216901E-2</v>
      </c>
      <c r="L446" s="10">
        <v>1.655</v>
      </c>
      <c r="M446" s="12">
        <f t="shared" si="34"/>
        <v>-1.7220902612826553E-2</v>
      </c>
    </row>
    <row r="447" spans="1:13" x14ac:dyDescent="0.25">
      <c r="A447" s="5">
        <v>43658</v>
      </c>
      <c r="B447" s="4">
        <v>1.9510000000000001</v>
      </c>
      <c r="C447" s="12">
        <f t="shared" si="30"/>
        <v>2.2536687631027334E-2</v>
      </c>
      <c r="E447" s="37">
        <v>43658</v>
      </c>
      <c r="F447" s="38">
        <v>1.96</v>
      </c>
      <c r="G447" s="38">
        <f t="shared" si="31"/>
        <v>2.5104602510460275E-2</v>
      </c>
      <c r="H447" s="7">
        <v>1.7430000000000001</v>
      </c>
      <c r="I447" s="15">
        <f t="shared" si="32"/>
        <v>2.7106658809664137E-2</v>
      </c>
      <c r="J447" s="10">
        <v>1.907</v>
      </c>
      <c r="K447" s="12">
        <f t="shared" si="33"/>
        <v>2.5268817204301037E-2</v>
      </c>
      <c r="L447" s="10">
        <v>1.6990000000000001</v>
      </c>
      <c r="M447" s="12">
        <f t="shared" si="34"/>
        <v>2.6586102719033257E-2</v>
      </c>
    </row>
    <row r="448" spans="1:13" x14ac:dyDescent="0.25">
      <c r="A448" s="5">
        <v>43665</v>
      </c>
      <c r="B448" s="4">
        <v>1.8620000000000001</v>
      </c>
      <c r="C448" s="12">
        <f t="shared" si="30"/>
        <v>-4.5617631983598139E-2</v>
      </c>
      <c r="E448" s="37">
        <v>43665</v>
      </c>
      <c r="F448" s="38">
        <v>1.875</v>
      </c>
      <c r="G448" s="38">
        <f t="shared" si="31"/>
        <v>-4.3367346938775496E-2</v>
      </c>
      <c r="H448" s="7">
        <v>1.671</v>
      </c>
      <c r="I448" s="15">
        <f t="shared" si="32"/>
        <v>-4.1308089500860616E-2</v>
      </c>
      <c r="J448" s="10">
        <v>1.829</v>
      </c>
      <c r="K448" s="12">
        <f t="shared" si="33"/>
        <v>-4.0901940220241254E-2</v>
      </c>
      <c r="L448" s="10">
        <v>1.631</v>
      </c>
      <c r="M448" s="12">
        <f t="shared" si="34"/>
        <v>-4.0023543260741645E-2</v>
      </c>
    </row>
    <row r="449" spans="1:13" x14ac:dyDescent="0.25">
      <c r="A449" s="5">
        <v>43672</v>
      </c>
      <c r="B449" s="4">
        <v>1.8480000000000001</v>
      </c>
      <c r="C449" s="12">
        <f t="shared" si="30"/>
        <v>-7.5187969924812095E-3</v>
      </c>
      <c r="E449" s="37">
        <v>43672</v>
      </c>
      <c r="F449" s="38">
        <v>1.86</v>
      </c>
      <c r="G449" s="38">
        <f t="shared" si="31"/>
        <v>-7.9999999999999481E-3</v>
      </c>
      <c r="H449" s="7">
        <v>1.6519999999999999</v>
      </c>
      <c r="I449" s="15">
        <f t="shared" si="32"/>
        <v>-1.1370436864153278E-2</v>
      </c>
      <c r="J449" s="10">
        <v>1.8109999999999999</v>
      </c>
      <c r="K449" s="12">
        <f t="shared" si="33"/>
        <v>-9.8414434117003909E-3</v>
      </c>
      <c r="L449" s="10">
        <v>1.615</v>
      </c>
      <c r="M449" s="12">
        <f t="shared" si="34"/>
        <v>-9.8099325567136807E-3</v>
      </c>
    </row>
    <row r="450" spans="1:13" x14ac:dyDescent="0.25">
      <c r="A450" s="5">
        <v>43679</v>
      </c>
      <c r="B450" s="4">
        <v>1.8360000000000001</v>
      </c>
      <c r="C450" s="12">
        <f t="shared" si="30"/>
        <v>-6.4935064935064991E-3</v>
      </c>
      <c r="E450" s="37">
        <v>43679</v>
      </c>
      <c r="F450" s="38">
        <v>1.839</v>
      </c>
      <c r="G450" s="38">
        <f t="shared" si="31"/>
        <v>-1.129032258064523E-2</v>
      </c>
      <c r="H450" s="7">
        <v>1.639</v>
      </c>
      <c r="I450" s="15">
        <f t="shared" si="32"/>
        <v>-7.8692493946730634E-3</v>
      </c>
      <c r="J450" s="10">
        <v>1.748</v>
      </c>
      <c r="K450" s="12">
        <f t="shared" si="33"/>
        <v>-3.4787410270568718E-2</v>
      </c>
      <c r="L450" s="10">
        <v>1.6060000000000001</v>
      </c>
      <c r="M450" s="12">
        <f t="shared" si="34"/>
        <v>-5.5727554179565925E-3</v>
      </c>
    </row>
    <row r="451" spans="1:13" x14ac:dyDescent="0.25">
      <c r="A451" s="5">
        <v>43686</v>
      </c>
      <c r="B451" s="4">
        <v>1.6879999999999999</v>
      </c>
      <c r="C451" s="12">
        <f t="shared" si="30"/>
        <v>-8.0610021786492445E-2</v>
      </c>
      <c r="E451" s="37">
        <v>43686</v>
      </c>
      <c r="F451" s="38">
        <v>1.669</v>
      </c>
      <c r="G451" s="38">
        <f t="shared" si="31"/>
        <v>-9.2441544317563851E-2</v>
      </c>
      <c r="H451" s="7">
        <v>1.4810000000000001</v>
      </c>
      <c r="I451" s="15">
        <f t="shared" si="32"/>
        <v>-9.6400244051250708E-2</v>
      </c>
      <c r="J451" s="10">
        <v>1.516</v>
      </c>
      <c r="K451" s="12">
        <f t="shared" si="33"/>
        <v>-0.13272311212814644</v>
      </c>
      <c r="L451" s="10">
        <v>1.4570000000000001</v>
      </c>
      <c r="M451" s="12">
        <f t="shared" si="34"/>
        <v>-9.2777085927770869E-2</v>
      </c>
    </row>
    <row r="452" spans="1:13" x14ac:dyDescent="0.25">
      <c r="A452" s="5">
        <v>43693</v>
      </c>
      <c r="B452" s="4">
        <v>1.6819999999999999</v>
      </c>
      <c r="C452" s="12">
        <f t="shared" si="30"/>
        <v>-3.5545023696682498E-3</v>
      </c>
      <c r="E452" s="37">
        <v>43693</v>
      </c>
      <c r="F452" s="38">
        <v>1.6739999999999999</v>
      </c>
      <c r="G452" s="38">
        <f t="shared" si="31"/>
        <v>2.9958058717794449E-3</v>
      </c>
      <c r="H452" s="7">
        <v>1.5</v>
      </c>
      <c r="I452" s="15">
        <f t="shared" si="32"/>
        <v>1.2829169480080962E-2</v>
      </c>
      <c r="J452" s="10">
        <v>1.5349999999999999</v>
      </c>
      <c r="K452" s="12">
        <f t="shared" si="33"/>
        <v>1.2532981530342945E-2</v>
      </c>
      <c r="L452" s="10">
        <v>1.476</v>
      </c>
      <c r="M452" s="12">
        <f t="shared" si="34"/>
        <v>1.304049416609465E-2</v>
      </c>
    </row>
    <row r="453" spans="1:13" x14ac:dyDescent="0.25">
      <c r="A453" s="5">
        <v>43700</v>
      </c>
      <c r="B453" s="4">
        <v>1.6950000000000001</v>
      </c>
      <c r="C453" s="12">
        <f t="shared" ref="C453:C516" si="35">(B453-B452)/B452</f>
        <v>7.7288941736029272E-3</v>
      </c>
      <c r="E453" s="37">
        <v>43700</v>
      </c>
      <c r="F453" s="38">
        <v>1.67</v>
      </c>
      <c r="G453" s="38">
        <f t="shared" ref="G453:G516" si="36">(F453-F452)/F452</f>
        <v>-2.3894862604540044E-3</v>
      </c>
      <c r="H453" s="7">
        <v>1.5109999999999999</v>
      </c>
      <c r="I453" s="15">
        <f t="shared" ref="I453:I516" si="37">(H453-H452)/H452</f>
        <v>7.3333333333332655E-3</v>
      </c>
      <c r="J453" s="10">
        <v>1.5429999999999999</v>
      </c>
      <c r="K453" s="12">
        <f t="shared" ref="K453:K516" si="38">(J453-J452)/J452</f>
        <v>5.2117263843648254E-3</v>
      </c>
      <c r="L453" s="10">
        <v>1.4870000000000001</v>
      </c>
      <c r="M453" s="12">
        <f t="shared" ref="M453:M516" si="39">(L453-L452)/L452</f>
        <v>7.4525745257453396E-3</v>
      </c>
    </row>
    <row r="454" spans="1:13" x14ac:dyDescent="0.25">
      <c r="A454" s="5">
        <v>43707</v>
      </c>
      <c r="B454" s="4">
        <v>1.679</v>
      </c>
      <c r="C454" s="12">
        <f t="shared" si="35"/>
        <v>-9.4395280235988286E-3</v>
      </c>
      <c r="E454" s="37">
        <v>43707</v>
      </c>
      <c r="F454" s="38">
        <v>1.649</v>
      </c>
      <c r="G454" s="38">
        <f t="shared" si="36"/>
        <v>-1.2574850299401143E-2</v>
      </c>
      <c r="H454" s="7">
        <v>1.512</v>
      </c>
      <c r="I454" s="15">
        <f t="shared" si="37"/>
        <v>6.6181336863012049E-4</v>
      </c>
      <c r="J454" s="10">
        <v>1.5429999999999999</v>
      </c>
      <c r="K454" s="12">
        <f t="shared" si="38"/>
        <v>0</v>
      </c>
      <c r="L454" s="10">
        <v>1.488</v>
      </c>
      <c r="M454" s="12">
        <f t="shared" si="39"/>
        <v>6.7249495628775378E-4</v>
      </c>
    </row>
    <row r="455" spans="1:13" x14ac:dyDescent="0.25">
      <c r="A455" s="5">
        <v>43714</v>
      </c>
      <c r="B455" s="4">
        <v>1.641</v>
      </c>
      <c r="C455" s="12">
        <f t="shared" si="35"/>
        <v>-2.2632519356759997E-2</v>
      </c>
      <c r="E455" s="37">
        <v>43714</v>
      </c>
      <c r="F455" s="38">
        <v>1.5309999999999999</v>
      </c>
      <c r="G455" s="38">
        <f t="shared" si="36"/>
        <v>-7.1558520315342697E-2</v>
      </c>
      <c r="H455" s="7">
        <v>1.4950000000000001</v>
      </c>
      <c r="I455" s="15">
        <f t="shared" si="37"/>
        <v>-1.124338624338618E-2</v>
      </c>
      <c r="J455" s="10">
        <v>1.5129999999999999</v>
      </c>
      <c r="K455" s="12">
        <f t="shared" si="38"/>
        <v>-1.9442644199611166E-2</v>
      </c>
      <c r="L455" s="10">
        <v>1.488</v>
      </c>
      <c r="M455" s="12">
        <f t="shared" si="39"/>
        <v>0</v>
      </c>
    </row>
    <row r="456" spans="1:13" x14ac:dyDescent="0.25">
      <c r="A456" s="5">
        <v>43721</v>
      </c>
      <c r="B456" s="4">
        <v>1.704</v>
      </c>
      <c r="C456" s="12">
        <f t="shared" si="35"/>
        <v>3.839122486288845E-2</v>
      </c>
      <c r="E456" s="37">
        <v>43721</v>
      </c>
      <c r="F456" s="38">
        <v>1.57</v>
      </c>
      <c r="G456" s="38">
        <f t="shared" si="36"/>
        <v>2.5473546701502384E-2</v>
      </c>
      <c r="H456" s="7">
        <v>1.534</v>
      </c>
      <c r="I456" s="15">
        <f t="shared" si="37"/>
        <v>2.6086956521739077E-2</v>
      </c>
      <c r="J456" s="10">
        <v>1.5529999999999999</v>
      </c>
      <c r="K456" s="12">
        <f t="shared" si="38"/>
        <v>2.643754130865832E-2</v>
      </c>
      <c r="L456" s="10">
        <v>1.524</v>
      </c>
      <c r="M456" s="12">
        <f t="shared" si="39"/>
        <v>2.4193548387096794E-2</v>
      </c>
    </row>
    <row r="457" spans="1:13" x14ac:dyDescent="0.25">
      <c r="A457" s="5">
        <v>43728</v>
      </c>
      <c r="B457" s="4">
        <v>1.8080000000000001</v>
      </c>
      <c r="C457" s="12">
        <f t="shared" si="35"/>
        <v>6.1032863849765313E-2</v>
      </c>
      <c r="E457" s="37">
        <v>43728</v>
      </c>
      <c r="F457" s="38">
        <v>1.6930000000000001</v>
      </c>
      <c r="G457" s="38">
        <f t="shared" si="36"/>
        <v>7.8343949044585984E-2</v>
      </c>
      <c r="H457" s="7">
        <v>1.631</v>
      </c>
      <c r="I457" s="15">
        <f t="shared" si="37"/>
        <v>6.3233376792698803E-2</v>
      </c>
      <c r="J457" s="10">
        <v>1.6639999999999999</v>
      </c>
      <c r="K457" s="12">
        <f t="shared" si="38"/>
        <v>7.1474565357372816E-2</v>
      </c>
      <c r="L457" s="10">
        <v>1.613</v>
      </c>
      <c r="M457" s="12">
        <f t="shared" si="39"/>
        <v>5.8398950131233571E-2</v>
      </c>
    </row>
    <row r="458" spans="1:13" x14ac:dyDescent="0.25">
      <c r="A458" s="5">
        <v>43735</v>
      </c>
      <c r="B458" s="4">
        <v>1.754</v>
      </c>
      <c r="C458" s="12">
        <f t="shared" si="35"/>
        <v>-2.9867256637168167E-2</v>
      </c>
      <c r="E458" s="37">
        <v>43735</v>
      </c>
      <c r="F458" s="38">
        <v>1.655</v>
      </c>
      <c r="G458" s="38">
        <f t="shared" si="36"/>
        <v>-2.2445363260484366E-2</v>
      </c>
      <c r="H458" s="7">
        <v>1.587</v>
      </c>
      <c r="I458" s="15">
        <f t="shared" si="37"/>
        <v>-2.6977314530962623E-2</v>
      </c>
      <c r="J458" s="10">
        <v>1.623</v>
      </c>
      <c r="K458" s="12">
        <f t="shared" si="38"/>
        <v>-2.4639423076923034E-2</v>
      </c>
      <c r="L458" s="10">
        <v>1.57</v>
      </c>
      <c r="M458" s="12">
        <f t="shared" si="39"/>
        <v>-2.6658400495970198E-2</v>
      </c>
    </row>
    <row r="459" spans="1:13" x14ac:dyDescent="0.25">
      <c r="A459" s="5">
        <v>43742</v>
      </c>
      <c r="B459" s="4">
        <v>1.68</v>
      </c>
      <c r="C459" s="12">
        <f t="shared" si="35"/>
        <v>-4.2189281641961271E-2</v>
      </c>
      <c r="E459" s="37">
        <v>43742</v>
      </c>
      <c r="F459" s="38">
        <v>1.571</v>
      </c>
      <c r="G459" s="38">
        <f t="shared" si="36"/>
        <v>-5.0755287009063489E-2</v>
      </c>
      <c r="H459" s="7">
        <v>1.5</v>
      </c>
      <c r="I459" s="15">
        <f t="shared" si="37"/>
        <v>-5.4820415879016995E-2</v>
      </c>
      <c r="J459" s="10">
        <v>1.5249999999999999</v>
      </c>
      <c r="K459" s="12">
        <f t="shared" si="38"/>
        <v>-6.0382008626001286E-2</v>
      </c>
      <c r="L459" s="10">
        <v>1.4950000000000001</v>
      </c>
      <c r="M459" s="12">
        <f t="shared" si="39"/>
        <v>-4.7770700636942644E-2</v>
      </c>
    </row>
    <row r="460" spans="1:13" x14ac:dyDescent="0.25">
      <c r="A460" s="5">
        <v>43749</v>
      </c>
      <c r="B460" s="4">
        <v>1.7090000000000001</v>
      </c>
      <c r="C460" s="12">
        <f t="shared" si="35"/>
        <v>1.7261904761904843E-2</v>
      </c>
      <c r="E460" s="37">
        <v>43749</v>
      </c>
      <c r="F460" s="38">
        <v>1.6</v>
      </c>
      <c r="G460" s="38">
        <f t="shared" si="36"/>
        <v>1.8459579885423384E-2</v>
      </c>
      <c r="H460" s="7">
        <v>1.5249999999999999</v>
      </c>
      <c r="I460" s="15">
        <f t="shared" si="37"/>
        <v>1.6666666666666607E-2</v>
      </c>
      <c r="J460" s="10">
        <v>1.55</v>
      </c>
      <c r="K460" s="12">
        <f t="shared" si="38"/>
        <v>1.6393442622950907E-2</v>
      </c>
      <c r="L460" s="10">
        <v>1.524</v>
      </c>
      <c r="M460" s="12">
        <f t="shared" si="39"/>
        <v>1.939799331103673E-2</v>
      </c>
    </row>
    <row r="461" spans="1:13" x14ac:dyDescent="0.25">
      <c r="A461" s="5">
        <v>43756</v>
      </c>
      <c r="B461" s="4">
        <v>1.74</v>
      </c>
      <c r="C461" s="12">
        <f t="shared" si="35"/>
        <v>1.8139262726740733E-2</v>
      </c>
      <c r="E461" s="37">
        <v>43756</v>
      </c>
      <c r="F461" s="38">
        <v>1.62</v>
      </c>
      <c r="G461" s="38">
        <f t="shared" si="36"/>
        <v>1.2500000000000011E-2</v>
      </c>
      <c r="H461" s="7">
        <v>1.556</v>
      </c>
      <c r="I461" s="15">
        <f t="shared" si="37"/>
        <v>2.0327868852459109E-2</v>
      </c>
      <c r="J461" s="10">
        <v>1.577</v>
      </c>
      <c r="K461" s="12">
        <f t="shared" si="38"/>
        <v>1.7419354838709621E-2</v>
      </c>
      <c r="L461" s="10">
        <v>1.554</v>
      </c>
      <c r="M461" s="12">
        <f t="shared" si="39"/>
        <v>1.9685039370078757E-2</v>
      </c>
    </row>
    <row r="462" spans="1:13" x14ac:dyDescent="0.25">
      <c r="A462" s="5">
        <v>43763</v>
      </c>
      <c r="B462" s="4">
        <v>1.752</v>
      </c>
      <c r="C462" s="12">
        <f t="shared" si="35"/>
        <v>6.896551724137937E-3</v>
      </c>
      <c r="E462" s="37">
        <v>43763</v>
      </c>
      <c r="F462" s="38">
        <v>1.641</v>
      </c>
      <c r="G462" s="38">
        <f t="shared" si="36"/>
        <v>1.2962962962962905E-2</v>
      </c>
      <c r="H462" s="7">
        <v>1.5820000000000001</v>
      </c>
      <c r="I462" s="15">
        <f t="shared" si="37"/>
        <v>1.6709511568123409E-2</v>
      </c>
      <c r="J462" s="10">
        <v>1.6020000000000001</v>
      </c>
      <c r="K462" s="12">
        <f t="shared" si="38"/>
        <v>1.5852885225111055E-2</v>
      </c>
      <c r="L462" s="10">
        <v>1.58</v>
      </c>
      <c r="M462" s="12">
        <f t="shared" si="39"/>
        <v>1.6731016731016745E-2</v>
      </c>
    </row>
    <row r="463" spans="1:13" x14ac:dyDescent="0.25">
      <c r="A463" s="5">
        <v>43770</v>
      </c>
      <c r="B463" s="4">
        <v>1.76</v>
      </c>
      <c r="C463" s="12">
        <f t="shared" si="35"/>
        <v>4.5662100456621045E-3</v>
      </c>
      <c r="E463" s="37">
        <v>43770</v>
      </c>
      <c r="F463" s="38">
        <v>1.6619999999999999</v>
      </c>
      <c r="G463" s="38">
        <f t="shared" si="36"/>
        <v>1.2797074954296104E-2</v>
      </c>
      <c r="H463" s="7">
        <v>1.605</v>
      </c>
      <c r="I463" s="15">
        <f t="shared" si="37"/>
        <v>1.4538558786346339E-2</v>
      </c>
      <c r="J463" s="10">
        <v>1.6240000000000001</v>
      </c>
      <c r="K463" s="12">
        <f t="shared" si="38"/>
        <v>1.373283395755307E-2</v>
      </c>
      <c r="L463" s="10">
        <v>1.603</v>
      </c>
      <c r="M463" s="12">
        <f t="shared" si="39"/>
        <v>1.4556962025316398E-2</v>
      </c>
    </row>
    <row r="464" spans="1:13" x14ac:dyDescent="0.25">
      <c r="A464" s="5">
        <v>43777</v>
      </c>
      <c r="B464" s="4">
        <v>1.7549999999999999</v>
      </c>
      <c r="C464" s="12">
        <f t="shared" si="35"/>
        <v>-2.8409090909091565E-3</v>
      </c>
      <c r="E464" s="37">
        <v>43777</v>
      </c>
      <c r="F464" s="38">
        <v>1.647</v>
      </c>
      <c r="G464" s="38">
        <f t="shared" si="36"/>
        <v>-9.0252707581226846E-3</v>
      </c>
      <c r="H464" s="7">
        <v>1.6279999999999999</v>
      </c>
      <c r="I464" s="15">
        <f t="shared" si="37"/>
        <v>1.433021806853577E-2</v>
      </c>
      <c r="J464" s="10">
        <v>1.631</v>
      </c>
      <c r="K464" s="12">
        <f t="shared" si="38"/>
        <v>4.3103448275861418E-3</v>
      </c>
      <c r="L464" s="10">
        <v>1.6359999999999999</v>
      </c>
      <c r="M464" s="12">
        <f t="shared" si="39"/>
        <v>2.0586400499064204E-2</v>
      </c>
    </row>
    <row r="465" spans="1:13" x14ac:dyDescent="0.25">
      <c r="A465" s="5">
        <v>43784</v>
      </c>
      <c r="B465" s="4">
        <v>1.708</v>
      </c>
      <c r="C465" s="12">
        <f t="shared" si="35"/>
        <v>-2.6780626780626742E-2</v>
      </c>
      <c r="E465" s="37">
        <v>43784</v>
      </c>
      <c r="F465" s="38">
        <v>1.6220000000000001</v>
      </c>
      <c r="G465" s="38">
        <f t="shared" si="36"/>
        <v>-1.5179113539769223E-2</v>
      </c>
      <c r="H465" s="7">
        <v>1.619</v>
      </c>
      <c r="I465" s="15">
        <f t="shared" si="37"/>
        <v>-5.5282555282554656E-3</v>
      </c>
      <c r="J465" s="10">
        <v>1.617</v>
      </c>
      <c r="K465" s="12">
        <f t="shared" si="38"/>
        <v>-8.5836909871244704E-3</v>
      </c>
      <c r="L465" s="10">
        <v>1.631</v>
      </c>
      <c r="M465" s="12">
        <f t="shared" si="39"/>
        <v>-3.056234718826341E-3</v>
      </c>
    </row>
    <row r="466" spans="1:13" x14ac:dyDescent="0.25">
      <c r="A466" s="5">
        <v>43791</v>
      </c>
      <c r="B466" s="4">
        <v>1.7070000000000001</v>
      </c>
      <c r="C466" s="12">
        <f t="shared" si="35"/>
        <v>-5.8548009367675048E-4</v>
      </c>
      <c r="E466" s="37">
        <v>43791</v>
      </c>
      <c r="F466" s="38">
        <v>1.6519999999999999</v>
      </c>
      <c r="G466" s="38">
        <f t="shared" si="36"/>
        <v>1.8495684340320472E-2</v>
      </c>
      <c r="H466" s="7">
        <v>1.645</v>
      </c>
      <c r="I466" s="15">
        <f t="shared" si="37"/>
        <v>1.6059295861643005E-2</v>
      </c>
      <c r="J466" s="10">
        <v>1.647</v>
      </c>
      <c r="K466" s="12">
        <f t="shared" si="38"/>
        <v>1.8552875695732857E-2</v>
      </c>
      <c r="L466" s="10">
        <v>1.6539999999999999</v>
      </c>
      <c r="M466" s="12">
        <f t="shared" si="39"/>
        <v>1.4101778050275848E-2</v>
      </c>
    </row>
    <row r="467" spans="1:13" x14ac:dyDescent="0.25">
      <c r="A467" s="5">
        <v>43798</v>
      </c>
      <c r="B467" s="4">
        <v>1.722</v>
      </c>
      <c r="C467" s="12">
        <f t="shared" si="35"/>
        <v>8.7873462214410666E-3</v>
      </c>
      <c r="E467" s="37">
        <v>43798</v>
      </c>
      <c r="F467" s="38">
        <v>1.667</v>
      </c>
      <c r="G467" s="38">
        <f t="shared" si="36"/>
        <v>9.0799031476998335E-3</v>
      </c>
      <c r="H467" s="7">
        <v>1.6639999999999999</v>
      </c>
      <c r="I467" s="15">
        <f t="shared" si="37"/>
        <v>1.1550151975683834E-2</v>
      </c>
      <c r="J467" s="10">
        <v>1.663</v>
      </c>
      <c r="K467" s="12">
        <f t="shared" si="38"/>
        <v>9.7146326654523468E-3</v>
      </c>
      <c r="L467" s="10">
        <v>1.6719999999999999</v>
      </c>
      <c r="M467" s="12">
        <f t="shared" si="39"/>
        <v>1.0882708585247895E-2</v>
      </c>
    </row>
    <row r="468" spans="1:13" x14ac:dyDescent="0.25">
      <c r="A468" s="5">
        <v>43805</v>
      </c>
      <c r="B468" s="4">
        <v>1.641</v>
      </c>
      <c r="C468" s="12">
        <f t="shared" si="35"/>
        <v>-4.7038327526132385E-2</v>
      </c>
      <c r="E468" s="37">
        <v>43805</v>
      </c>
      <c r="F468" s="38">
        <v>1.6020000000000001</v>
      </c>
      <c r="G468" s="38">
        <f t="shared" si="36"/>
        <v>-3.8992201559688029E-2</v>
      </c>
      <c r="H468" s="7">
        <v>1.62</v>
      </c>
      <c r="I468" s="15">
        <f t="shared" si="37"/>
        <v>-2.6442307692307584E-2</v>
      </c>
      <c r="J468" s="10">
        <v>1.6080000000000001</v>
      </c>
      <c r="K468" s="12">
        <f t="shared" si="38"/>
        <v>-3.3072760072158709E-2</v>
      </c>
      <c r="L468" s="10">
        <v>1.794</v>
      </c>
      <c r="M468" s="12">
        <f t="shared" si="39"/>
        <v>7.2966507177033554E-2</v>
      </c>
    </row>
    <row r="469" spans="1:13" x14ac:dyDescent="0.25">
      <c r="A469" s="5">
        <v>43812</v>
      </c>
      <c r="B469" s="4">
        <v>1.69</v>
      </c>
      <c r="C469" s="12">
        <f t="shared" si="35"/>
        <v>2.9859841560024334E-2</v>
      </c>
      <c r="E469" s="37">
        <v>43812</v>
      </c>
      <c r="F469" s="38">
        <v>1.645</v>
      </c>
      <c r="G469" s="38">
        <f t="shared" si="36"/>
        <v>2.6841448189762751E-2</v>
      </c>
      <c r="H469" s="7">
        <v>1.661</v>
      </c>
      <c r="I469" s="15">
        <f t="shared" si="37"/>
        <v>2.5308641975308594E-2</v>
      </c>
      <c r="J469" s="10">
        <v>1.649</v>
      </c>
      <c r="K469" s="12">
        <f t="shared" si="38"/>
        <v>2.5497512437810899E-2</v>
      </c>
      <c r="L469" s="10">
        <v>1.8340000000000001</v>
      </c>
      <c r="M469" s="12">
        <f t="shared" si="39"/>
        <v>2.2296544035674489E-2</v>
      </c>
    </row>
    <row r="470" spans="1:13" x14ac:dyDescent="0.25">
      <c r="A470" s="5">
        <v>43819</v>
      </c>
      <c r="B470" s="4">
        <v>1.7330000000000001</v>
      </c>
      <c r="C470" s="12">
        <f t="shared" si="35"/>
        <v>2.5443786982248608E-2</v>
      </c>
      <c r="E470" s="37">
        <v>43819</v>
      </c>
      <c r="F470" s="38">
        <v>1.6890000000000001</v>
      </c>
      <c r="G470" s="38">
        <f t="shared" si="36"/>
        <v>2.6747720364741663E-2</v>
      </c>
      <c r="H470" s="7">
        <v>1.7030000000000001</v>
      </c>
      <c r="I470" s="15">
        <f t="shared" si="37"/>
        <v>2.5285972305839878E-2</v>
      </c>
      <c r="J470" s="10">
        <v>1.6930000000000001</v>
      </c>
      <c r="K470" s="12">
        <f t="shared" si="38"/>
        <v>2.6682838083687106E-2</v>
      </c>
      <c r="L470" s="10">
        <v>1.8759999999999999</v>
      </c>
      <c r="M470" s="12">
        <f t="shared" si="39"/>
        <v>2.2900763358778525E-2</v>
      </c>
    </row>
    <row r="471" spans="1:13" x14ac:dyDescent="0.25">
      <c r="A471" s="5">
        <v>43826</v>
      </c>
      <c r="B471" s="4">
        <v>1.7729999999999999</v>
      </c>
      <c r="C471" s="12">
        <f t="shared" si="35"/>
        <v>2.308136180034611E-2</v>
      </c>
      <c r="E471" s="37">
        <v>43826</v>
      </c>
      <c r="F471" s="38">
        <v>1.732</v>
      </c>
      <c r="G471" s="38">
        <f t="shared" si="36"/>
        <v>2.5458851391355789E-2</v>
      </c>
      <c r="H471" s="7">
        <v>1.7410000000000001</v>
      </c>
      <c r="I471" s="15">
        <f t="shared" si="37"/>
        <v>2.2313564298297141E-2</v>
      </c>
      <c r="J471" s="10">
        <v>1.732</v>
      </c>
      <c r="K471" s="12">
        <f t="shared" si="38"/>
        <v>2.3036030714707573E-2</v>
      </c>
      <c r="L471" s="10">
        <v>1.9119999999999999</v>
      </c>
      <c r="M471" s="12">
        <f t="shared" si="39"/>
        <v>1.9189765458422194E-2</v>
      </c>
    </row>
    <row r="472" spans="1:13" x14ac:dyDescent="0.25">
      <c r="A472" s="5">
        <v>43833</v>
      </c>
      <c r="B472" s="4">
        <v>1.768</v>
      </c>
      <c r="C472" s="12">
        <f t="shared" si="35"/>
        <v>-2.8200789622108819E-3</v>
      </c>
      <c r="E472" s="37">
        <v>43833</v>
      </c>
      <c r="F472" s="38">
        <v>1.7270000000000001</v>
      </c>
      <c r="G472" s="38">
        <f t="shared" si="36"/>
        <v>-2.8868360277135643E-3</v>
      </c>
      <c r="H472" s="7">
        <v>1.913</v>
      </c>
      <c r="I472" s="15">
        <f t="shared" si="37"/>
        <v>9.8793796668581235E-2</v>
      </c>
      <c r="J472" s="10">
        <v>1.738</v>
      </c>
      <c r="K472" s="12">
        <f t="shared" si="38"/>
        <v>3.4642032332563542E-3</v>
      </c>
      <c r="L472" s="10">
        <v>1.9139999999999999</v>
      </c>
      <c r="M472" s="12">
        <f t="shared" si="39"/>
        <v>1.0460251046025115E-3</v>
      </c>
    </row>
    <row r="473" spans="1:13" x14ac:dyDescent="0.25">
      <c r="A473" s="5">
        <v>43840</v>
      </c>
      <c r="B473" s="4">
        <v>1.7270000000000001</v>
      </c>
      <c r="C473" s="12">
        <f t="shared" si="35"/>
        <v>-2.3190045248868738E-2</v>
      </c>
      <c r="E473" s="37">
        <v>43840</v>
      </c>
      <c r="F473" s="38">
        <v>1.6879999999999999</v>
      </c>
      <c r="G473" s="38">
        <f t="shared" si="36"/>
        <v>-2.2582513028372983E-2</v>
      </c>
      <c r="H473" s="7">
        <v>1.88</v>
      </c>
      <c r="I473" s="15">
        <f t="shared" si="37"/>
        <v>-1.7250392054364946E-2</v>
      </c>
      <c r="J473" s="10">
        <v>1.698</v>
      </c>
      <c r="K473" s="12">
        <f t="shared" si="38"/>
        <v>-2.3014959723820505E-2</v>
      </c>
      <c r="L473" s="10">
        <v>1.883</v>
      </c>
      <c r="M473" s="12">
        <f t="shared" si="39"/>
        <v>-1.6196447230929948E-2</v>
      </c>
    </row>
    <row r="474" spans="1:13" x14ac:dyDescent="0.25">
      <c r="A474" s="5">
        <v>43847</v>
      </c>
      <c r="B474" s="4">
        <v>1.694</v>
      </c>
      <c r="C474" s="12">
        <f t="shared" si="35"/>
        <v>-1.9108280254777149E-2</v>
      </c>
      <c r="E474" s="37">
        <v>43847</v>
      </c>
      <c r="F474" s="38">
        <v>1.649</v>
      </c>
      <c r="G474" s="38">
        <f t="shared" si="36"/>
        <v>-2.3104265402843556E-2</v>
      </c>
      <c r="H474" s="7">
        <v>1.8420000000000001</v>
      </c>
      <c r="I474" s="15">
        <f t="shared" si="37"/>
        <v>-2.0212765957446709E-2</v>
      </c>
      <c r="J474" s="10">
        <v>1.66</v>
      </c>
      <c r="K474" s="12">
        <f t="shared" si="38"/>
        <v>-2.2379269729093071E-2</v>
      </c>
      <c r="L474" s="10">
        <v>1.845</v>
      </c>
      <c r="M474" s="12">
        <f t="shared" si="39"/>
        <v>-2.0180562931492316E-2</v>
      </c>
    </row>
    <row r="475" spans="1:13" x14ac:dyDescent="0.25">
      <c r="A475" s="5">
        <v>43854</v>
      </c>
      <c r="B475" s="4">
        <v>1.6140000000000001</v>
      </c>
      <c r="C475" s="12">
        <f t="shared" si="35"/>
        <v>-4.7225501770956226E-2</v>
      </c>
      <c r="E475" s="37">
        <v>43854</v>
      </c>
      <c r="F475" s="38">
        <v>1.573</v>
      </c>
      <c r="G475" s="38">
        <f t="shared" si="36"/>
        <v>-4.6088538508186817E-2</v>
      </c>
      <c r="H475" s="7">
        <v>1.7729999999999999</v>
      </c>
      <c r="I475" s="15">
        <f t="shared" si="37"/>
        <v>-3.7459283387622243E-2</v>
      </c>
      <c r="J475" s="10">
        <v>1.5860000000000001</v>
      </c>
      <c r="K475" s="12">
        <f t="shared" si="38"/>
        <v>-4.4578313253011953E-2</v>
      </c>
      <c r="L475" s="10">
        <v>1.778</v>
      </c>
      <c r="M475" s="12">
        <f t="shared" si="39"/>
        <v>-3.6314363143631408E-2</v>
      </c>
    </row>
    <row r="476" spans="1:13" x14ac:dyDescent="0.25">
      <c r="A476" s="5">
        <v>43861</v>
      </c>
      <c r="B476" s="4">
        <v>1.5449999999999999</v>
      </c>
      <c r="C476" s="12">
        <f t="shared" si="35"/>
        <v>-4.2750929368029843E-2</v>
      </c>
      <c r="E476" s="37">
        <v>43861</v>
      </c>
      <c r="F476" s="38">
        <v>1.5</v>
      </c>
      <c r="G476" s="38">
        <f t="shared" si="36"/>
        <v>-4.6408137317228197E-2</v>
      </c>
      <c r="H476" s="7">
        <v>1.6850000000000001</v>
      </c>
      <c r="I476" s="15">
        <f t="shared" si="37"/>
        <v>-4.9633389734912499E-2</v>
      </c>
      <c r="J476" s="10">
        <v>1.512</v>
      </c>
      <c r="K476" s="12">
        <f t="shared" si="38"/>
        <v>-4.665825977301391E-2</v>
      </c>
      <c r="L476" s="10">
        <v>1.6890000000000001</v>
      </c>
      <c r="M476" s="12">
        <f t="shared" si="39"/>
        <v>-5.0056242969628781E-2</v>
      </c>
    </row>
    <row r="477" spans="1:13" x14ac:dyDescent="0.25">
      <c r="A477" s="5">
        <v>43868</v>
      </c>
      <c r="B477" s="4">
        <v>1.5229999999999999</v>
      </c>
      <c r="C477" s="12">
        <f t="shared" si="35"/>
        <v>-1.4239482200647262E-2</v>
      </c>
      <c r="E477" s="37">
        <v>43868</v>
      </c>
      <c r="F477" s="38">
        <v>1.4850000000000001</v>
      </c>
      <c r="G477" s="38">
        <f t="shared" si="36"/>
        <v>-9.9999999999999343E-3</v>
      </c>
      <c r="H477" s="7">
        <v>1.653</v>
      </c>
      <c r="I477" s="15">
        <f t="shared" si="37"/>
        <v>-1.8991097922848681E-2</v>
      </c>
      <c r="J477" s="10">
        <v>1.649</v>
      </c>
      <c r="K477" s="12">
        <f t="shared" si="38"/>
        <v>9.060846560846561E-2</v>
      </c>
      <c r="L477" s="10">
        <v>1.6459999999999999</v>
      </c>
      <c r="M477" s="12">
        <f t="shared" si="39"/>
        <v>-2.5458851391355921E-2</v>
      </c>
    </row>
    <row r="478" spans="1:13" x14ac:dyDescent="0.25">
      <c r="A478" s="5">
        <v>43875</v>
      </c>
      <c r="B478" s="4">
        <v>1.595</v>
      </c>
      <c r="C478" s="12">
        <f t="shared" si="35"/>
        <v>4.727511490479322E-2</v>
      </c>
      <c r="E478" s="37">
        <v>43875</v>
      </c>
      <c r="F478" s="38">
        <v>1.556</v>
      </c>
      <c r="G478" s="38">
        <f t="shared" si="36"/>
        <v>4.7811447811447777E-2</v>
      </c>
      <c r="H478" s="7">
        <v>1.6990000000000001</v>
      </c>
      <c r="I478" s="15">
        <f t="shared" si="37"/>
        <v>2.782819116757413E-2</v>
      </c>
      <c r="J478" s="10">
        <v>1.7010000000000001</v>
      </c>
      <c r="K478" s="12">
        <f t="shared" si="38"/>
        <v>3.1534263189812034E-2</v>
      </c>
      <c r="L478" s="10">
        <v>1.6870000000000001</v>
      </c>
      <c r="M478" s="12">
        <f t="shared" si="39"/>
        <v>2.4908869987849424E-2</v>
      </c>
    </row>
    <row r="479" spans="1:13" x14ac:dyDescent="0.25">
      <c r="A479" s="5">
        <v>43882</v>
      </c>
      <c r="B479" s="4">
        <v>1.6879999999999999</v>
      </c>
      <c r="C479" s="12">
        <f t="shared" si="35"/>
        <v>5.8307210031347943E-2</v>
      </c>
      <c r="E479" s="37">
        <v>43882</v>
      </c>
      <c r="F479" s="38">
        <v>1.65</v>
      </c>
      <c r="G479" s="38">
        <f t="shared" si="36"/>
        <v>6.0411311053984486E-2</v>
      </c>
      <c r="H479" s="7">
        <v>1.76</v>
      </c>
      <c r="I479" s="15">
        <f t="shared" si="37"/>
        <v>3.5903472630959353E-2</v>
      </c>
      <c r="J479" s="10">
        <v>1.768</v>
      </c>
      <c r="K479" s="12">
        <f t="shared" si="38"/>
        <v>3.9388594944150465E-2</v>
      </c>
      <c r="L479" s="10">
        <v>1.744</v>
      </c>
      <c r="M479" s="12">
        <f t="shared" si="39"/>
        <v>3.3787788974510929E-2</v>
      </c>
    </row>
    <row r="480" spans="1:13" x14ac:dyDescent="0.25">
      <c r="A480" s="5">
        <v>43889</v>
      </c>
      <c r="B480" s="4">
        <v>1.5369999999999999</v>
      </c>
      <c r="C480" s="12">
        <f t="shared" si="35"/>
        <v>-8.9454976303317557E-2</v>
      </c>
      <c r="E480" s="37">
        <v>43889</v>
      </c>
      <c r="F480" s="38">
        <v>1.4810000000000001</v>
      </c>
      <c r="G480" s="38">
        <f t="shared" si="36"/>
        <v>-0.10242424242424232</v>
      </c>
      <c r="H480" s="7">
        <v>1.577</v>
      </c>
      <c r="I480" s="15">
        <f t="shared" si="37"/>
        <v>-0.10397727272727275</v>
      </c>
      <c r="J480" s="10">
        <v>1.585</v>
      </c>
      <c r="K480" s="12">
        <f t="shared" si="38"/>
        <v>-0.10350678733031678</v>
      </c>
      <c r="L480" s="10">
        <v>1.5660000000000001</v>
      </c>
      <c r="M480" s="12">
        <f t="shared" si="39"/>
        <v>-0.1020642201834862</v>
      </c>
    </row>
    <row r="481" spans="1:13" x14ac:dyDescent="0.25">
      <c r="A481" s="5">
        <v>43896</v>
      </c>
      <c r="B481" s="4">
        <v>1.492</v>
      </c>
      <c r="C481" s="12">
        <f t="shared" si="35"/>
        <v>-2.9277813923227022E-2</v>
      </c>
      <c r="E481" s="37">
        <v>43896</v>
      </c>
      <c r="F481" s="38">
        <v>1.508</v>
      </c>
      <c r="G481" s="38">
        <f t="shared" si="36"/>
        <v>1.8230925050641399E-2</v>
      </c>
      <c r="H481" s="7">
        <v>1.4870000000000001</v>
      </c>
      <c r="I481" s="15">
        <f t="shared" si="37"/>
        <v>-5.7070386810399401E-2</v>
      </c>
      <c r="J481" s="10">
        <v>1.496</v>
      </c>
      <c r="K481" s="12">
        <f t="shared" si="38"/>
        <v>-5.6151419558359603E-2</v>
      </c>
      <c r="L481" s="10">
        <v>1.476</v>
      </c>
      <c r="M481" s="12">
        <f t="shared" si="39"/>
        <v>-5.747126436781614E-2</v>
      </c>
    </row>
    <row r="482" spans="1:13" x14ac:dyDescent="0.25">
      <c r="A482" s="5">
        <v>43903</v>
      </c>
      <c r="B482" s="4">
        <v>1.044</v>
      </c>
      <c r="C482" s="12">
        <f t="shared" si="35"/>
        <v>-0.30026809651474529</v>
      </c>
      <c r="E482" s="37">
        <v>43903</v>
      </c>
      <c r="F482" s="38">
        <v>1.04</v>
      </c>
      <c r="G482" s="38">
        <f t="shared" si="36"/>
        <v>-0.31034482758620685</v>
      </c>
      <c r="H482" s="7">
        <v>1.0649999999999999</v>
      </c>
      <c r="I482" s="15">
        <f t="shared" si="37"/>
        <v>-0.28379287155346344</v>
      </c>
      <c r="J482" s="10">
        <v>1.05</v>
      </c>
      <c r="K482" s="12">
        <f t="shared" si="38"/>
        <v>-0.29812834224598928</v>
      </c>
      <c r="L482" s="10">
        <v>1.077</v>
      </c>
      <c r="M482" s="12">
        <f t="shared" si="39"/>
        <v>-0.27032520325203252</v>
      </c>
    </row>
    <row r="483" spans="1:13" x14ac:dyDescent="0.25">
      <c r="A483" s="5">
        <v>43910</v>
      </c>
      <c r="B483" s="4">
        <v>0.66700000000000004</v>
      </c>
      <c r="C483" s="12">
        <f t="shared" si="35"/>
        <v>-0.3611111111111111</v>
      </c>
      <c r="E483" s="37">
        <v>43910</v>
      </c>
      <c r="F483" s="38">
        <v>0.66600000000000004</v>
      </c>
      <c r="G483" s="38">
        <f t="shared" si="36"/>
        <v>-0.35961538461538461</v>
      </c>
      <c r="H483" s="7">
        <v>0.70699999999999996</v>
      </c>
      <c r="I483" s="15">
        <f t="shared" si="37"/>
        <v>-0.33615023474178402</v>
      </c>
      <c r="J483" s="10">
        <v>0.67800000000000005</v>
      </c>
      <c r="K483" s="12">
        <f t="shared" si="38"/>
        <v>-0.35428571428571426</v>
      </c>
      <c r="L483" s="10">
        <v>0.73699999999999999</v>
      </c>
      <c r="M483" s="12">
        <f t="shared" si="39"/>
        <v>-0.31569173630454966</v>
      </c>
    </row>
    <row r="484" spans="1:13" x14ac:dyDescent="0.25">
      <c r="A484" s="5">
        <v>43917</v>
      </c>
      <c r="B484" s="4">
        <v>0.499</v>
      </c>
      <c r="C484" s="12">
        <f t="shared" si="35"/>
        <v>-0.25187406296851578</v>
      </c>
      <c r="E484" s="37">
        <v>43917</v>
      </c>
      <c r="F484" s="38">
        <v>0.504</v>
      </c>
      <c r="G484" s="38">
        <f t="shared" si="36"/>
        <v>-0.24324324324324328</v>
      </c>
      <c r="H484" s="7">
        <v>0.61399999999999999</v>
      </c>
      <c r="I484" s="15">
        <f t="shared" si="37"/>
        <v>-0.1315417256011315</v>
      </c>
      <c r="J484" s="10">
        <v>0.56499999999999995</v>
      </c>
      <c r="K484" s="12">
        <f t="shared" si="38"/>
        <v>-0.1666666666666668</v>
      </c>
      <c r="L484" s="10">
        <v>0.66200000000000003</v>
      </c>
      <c r="M484" s="12">
        <f t="shared" si="39"/>
        <v>-0.10176390773405693</v>
      </c>
    </row>
    <row r="485" spans="1:13" x14ac:dyDescent="0.25">
      <c r="A485" s="5">
        <v>43924</v>
      </c>
      <c r="B485" s="4">
        <v>0.52800000000000002</v>
      </c>
      <c r="C485" s="12">
        <f t="shared" si="35"/>
        <v>5.8116232464929911E-2</v>
      </c>
      <c r="E485" s="37">
        <v>43924</v>
      </c>
      <c r="F485" s="38">
        <v>0.61199999999999999</v>
      </c>
      <c r="G485" s="38">
        <f t="shared" si="36"/>
        <v>0.21428571428571425</v>
      </c>
      <c r="H485" s="7">
        <v>0.71899999999999997</v>
      </c>
      <c r="I485" s="15">
        <f t="shared" si="37"/>
        <v>0.17100977198697065</v>
      </c>
      <c r="J485" s="10">
        <v>0.66</v>
      </c>
      <c r="K485" s="12">
        <f t="shared" si="38"/>
        <v>0.16814159292035416</v>
      </c>
      <c r="L485" s="10">
        <v>0.76900000000000002</v>
      </c>
      <c r="M485" s="12">
        <f t="shared" si="39"/>
        <v>0.161631419939577</v>
      </c>
    </row>
    <row r="486" spans="1:13" x14ac:dyDescent="0.25">
      <c r="A486" s="5">
        <v>43931</v>
      </c>
      <c r="B486" s="4">
        <v>0.61</v>
      </c>
      <c r="C486" s="12">
        <f t="shared" si="35"/>
        <v>0.15530303030303022</v>
      </c>
      <c r="E486" s="37">
        <v>43931</v>
      </c>
      <c r="F486" s="38">
        <v>0.67600000000000005</v>
      </c>
      <c r="G486" s="38">
        <f t="shared" si="36"/>
        <v>0.10457516339869291</v>
      </c>
      <c r="H486" s="7">
        <v>0.79600000000000004</v>
      </c>
      <c r="I486" s="15">
        <f t="shared" si="37"/>
        <v>0.10709318497913779</v>
      </c>
      <c r="J486" s="10">
        <v>0.74099999999999999</v>
      </c>
      <c r="K486" s="12">
        <f t="shared" si="38"/>
        <v>0.12272727272727266</v>
      </c>
      <c r="L486" s="10">
        <v>0.83799999999999997</v>
      </c>
      <c r="M486" s="12">
        <f t="shared" si="39"/>
        <v>8.972691807542256E-2</v>
      </c>
    </row>
    <row r="487" spans="1:13" x14ac:dyDescent="0.25">
      <c r="A487" s="5">
        <v>43938</v>
      </c>
      <c r="B487" s="4">
        <v>0.60899999999999999</v>
      </c>
      <c r="C487" s="12">
        <f t="shared" si="35"/>
        <v>-1.6393442622950835E-3</v>
      </c>
      <c r="E487" s="37">
        <v>43938</v>
      </c>
      <c r="F487" s="38">
        <v>0.71199999999999997</v>
      </c>
      <c r="G487" s="38">
        <f t="shared" si="36"/>
        <v>5.3254437869822362E-2</v>
      </c>
      <c r="H487" s="7">
        <v>0.81499999999999995</v>
      </c>
      <c r="I487" s="15">
        <f t="shared" si="37"/>
        <v>2.3869346733668223E-2</v>
      </c>
      <c r="J487" s="10">
        <v>0.76600000000000001</v>
      </c>
      <c r="K487" s="12">
        <f t="shared" si="38"/>
        <v>3.3738191632928502E-2</v>
      </c>
      <c r="L487" s="10">
        <v>0.85299999999999998</v>
      </c>
      <c r="M487" s="12">
        <f t="shared" si="39"/>
        <v>1.7899761336515531E-2</v>
      </c>
    </row>
    <row r="488" spans="1:13" x14ac:dyDescent="0.25">
      <c r="A488" s="5">
        <v>43945</v>
      </c>
      <c r="B488" s="4">
        <v>0.56799999999999995</v>
      </c>
      <c r="C488" s="12">
        <f t="shared" si="35"/>
        <v>-6.7323481116584621E-2</v>
      </c>
      <c r="E488" s="37">
        <v>43945</v>
      </c>
      <c r="F488" s="38">
        <v>0.624</v>
      </c>
      <c r="G488" s="38">
        <f t="shared" si="36"/>
        <v>-0.12359550561797748</v>
      </c>
      <c r="H488" s="7">
        <v>0.71499999999999997</v>
      </c>
      <c r="I488" s="15">
        <f t="shared" si="37"/>
        <v>-0.12269938650306747</v>
      </c>
      <c r="J488" s="10">
        <v>0.67300000000000004</v>
      </c>
      <c r="K488" s="12">
        <f t="shared" si="38"/>
        <v>-0.12140992167101823</v>
      </c>
      <c r="L488" s="10">
        <v>0.75</v>
      </c>
      <c r="M488" s="12">
        <f t="shared" si="39"/>
        <v>-0.12075029308323562</v>
      </c>
    </row>
    <row r="489" spans="1:13" x14ac:dyDescent="0.25">
      <c r="A489" s="5">
        <v>43952</v>
      </c>
      <c r="B489" s="4">
        <v>0.65200000000000002</v>
      </c>
      <c r="C489" s="12">
        <f t="shared" si="35"/>
        <v>0.14788732394366211</v>
      </c>
      <c r="E489" s="37">
        <v>43952</v>
      </c>
      <c r="F489" s="38">
        <v>0.70099999999999996</v>
      </c>
      <c r="G489" s="38">
        <f t="shared" si="36"/>
        <v>0.12339743589743583</v>
      </c>
      <c r="H489" s="7">
        <v>0.76800000000000002</v>
      </c>
      <c r="I489" s="15">
        <f t="shared" si="37"/>
        <v>7.4125874125874194E-2</v>
      </c>
      <c r="J489" s="10">
        <v>0.74399999999999999</v>
      </c>
      <c r="K489" s="12">
        <f t="shared" si="38"/>
        <v>0.10549777117384836</v>
      </c>
      <c r="L489" s="10">
        <v>0.78700000000000003</v>
      </c>
      <c r="M489" s="12">
        <f t="shared" si="39"/>
        <v>4.9333333333333375E-2</v>
      </c>
    </row>
    <row r="490" spans="1:13" x14ac:dyDescent="0.25">
      <c r="A490" s="5">
        <v>43959</v>
      </c>
      <c r="B490" s="4">
        <v>0.82499999999999996</v>
      </c>
      <c r="C490" s="12">
        <f t="shared" si="35"/>
        <v>0.26533742331288335</v>
      </c>
      <c r="E490" s="37">
        <v>43959</v>
      </c>
      <c r="F490" s="38">
        <v>0.89700000000000002</v>
      </c>
      <c r="G490" s="38">
        <f t="shared" si="36"/>
        <v>0.27960057061340954</v>
      </c>
      <c r="H490" s="7">
        <v>0.91700000000000004</v>
      </c>
      <c r="I490" s="15">
        <f t="shared" si="37"/>
        <v>0.19401041666666669</v>
      </c>
      <c r="J490" s="10">
        <v>0.90800000000000003</v>
      </c>
      <c r="K490" s="12">
        <f t="shared" si="38"/>
        <v>0.22043010752688177</v>
      </c>
      <c r="L490" s="10">
        <v>0.91900000000000004</v>
      </c>
      <c r="M490" s="12">
        <f t="shared" si="39"/>
        <v>0.16772554002541296</v>
      </c>
    </row>
    <row r="491" spans="1:13" x14ac:dyDescent="0.25">
      <c r="A491" s="5">
        <v>43966</v>
      </c>
      <c r="B491" s="4">
        <v>0.82799999999999996</v>
      </c>
      <c r="C491" s="12">
        <f t="shared" si="35"/>
        <v>3.6363636363636398E-3</v>
      </c>
      <c r="E491" s="37">
        <v>43966</v>
      </c>
      <c r="F491" s="38">
        <v>0.91600000000000004</v>
      </c>
      <c r="G491" s="38">
        <f t="shared" si="36"/>
        <v>2.1181716833890765E-2</v>
      </c>
      <c r="H491" s="7">
        <v>0.94499999999999995</v>
      </c>
      <c r="I491" s="15">
        <f t="shared" si="37"/>
        <v>3.0534351145038073E-2</v>
      </c>
      <c r="J491" s="10">
        <v>0.93600000000000005</v>
      </c>
      <c r="K491" s="12">
        <f t="shared" si="38"/>
        <v>3.0837004405286372E-2</v>
      </c>
      <c r="L491" s="10">
        <v>0.94499999999999995</v>
      </c>
      <c r="M491" s="12">
        <f t="shared" si="39"/>
        <v>2.8291621327529826E-2</v>
      </c>
    </row>
    <row r="492" spans="1:13" x14ac:dyDescent="0.25">
      <c r="A492" s="5">
        <v>43973</v>
      </c>
      <c r="B492" s="4">
        <v>0.96499999999999997</v>
      </c>
      <c r="C492" s="12">
        <f t="shared" si="35"/>
        <v>0.16545893719806765</v>
      </c>
      <c r="E492" s="37">
        <v>43973</v>
      </c>
      <c r="F492" s="38">
        <v>1.04</v>
      </c>
      <c r="G492" s="38">
        <f t="shared" si="36"/>
        <v>0.13537117903930129</v>
      </c>
      <c r="H492" s="7">
        <v>1.06</v>
      </c>
      <c r="I492" s="15">
        <f t="shared" si="37"/>
        <v>0.12169312169312181</v>
      </c>
      <c r="J492" s="10">
        <v>1.054</v>
      </c>
      <c r="K492" s="12">
        <f t="shared" si="38"/>
        <v>0.12606837606837606</v>
      </c>
      <c r="L492" s="10">
        <v>1.056</v>
      </c>
      <c r="M492" s="12">
        <f t="shared" si="39"/>
        <v>0.11746031746031757</v>
      </c>
    </row>
    <row r="493" spans="1:13" x14ac:dyDescent="0.25">
      <c r="A493" s="5">
        <v>43980</v>
      </c>
      <c r="B493" s="4">
        <v>0.93799999999999994</v>
      </c>
      <c r="C493" s="12">
        <f t="shared" si="35"/>
        <v>-2.7979274611398989E-2</v>
      </c>
      <c r="E493" s="37">
        <v>43980</v>
      </c>
      <c r="F493" s="38">
        <v>1.0169999999999999</v>
      </c>
      <c r="G493" s="38">
        <f t="shared" si="36"/>
        <v>-2.2115384615384742E-2</v>
      </c>
      <c r="H493" s="7">
        <v>1.0609999999999999</v>
      </c>
      <c r="I493" s="15">
        <f t="shared" si="37"/>
        <v>9.4339622641499037E-4</v>
      </c>
      <c r="J493" s="10">
        <v>1.0469999999999999</v>
      </c>
      <c r="K493" s="12">
        <f t="shared" si="38"/>
        <v>-6.6413662239090294E-3</v>
      </c>
      <c r="L493" s="10">
        <v>1.0649999999999999</v>
      </c>
      <c r="M493" s="12">
        <f t="shared" si="39"/>
        <v>8.522727272727175E-3</v>
      </c>
    </row>
    <row r="494" spans="1:13" x14ac:dyDescent="0.25">
      <c r="A494" s="5">
        <v>43987</v>
      </c>
      <c r="B494" s="4">
        <v>1.0389999999999999</v>
      </c>
      <c r="C494" s="12">
        <f t="shared" si="35"/>
        <v>0.10767590618336885</v>
      </c>
      <c r="E494" s="37">
        <v>43987</v>
      </c>
      <c r="F494" s="38">
        <v>1.133</v>
      </c>
      <c r="G494" s="38">
        <f t="shared" si="36"/>
        <v>0.11406096361848586</v>
      </c>
      <c r="H494" s="7">
        <v>1.145</v>
      </c>
      <c r="I494" s="15">
        <f t="shared" si="37"/>
        <v>7.9170593779453416E-2</v>
      </c>
      <c r="J494" s="10">
        <v>1.147</v>
      </c>
      <c r="K494" s="12">
        <f t="shared" si="38"/>
        <v>9.5510983763132856E-2</v>
      </c>
      <c r="L494" s="10">
        <v>1.0629999999999999</v>
      </c>
      <c r="M494" s="12">
        <f t="shared" si="39"/>
        <v>-1.8779342723004712E-3</v>
      </c>
    </row>
    <row r="495" spans="1:13" x14ac:dyDescent="0.25">
      <c r="A495" s="5">
        <v>43994</v>
      </c>
      <c r="B495" s="4">
        <v>1.0920000000000001</v>
      </c>
      <c r="C495" s="12">
        <f t="shared" si="35"/>
        <v>5.1010587102983791E-2</v>
      </c>
      <c r="E495" s="37">
        <v>43994</v>
      </c>
      <c r="F495" s="38">
        <v>1.1719999999999999</v>
      </c>
      <c r="G495" s="38">
        <f t="shared" si="36"/>
        <v>3.4421888790820761E-2</v>
      </c>
      <c r="H495" s="7">
        <v>1.1830000000000001</v>
      </c>
      <c r="I495" s="15">
        <f t="shared" si="37"/>
        <v>3.318777292576422E-2</v>
      </c>
      <c r="J495" s="10">
        <v>1.1859999999999999</v>
      </c>
      <c r="K495" s="12">
        <f t="shared" si="38"/>
        <v>3.400174367916297E-2</v>
      </c>
      <c r="L495" s="10">
        <v>1.1000000000000001</v>
      </c>
      <c r="M495" s="12">
        <f t="shared" si="39"/>
        <v>3.4807149576669937E-2</v>
      </c>
    </row>
    <row r="496" spans="1:13" x14ac:dyDescent="0.25">
      <c r="A496" s="5">
        <v>44001</v>
      </c>
      <c r="B496" s="4">
        <v>1.157</v>
      </c>
      <c r="C496" s="12">
        <f t="shared" si="35"/>
        <v>5.9523809523809472E-2</v>
      </c>
      <c r="E496" s="37">
        <v>44001</v>
      </c>
      <c r="F496" s="38">
        <v>1.224</v>
      </c>
      <c r="G496" s="38">
        <f t="shared" si="36"/>
        <v>4.4368600682593899E-2</v>
      </c>
      <c r="H496" s="7">
        <v>1.2190000000000001</v>
      </c>
      <c r="I496" s="15">
        <f t="shared" si="37"/>
        <v>3.0431107354184302E-2</v>
      </c>
      <c r="J496" s="10">
        <v>1.228</v>
      </c>
      <c r="K496" s="12">
        <f t="shared" si="38"/>
        <v>3.5413153456998345E-2</v>
      </c>
      <c r="L496" s="10">
        <v>1.131</v>
      </c>
      <c r="M496" s="12">
        <f t="shared" si="39"/>
        <v>2.8181818181818103E-2</v>
      </c>
    </row>
    <row r="497" spans="1:13" x14ac:dyDescent="0.25">
      <c r="A497" s="5">
        <v>44008</v>
      </c>
      <c r="B497" s="4">
        <v>1.1819999999999999</v>
      </c>
      <c r="C497" s="12">
        <f t="shared" si="35"/>
        <v>2.1607605877268721E-2</v>
      </c>
      <c r="E497" s="37">
        <v>44008</v>
      </c>
      <c r="F497" s="38">
        <v>1.2270000000000001</v>
      </c>
      <c r="G497" s="38">
        <f t="shared" si="36"/>
        <v>2.4509803921569555E-3</v>
      </c>
      <c r="H497" s="7">
        <v>1.218</v>
      </c>
      <c r="I497" s="15">
        <f t="shared" si="37"/>
        <v>-8.2034454470886946E-4</v>
      </c>
      <c r="J497" s="10">
        <v>1.228</v>
      </c>
      <c r="K497" s="12">
        <f t="shared" si="38"/>
        <v>0</v>
      </c>
      <c r="L497" s="10">
        <v>1.1319999999999999</v>
      </c>
      <c r="M497" s="12">
        <f t="shared" si="39"/>
        <v>8.8417329796630401E-4</v>
      </c>
    </row>
    <row r="498" spans="1:13" x14ac:dyDescent="0.25">
      <c r="A498" s="5">
        <v>44015</v>
      </c>
      <c r="B498" s="4">
        <v>1.173</v>
      </c>
      <c r="C498" s="12">
        <f t="shared" si="35"/>
        <v>-7.6142131979694567E-3</v>
      </c>
      <c r="E498" s="37">
        <v>44015</v>
      </c>
      <c r="F498" s="38">
        <v>1.2150000000000001</v>
      </c>
      <c r="G498" s="38">
        <f t="shared" si="36"/>
        <v>-9.7799511002445074E-3</v>
      </c>
      <c r="H498" s="7">
        <v>1.1599999999999999</v>
      </c>
      <c r="I498" s="15">
        <f t="shared" si="37"/>
        <v>-4.7619047619047665E-2</v>
      </c>
      <c r="J498" s="10">
        <v>1.208</v>
      </c>
      <c r="K498" s="12">
        <f t="shared" si="38"/>
        <v>-1.6286644951140079E-2</v>
      </c>
      <c r="L498" s="10">
        <v>1.111</v>
      </c>
      <c r="M498" s="12">
        <f t="shared" si="39"/>
        <v>-1.8551236749116528E-2</v>
      </c>
    </row>
    <row r="499" spans="1:13" x14ac:dyDescent="0.25">
      <c r="A499" s="5">
        <v>44022</v>
      </c>
      <c r="B499" s="4">
        <v>1.2310000000000001</v>
      </c>
      <c r="C499" s="12">
        <f t="shared" si="35"/>
        <v>4.944586530264284E-2</v>
      </c>
      <c r="E499" s="37">
        <v>44022</v>
      </c>
      <c r="F499" s="38">
        <v>1.268</v>
      </c>
      <c r="G499" s="38">
        <f t="shared" si="36"/>
        <v>4.3621399176954678E-2</v>
      </c>
      <c r="H499" s="7">
        <v>1.1599999999999999</v>
      </c>
      <c r="I499" s="15">
        <f t="shared" si="37"/>
        <v>0</v>
      </c>
      <c r="J499" s="10">
        <v>1.2470000000000001</v>
      </c>
      <c r="K499" s="12">
        <f t="shared" si="38"/>
        <v>3.2284768211920653E-2</v>
      </c>
      <c r="L499" s="10">
        <v>1.141</v>
      </c>
      <c r="M499" s="12">
        <f t="shared" si="39"/>
        <v>2.7002700270027026E-2</v>
      </c>
    </row>
    <row r="500" spans="1:13" x14ac:dyDescent="0.25">
      <c r="A500" s="5">
        <v>44029</v>
      </c>
      <c r="B500" s="4">
        <v>1.2210000000000001</v>
      </c>
      <c r="C500" s="12">
        <f t="shared" si="35"/>
        <v>-8.1234768480909891E-3</v>
      </c>
      <c r="E500" s="37">
        <v>44029</v>
      </c>
      <c r="F500" s="38">
        <v>1.2490000000000001</v>
      </c>
      <c r="G500" s="38">
        <f t="shared" si="36"/>
        <v>-1.4984227129337465E-2</v>
      </c>
      <c r="H500" s="7">
        <v>1.145</v>
      </c>
      <c r="I500" s="15">
        <f t="shared" si="37"/>
        <v>-1.2931034482758537E-2</v>
      </c>
      <c r="J500" s="10">
        <v>1.228</v>
      </c>
      <c r="K500" s="12">
        <f t="shared" si="38"/>
        <v>-1.5236567762630413E-2</v>
      </c>
      <c r="L500" s="10">
        <v>1.1259999999999999</v>
      </c>
      <c r="M500" s="12">
        <f t="shared" si="39"/>
        <v>-1.3146362839614482E-2</v>
      </c>
    </row>
    <row r="501" spans="1:13" x14ac:dyDescent="0.25">
      <c r="A501" s="5">
        <v>44036</v>
      </c>
      <c r="B501" s="4">
        <v>1.238</v>
      </c>
      <c r="C501" s="12">
        <f t="shared" si="35"/>
        <v>1.3923013923013844E-2</v>
      </c>
      <c r="E501" s="37">
        <v>44036</v>
      </c>
      <c r="F501" s="38">
        <v>1.2669999999999999</v>
      </c>
      <c r="G501" s="38">
        <f t="shared" si="36"/>
        <v>1.4411529223378537E-2</v>
      </c>
      <c r="H501" s="7">
        <v>1.163</v>
      </c>
      <c r="I501" s="15">
        <f t="shared" si="37"/>
        <v>1.5720524017467263E-2</v>
      </c>
      <c r="J501" s="10">
        <v>1.2450000000000001</v>
      </c>
      <c r="K501" s="12">
        <f t="shared" si="38"/>
        <v>1.3843648208469159E-2</v>
      </c>
      <c r="L501" s="10">
        <v>1.145</v>
      </c>
      <c r="M501" s="12">
        <f t="shared" si="39"/>
        <v>1.6873889875666188E-2</v>
      </c>
    </row>
    <row r="502" spans="1:13" x14ac:dyDescent="0.25">
      <c r="A502" s="5">
        <v>44043</v>
      </c>
      <c r="B502" s="4">
        <v>1.2</v>
      </c>
      <c r="C502" s="12">
        <f t="shared" si="35"/>
        <v>-3.069466882067854E-2</v>
      </c>
      <c r="E502" s="37">
        <v>44043</v>
      </c>
      <c r="F502" s="38">
        <v>1.238</v>
      </c>
      <c r="G502" s="38">
        <f t="shared" si="36"/>
        <v>-2.2888713496448238E-2</v>
      </c>
      <c r="H502" s="7">
        <v>1.1339999999999999</v>
      </c>
      <c r="I502" s="15">
        <f t="shared" si="37"/>
        <v>-2.4935511607910694E-2</v>
      </c>
      <c r="J502" s="10">
        <v>1.2110000000000001</v>
      </c>
      <c r="K502" s="12">
        <f t="shared" si="38"/>
        <v>-2.7309236947791186E-2</v>
      </c>
      <c r="L502" s="10">
        <v>1.119</v>
      </c>
      <c r="M502" s="12">
        <f t="shared" si="39"/>
        <v>-2.2707423580786045E-2</v>
      </c>
    </row>
    <row r="503" spans="1:13" x14ac:dyDescent="0.25">
      <c r="A503" s="5">
        <v>44050</v>
      </c>
      <c r="B503" s="4">
        <v>1.1859999999999999</v>
      </c>
      <c r="C503" s="12">
        <f t="shared" si="35"/>
        <v>-1.1666666666666678E-2</v>
      </c>
      <c r="E503" s="37">
        <v>44050</v>
      </c>
      <c r="F503" s="38">
        <v>1.2170000000000001</v>
      </c>
      <c r="G503" s="38">
        <f t="shared" si="36"/>
        <v>-1.6962843295638051E-2</v>
      </c>
      <c r="H503" s="7">
        <v>1.137</v>
      </c>
      <c r="I503" s="15">
        <f t="shared" si="37"/>
        <v>2.645502645502746E-3</v>
      </c>
      <c r="J503" s="10">
        <v>1.149</v>
      </c>
      <c r="K503" s="12">
        <f t="shared" si="38"/>
        <v>-5.1197357555739099E-2</v>
      </c>
      <c r="L503" s="10">
        <v>1.1299999999999999</v>
      </c>
      <c r="M503" s="12">
        <f t="shared" si="39"/>
        <v>9.8302055406612136E-3</v>
      </c>
    </row>
    <row r="504" spans="1:13" x14ac:dyDescent="0.25">
      <c r="A504" s="5">
        <v>44057</v>
      </c>
      <c r="B504" s="4">
        <v>1.212</v>
      </c>
      <c r="C504" s="12">
        <f t="shared" si="35"/>
        <v>2.1922428330522787E-2</v>
      </c>
      <c r="E504" s="37">
        <v>44057</v>
      </c>
      <c r="F504" s="38">
        <v>1.232</v>
      </c>
      <c r="G504" s="38">
        <f t="shared" si="36"/>
        <v>1.2325390304026212E-2</v>
      </c>
      <c r="H504" s="7">
        <v>1.1619999999999999</v>
      </c>
      <c r="I504" s="15">
        <f t="shared" si="37"/>
        <v>2.1987686895338532E-2</v>
      </c>
      <c r="J504" s="10">
        <v>1.1739999999999999</v>
      </c>
      <c r="K504" s="12">
        <f t="shared" si="38"/>
        <v>2.1758050478677033E-2</v>
      </c>
      <c r="L504" s="10">
        <v>1.1539999999999999</v>
      </c>
      <c r="M504" s="12">
        <f t="shared" si="39"/>
        <v>2.1238938053097366E-2</v>
      </c>
    </row>
    <row r="505" spans="1:13" x14ac:dyDescent="0.25">
      <c r="A505" s="5">
        <v>44064</v>
      </c>
      <c r="B505" s="4">
        <v>1.274</v>
      </c>
      <c r="C505" s="12">
        <f t="shared" si="35"/>
        <v>5.1155115511551205E-2</v>
      </c>
      <c r="E505" s="37">
        <v>44064</v>
      </c>
      <c r="F505" s="38">
        <v>1.2849999999999999</v>
      </c>
      <c r="G505" s="38">
        <f t="shared" si="36"/>
        <v>4.3019480519480471E-2</v>
      </c>
      <c r="H505" s="7">
        <v>1.202</v>
      </c>
      <c r="I505" s="15">
        <f t="shared" si="37"/>
        <v>3.4423407917383853E-2</v>
      </c>
      <c r="J505" s="10">
        <v>1.2210000000000001</v>
      </c>
      <c r="K505" s="12">
        <f t="shared" si="38"/>
        <v>4.0034071550255672E-2</v>
      </c>
      <c r="L505" s="10">
        <v>1.19</v>
      </c>
      <c r="M505" s="12">
        <f t="shared" si="39"/>
        <v>3.1195840554592753E-2</v>
      </c>
    </row>
    <row r="506" spans="1:13" x14ac:dyDescent="0.25">
      <c r="A506" s="5">
        <v>44071</v>
      </c>
      <c r="B506" s="4">
        <v>1.323</v>
      </c>
      <c r="C506" s="12">
        <f t="shared" si="35"/>
        <v>3.8461538461538408E-2</v>
      </c>
      <c r="E506" s="37">
        <v>44071</v>
      </c>
      <c r="F506" s="38">
        <v>1.345</v>
      </c>
      <c r="G506" s="38">
        <f t="shared" si="36"/>
        <v>4.6692607003891093E-2</v>
      </c>
      <c r="H506" s="7">
        <v>1.2170000000000001</v>
      </c>
      <c r="I506" s="15">
        <f t="shared" si="37"/>
        <v>1.2479201331114912E-2</v>
      </c>
      <c r="J506" s="10">
        <v>1.2509999999999999</v>
      </c>
      <c r="K506" s="12">
        <f t="shared" si="38"/>
        <v>2.4570024570024409E-2</v>
      </c>
      <c r="L506" s="10">
        <v>1.2030000000000001</v>
      </c>
      <c r="M506" s="12">
        <f t="shared" si="39"/>
        <v>1.0924369747899263E-2</v>
      </c>
    </row>
    <row r="507" spans="1:13" x14ac:dyDescent="0.25">
      <c r="A507" s="5">
        <v>44078</v>
      </c>
      <c r="B507" s="4">
        <v>1.2490000000000001</v>
      </c>
      <c r="C507" s="12">
        <f t="shared" si="35"/>
        <v>-5.5933484504912957E-2</v>
      </c>
      <c r="E507" s="37">
        <v>44078</v>
      </c>
      <c r="F507" s="38">
        <v>1.2170000000000001</v>
      </c>
      <c r="G507" s="38">
        <f t="shared" si="36"/>
        <v>-9.5167286245353075E-2</v>
      </c>
      <c r="H507" s="7">
        <v>1.169</v>
      </c>
      <c r="I507" s="15">
        <f t="shared" si="37"/>
        <v>-3.9441248972884174E-2</v>
      </c>
      <c r="J507" s="10">
        <v>1.1850000000000001</v>
      </c>
      <c r="K507" s="12">
        <f t="shared" si="38"/>
        <v>-5.2757793764987883E-2</v>
      </c>
      <c r="L507" s="10">
        <v>1.17</v>
      </c>
      <c r="M507" s="12">
        <f t="shared" si="39"/>
        <v>-2.7431421446384156E-2</v>
      </c>
    </row>
    <row r="508" spans="1:13" x14ac:dyDescent="0.25">
      <c r="A508" s="5">
        <v>44085</v>
      </c>
      <c r="B508" s="4">
        <v>1.155</v>
      </c>
      <c r="C508" s="12">
        <f t="shared" si="35"/>
        <v>-7.5260208166533282E-2</v>
      </c>
      <c r="E508" s="37">
        <v>44085</v>
      </c>
      <c r="F508" s="38">
        <v>1.1040000000000001</v>
      </c>
      <c r="G508" s="38">
        <f t="shared" si="36"/>
        <v>-9.2851273623664729E-2</v>
      </c>
      <c r="H508" s="7">
        <v>1.079</v>
      </c>
      <c r="I508" s="15">
        <f t="shared" si="37"/>
        <v>-7.6988879384089035E-2</v>
      </c>
      <c r="J508" s="10">
        <v>1.091</v>
      </c>
      <c r="K508" s="12">
        <f t="shared" si="38"/>
        <v>-7.9324894514767999E-2</v>
      </c>
      <c r="L508" s="10">
        <v>1.0840000000000001</v>
      </c>
      <c r="M508" s="12">
        <f t="shared" si="39"/>
        <v>-7.3504273504273382E-2</v>
      </c>
    </row>
    <row r="509" spans="1:13" x14ac:dyDescent="0.25">
      <c r="A509" s="5">
        <v>44092</v>
      </c>
      <c r="B509" s="4">
        <v>1.2350000000000001</v>
      </c>
      <c r="C509" s="12">
        <f t="shared" si="35"/>
        <v>6.926406926406932E-2</v>
      </c>
      <c r="E509" s="37">
        <v>44092</v>
      </c>
      <c r="F509" s="38">
        <v>1.179</v>
      </c>
      <c r="G509" s="38">
        <f t="shared" si="36"/>
        <v>6.7934782608695607E-2</v>
      </c>
      <c r="H509" s="7">
        <v>1.1439999999999999</v>
      </c>
      <c r="I509" s="15">
        <f t="shared" si="37"/>
        <v>6.0240963855421638E-2</v>
      </c>
      <c r="J509" s="10">
        <v>1.159</v>
      </c>
      <c r="K509" s="12">
        <f t="shared" si="38"/>
        <v>6.232813932172325E-2</v>
      </c>
      <c r="L509" s="10">
        <v>1.147</v>
      </c>
      <c r="M509" s="12">
        <f t="shared" si="39"/>
        <v>5.8118081180811756E-2</v>
      </c>
    </row>
    <row r="510" spans="1:13" x14ac:dyDescent="0.25">
      <c r="A510" s="5">
        <v>44099</v>
      </c>
      <c r="B510" s="4">
        <v>1.238</v>
      </c>
      <c r="C510" s="12">
        <f t="shared" si="35"/>
        <v>2.4291497975707623E-3</v>
      </c>
      <c r="E510" s="37">
        <v>44099</v>
      </c>
      <c r="F510" s="38">
        <v>1.1859999999999999</v>
      </c>
      <c r="G510" s="38">
        <f t="shared" si="36"/>
        <v>5.9372349448684435E-3</v>
      </c>
      <c r="H510" s="7">
        <v>1.149</v>
      </c>
      <c r="I510" s="15">
        <f t="shared" si="37"/>
        <v>4.3706293706294716E-3</v>
      </c>
      <c r="J510" s="10">
        <v>1.1639999999999999</v>
      </c>
      <c r="K510" s="12">
        <f t="shared" si="38"/>
        <v>4.3140638481448607E-3</v>
      </c>
      <c r="L510" s="10">
        <v>1.151</v>
      </c>
      <c r="M510" s="12">
        <f t="shared" si="39"/>
        <v>3.4873583260680067E-3</v>
      </c>
    </row>
    <row r="511" spans="1:13" x14ac:dyDescent="0.25">
      <c r="A511" s="5">
        <v>44106</v>
      </c>
      <c r="B511" s="4">
        <v>1.236</v>
      </c>
      <c r="C511" s="12">
        <f t="shared" si="35"/>
        <v>-1.6155088852988705E-3</v>
      </c>
      <c r="E511" s="37">
        <v>44106</v>
      </c>
      <c r="F511" s="38">
        <v>1.1850000000000001</v>
      </c>
      <c r="G511" s="38">
        <f t="shared" si="36"/>
        <v>-8.431703204046289E-4</v>
      </c>
      <c r="H511" s="7">
        <v>1.149</v>
      </c>
      <c r="I511" s="15">
        <f t="shared" si="37"/>
        <v>0</v>
      </c>
      <c r="J511" s="10">
        <v>1.1599999999999999</v>
      </c>
      <c r="K511" s="12">
        <f t="shared" si="38"/>
        <v>-3.4364261168384914E-3</v>
      </c>
      <c r="L511" s="10">
        <v>1.1519999999999999</v>
      </c>
      <c r="M511" s="12">
        <f t="shared" si="39"/>
        <v>8.6880973066888782E-4</v>
      </c>
    </row>
    <row r="512" spans="1:13" x14ac:dyDescent="0.25">
      <c r="A512" s="5">
        <v>44113</v>
      </c>
      <c r="B512" s="4">
        <v>1.2669999999999999</v>
      </c>
      <c r="C512" s="12">
        <f t="shared" si="35"/>
        <v>2.5080906148867245E-2</v>
      </c>
      <c r="E512" s="37">
        <v>44113</v>
      </c>
      <c r="F512" s="38">
        <v>1.2130000000000001</v>
      </c>
      <c r="G512" s="38">
        <f t="shared" si="36"/>
        <v>2.3628691983122382E-2</v>
      </c>
      <c r="H512" s="7">
        <v>1.1739999999999999</v>
      </c>
      <c r="I512" s="15">
        <f t="shared" si="37"/>
        <v>2.1758050478677033E-2</v>
      </c>
      <c r="J512" s="10">
        <v>1.1830000000000001</v>
      </c>
      <c r="K512" s="12">
        <f t="shared" si="38"/>
        <v>1.9827586206896668E-2</v>
      </c>
      <c r="L512" s="10">
        <v>1.1819999999999999</v>
      </c>
      <c r="M512" s="12">
        <f t="shared" si="39"/>
        <v>2.6041666666666692E-2</v>
      </c>
    </row>
    <row r="513" spans="1:13" x14ac:dyDescent="0.25">
      <c r="A513" s="5">
        <v>44120</v>
      </c>
      <c r="B513" s="4">
        <v>1.23</v>
      </c>
      <c r="C513" s="12">
        <f t="shared" si="35"/>
        <v>-2.920284135753743E-2</v>
      </c>
      <c r="E513" s="37">
        <v>44120</v>
      </c>
      <c r="F513" s="38">
        <v>1.181</v>
      </c>
      <c r="G513" s="38">
        <f t="shared" si="36"/>
        <v>-2.6380873866446847E-2</v>
      </c>
      <c r="H513" s="7">
        <v>1.1559999999999999</v>
      </c>
      <c r="I513" s="15">
        <f t="shared" si="37"/>
        <v>-1.5332197614991496E-2</v>
      </c>
      <c r="J513" s="10">
        <v>1.163</v>
      </c>
      <c r="K513" s="12">
        <f t="shared" si="38"/>
        <v>-1.6906170752324614E-2</v>
      </c>
      <c r="L513" s="10">
        <v>1.165</v>
      </c>
      <c r="M513" s="12">
        <f t="shared" si="39"/>
        <v>-1.4382402707275723E-2</v>
      </c>
    </row>
    <row r="514" spans="1:13" x14ac:dyDescent="0.25">
      <c r="A514" s="5">
        <v>44127</v>
      </c>
      <c r="B514" s="4">
        <v>1.1919999999999999</v>
      </c>
      <c r="C514" s="12">
        <f t="shared" si="35"/>
        <v>-3.0894308943089459E-2</v>
      </c>
      <c r="E514" s="37">
        <v>44127</v>
      </c>
      <c r="F514" s="38">
        <v>1.157</v>
      </c>
      <c r="G514" s="38">
        <f t="shared" si="36"/>
        <v>-2.0321761219305689E-2</v>
      </c>
      <c r="H514" s="7">
        <v>1.1419999999999999</v>
      </c>
      <c r="I514" s="15">
        <f t="shared" si="37"/>
        <v>-1.2110726643598628E-2</v>
      </c>
      <c r="J514" s="10">
        <v>1.1439999999999999</v>
      </c>
      <c r="K514" s="12">
        <f t="shared" si="38"/>
        <v>-1.6337059329320832E-2</v>
      </c>
      <c r="L514" s="10">
        <v>1.151</v>
      </c>
      <c r="M514" s="12">
        <f t="shared" si="39"/>
        <v>-1.201716738197426E-2</v>
      </c>
    </row>
    <row r="515" spans="1:13" x14ac:dyDescent="0.25">
      <c r="A515" s="5">
        <v>44134</v>
      </c>
      <c r="B515" s="4">
        <v>1.1160000000000001</v>
      </c>
      <c r="C515" s="12">
        <f t="shared" si="35"/>
        <v>-6.3758389261744833E-2</v>
      </c>
      <c r="E515" s="37">
        <v>44134</v>
      </c>
      <c r="F515" s="38">
        <v>1.0880000000000001</v>
      </c>
      <c r="G515" s="38">
        <f t="shared" si="36"/>
        <v>-5.9636992221261842E-2</v>
      </c>
      <c r="H515" s="7">
        <v>1.0669999999999999</v>
      </c>
      <c r="I515" s="15">
        <f t="shared" si="37"/>
        <v>-6.5674255691768796E-2</v>
      </c>
      <c r="J515" s="10">
        <v>1.07</v>
      </c>
      <c r="K515" s="12">
        <f t="shared" si="38"/>
        <v>-6.4685314685314549E-2</v>
      </c>
      <c r="L515" s="10">
        <v>1.0760000000000001</v>
      </c>
      <c r="M515" s="12">
        <f t="shared" si="39"/>
        <v>-6.516072980017372E-2</v>
      </c>
    </row>
    <row r="516" spans="1:13" x14ac:dyDescent="0.25">
      <c r="A516" s="5">
        <v>44141</v>
      </c>
      <c r="B516" s="4">
        <v>1.1220000000000001</v>
      </c>
      <c r="C516" s="12">
        <f t="shared" si="35"/>
        <v>5.3763440860215093E-3</v>
      </c>
      <c r="E516" s="37">
        <v>44141</v>
      </c>
      <c r="F516" s="38">
        <v>1.087</v>
      </c>
      <c r="G516" s="38">
        <f t="shared" si="36"/>
        <v>-9.191176470589263E-4</v>
      </c>
      <c r="H516" s="7">
        <v>1.087</v>
      </c>
      <c r="I516" s="15">
        <f t="shared" si="37"/>
        <v>1.8744142455482678E-2</v>
      </c>
      <c r="J516" s="10">
        <v>1.08</v>
      </c>
      <c r="K516" s="12">
        <f t="shared" si="38"/>
        <v>9.3457943925233725E-3</v>
      </c>
      <c r="L516" s="10">
        <v>1.1040000000000001</v>
      </c>
      <c r="M516" s="12">
        <f t="shared" si="39"/>
        <v>2.6022304832713776E-2</v>
      </c>
    </row>
    <row r="517" spans="1:13" x14ac:dyDescent="0.25">
      <c r="A517" s="5">
        <v>44148</v>
      </c>
      <c r="B517" s="4">
        <v>1.1930000000000001</v>
      </c>
      <c r="C517" s="12">
        <f t="shared" ref="C517:C576" si="40">(B517-B516)/B516</f>
        <v>6.3279857397504413E-2</v>
      </c>
      <c r="E517" s="37">
        <v>44148</v>
      </c>
      <c r="F517" s="38">
        <v>1.163</v>
      </c>
      <c r="G517" s="38">
        <f t="shared" ref="G517:G576" si="41">(F517-F516)/F516</f>
        <v>6.9917203311867585E-2</v>
      </c>
      <c r="H517" s="7">
        <v>1.1679999999999999</v>
      </c>
      <c r="I517" s="15">
        <f t="shared" ref="I517:I576" si="42">(H517-H516)/H516</f>
        <v>7.4517019319227204E-2</v>
      </c>
      <c r="J517" s="10">
        <v>1.1599999999999999</v>
      </c>
      <c r="K517" s="12">
        <f t="shared" ref="K517:K576" si="43">(J517-J516)/J516</f>
        <v>7.4074074074073931E-2</v>
      </c>
      <c r="L517" s="10">
        <v>1.1850000000000001</v>
      </c>
      <c r="M517" s="12">
        <f t="shared" ref="M517:M576" si="44">(L517-L516)/L516</f>
        <v>7.3369565217391269E-2</v>
      </c>
    </row>
    <row r="518" spans="1:13" x14ac:dyDescent="0.25">
      <c r="A518" s="5">
        <v>44155</v>
      </c>
      <c r="B518" s="4">
        <v>1.1890000000000001</v>
      </c>
      <c r="C518" s="12">
        <f t="shared" si="40"/>
        <v>-3.3528918692372197E-3</v>
      </c>
      <c r="E518" s="37">
        <v>44155</v>
      </c>
      <c r="F518" s="38">
        <v>1.1599999999999999</v>
      </c>
      <c r="G518" s="38">
        <f t="shared" si="41"/>
        <v>-2.5795356835770539E-3</v>
      </c>
      <c r="H518" s="7">
        <v>1.169</v>
      </c>
      <c r="I518" s="15">
        <f t="shared" si="42"/>
        <v>8.5616438356173974E-4</v>
      </c>
      <c r="J518" s="10">
        <v>1.159</v>
      </c>
      <c r="K518" s="12">
        <f t="shared" si="43"/>
        <v>-8.620689655171465E-4</v>
      </c>
      <c r="L518" s="10">
        <v>1.1879999999999999</v>
      </c>
      <c r="M518" s="12">
        <f t="shared" si="44"/>
        <v>2.5316455696201617E-3</v>
      </c>
    </row>
    <row r="519" spans="1:13" x14ac:dyDescent="0.25">
      <c r="A519" s="5">
        <v>44162</v>
      </c>
      <c r="B519" s="4">
        <v>1.272</v>
      </c>
      <c r="C519" s="12">
        <f t="shared" si="40"/>
        <v>6.9806560134566834E-2</v>
      </c>
      <c r="E519" s="37">
        <v>44162</v>
      </c>
      <c r="F519" s="38">
        <v>1.25</v>
      </c>
      <c r="G519" s="38">
        <f t="shared" si="41"/>
        <v>7.7586206896551796E-2</v>
      </c>
      <c r="H519" s="7">
        <v>1.248</v>
      </c>
      <c r="I519" s="15">
        <f t="shared" si="42"/>
        <v>6.757912745936695E-2</v>
      </c>
      <c r="J519" s="10">
        <v>1.24</v>
      </c>
      <c r="K519" s="12">
        <f t="shared" si="43"/>
        <v>6.988783433994819E-2</v>
      </c>
      <c r="L519" s="10">
        <v>1.264</v>
      </c>
      <c r="M519" s="12">
        <f t="shared" si="44"/>
        <v>6.3973063973064029E-2</v>
      </c>
    </row>
    <row r="520" spans="1:13" x14ac:dyDescent="0.25">
      <c r="A520" s="5">
        <v>44169</v>
      </c>
      <c r="B520" s="4">
        <v>1.2749999999999999</v>
      </c>
      <c r="C520" s="12">
        <f t="shared" si="40"/>
        <v>2.3584905660376508E-3</v>
      </c>
      <c r="E520" s="37">
        <v>44169</v>
      </c>
      <c r="F520" s="38">
        <v>1.248</v>
      </c>
      <c r="G520" s="38">
        <f t="shared" si="41"/>
        <v>-1.6000000000000014E-3</v>
      </c>
      <c r="H520" s="7">
        <v>1.27</v>
      </c>
      <c r="I520" s="15">
        <f t="shared" si="42"/>
        <v>1.7628205128205145E-2</v>
      </c>
      <c r="J520" s="10">
        <v>1.2549999999999999</v>
      </c>
      <c r="K520" s="12">
        <f t="shared" si="43"/>
        <v>1.2096774193548309E-2</v>
      </c>
      <c r="L520" s="10">
        <v>1.3759999999999999</v>
      </c>
      <c r="M520" s="12">
        <f t="shared" si="44"/>
        <v>8.8607594936708764E-2</v>
      </c>
    </row>
    <row r="521" spans="1:13" x14ac:dyDescent="0.25">
      <c r="A521" s="5">
        <v>44176</v>
      </c>
      <c r="B521" s="4">
        <v>1.3140000000000001</v>
      </c>
      <c r="C521" s="12">
        <f t="shared" si="40"/>
        <v>3.0588235294117763E-2</v>
      </c>
      <c r="E521" s="37">
        <v>44176</v>
      </c>
      <c r="F521" s="38">
        <v>1.2829999999999999</v>
      </c>
      <c r="G521" s="38">
        <f t="shared" si="41"/>
        <v>2.804487179487173E-2</v>
      </c>
      <c r="H521" s="7">
        <v>1.306</v>
      </c>
      <c r="I521" s="15">
        <f t="shared" si="42"/>
        <v>2.834645669291341E-2</v>
      </c>
      <c r="J521" s="10">
        <v>1.2909999999999999</v>
      </c>
      <c r="K521" s="12">
        <f t="shared" si="43"/>
        <v>2.8685258964143454E-2</v>
      </c>
      <c r="L521" s="10">
        <v>1.43</v>
      </c>
      <c r="M521" s="12">
        <f t="shared" si="44"/>
        <v>3.9244186046511663E-2</v>
      </c>
    </row>
    <row r="522" spans="1:13" x14ac:dyDescent="0.25">
      <c r="A522" s="5">
        <v>44183</v>
      </c>
      <c r="B522" s="4">
        <v>1.3879999999999999</v>
      </c>
      <c r="C522" s="12">
        <f t="shared" si="40"/>
        <v>5.6316590563165785E-2</v>
      </c>
      <c r="E522" s="37">
        <v>44183</v>
      </c>
      <c r="F522" s="38">
        <v>1.357</v>
      </c>
      <c r="G522" s="38">
        <f t="shared" si="41"/>
        <v>5.7677318784099818E-2</v>
      </c>
      <c r="H522" s="7">
        <v>1.3680000000000001</v>
      </c>
      <c r="I522" s="15">
        <f t="shared" si="42"/>
        <v>4.747320061255747E-2</v>
      </c>
      <c r="J522" s="10">
        <v>1.3560000000000001</v>
      </c>
      <c r="K522" s="12">
        <f t="shared" si="43"/>
        <v>5.0348567002323916E-2</v>
      </c>
      <c r="L522" s="10">
        <v>1.4870000000000001</v>
      </c>
      <c r="M522" s="12">
        <f t="shared" si="44"/>
        <v>3.9860139860139976E-2</v>
      </c>
    </row>
    <row r="523" spans="1:13" x14ac:dyDescent="0.25">
      <c r="A523" s="5">
        <v>44190</v>
      </c>
      <c r="B523" s="4">
        <v>1.397</v>
      </c>
      <c r="C523" s="12">
        <f t="shared" si="40"/>
        <v>6.484149855907867E-3</v>
      </c>
      <c r="E523" s="37">
        <v>44190</v>
      </c>
      <c r="F523" s="38">
        <v>1.365</v>
      </c>
      <c r="G523" s="38">
        <f t="shared" si="41"/>
        <v>5.8953574060427467E-3</v>
      </c>
      <c r="H523" s="7">
        <v>1.37</v>
      </c>
      <c r="I523" s="15">
        <f t="shared" si="42"/>
        <v>1.4619883040935685E-3</v>
      </c>
      <c r="J523" s="10">
        <v>1.36</v>
      </c>
      <c r="K523" s="12">
        <f t="shared" si="43"/>
        <v>2.9498525073746338E-3</v>
      </c>
      <c r="L523" s="10">
        <v>1.4910000000000001</v>
      </c>
      <c r="M523" s="12">
        <f t="shared" si="44"/>
        <v>2.6899798251513135E-3</v>
      </c>
    </row>
    <row r="524" spans="1:13" x14ac:dyDescent="0.25">
      <c r="A524" s="5">
        <v>44197</v>
      </c>
      <c r="B524" s="4">
        <v>1.4219999999999999</v>
      </c>
      <c r="C524" s="12">
        <f t="shared" si="40"/>
        <v>1.7895490336435154E-2</v>
      </c>
      <c r="E524" s="37">
        <v>44197</v>
      </c>
      <c r="F524" s="38">
        <v>1.3939999999999999</v>
      </c>
      <c r="G524" s="38">
        <f t="shared" si="41"/>
        <v>2.1245421245421184E-2</v>
      </c>
      <c r="H524" s="7">
        <v>1.3939999999999999</v>
      </c>
      <c r="I524" s="15">
        <f t="shared" si="42"/>
        <v>1.7518248175182334E-2</v>
      </c>
      <c r="J524" s="10">
        <v>1.3879999999999999</v>
      </c>
      <c r="K524" s="12">
        <f t="shared" si="43"/>
        <v>2.0588235294117501E-2</v>
      </c>
      <c r="L524" s="10">
        <v>1.5109999999999999</v>
      </c>
      <c r="M524" s="12">
        <f t="shared" si="44"/>
        <v>1.3413816230717501E-2</v>
      </c>
    </row>
    <row r="525" spans="1:13" x14ac:dyDescent="0.25">
      <c r="A525" s="5">
        <v>44204</v>
      </c>
      <c r="B525" s="4">
        <v>1.496</v>
      </c>
      <c r="C525" s="12">
        <f t="shared" si="40"/>
        <v>5.2039381153305253E-2</v>
      </c>
      <c r="E525" s="37">
        <v>44204</v>
      </c>
      <c r="F525" s="38">
        <v>1.4650000000000001</v>
      </c>
      <c r="G525" s="38">
        <f t="shared" si="41"/>
        <v>5.093256814921103E-2</v>
      </c>
      <c r="H525" s="7">
        <v>1.579</v>
      </c>
      <c r="I525" s="15">
        <f t="shared" si="42"/>
        <v>0.13271162123385943</v>
      </c>
      <c r="J525" s="10">
        <v>1.468</v>
      </c>
      <c r="K525" s="12">
        <f t="shared" si="43"/>
        <v>5.7636887608069218E-2</v>
      </c>
      <c r="L525" s="10">
        <v>1.585</v>
      </c>
      <c r="M525" s="12">
        <f t="shared" si="44"/>
        <v>4.8974189278623473E-2</v>
      </c>
    </row>
    <row r="526" spans="1:13" x14ac:dyDescent="0.25">
      <c r="A526" s="5">
        <v>44211</v>
      </c>
      <c r="B526" s="4">
        <v>1.573</v>
      </c>
      <c r="C526" s="12">
        <f t="shared" si="40"/>
        <v>5.1470588235294087E-2</v>
      </c>
      <c r="E526" s="37">
        <v>44211</v>
      </c>
      <c r="F526" s="38">
        <v>1.5409999999999999</v>
      </c>
      <c r="G526" s="38">
        <f t="shared" si="41"/>
        <v>5.1877133105801942E-2</v>
      </c>
      <c r="H526" s="7">
        <v>1.643</v>
      </c>
      <c r="I526" s="15">
        <f t="shared" si="42"/>
        <v>4.0531982267257793E-2</v>
      </c>
      <c r="J526" s="10">
        <v>1.5409999999999999</v>
      </c>
      <c r="K526" s="12">
        <f t="shared" si="43"/>
        <v>4.9727520435967273E-2</v>
      </c>
      <c r="L526" s="10">
        <v>1.649</v>
      </c>
      <c r="M526" s="12">
        <f t="shared" si="44"/>
        <v>4.0378548895899091E-2</v>
      </c>
    </row>
    <row r="527" spans="1:13" x14ac:dyDescent="0.25">
      <c r="A527" s="5">
        <v>44218</v>
      </c>
      <c r="B527" s="4">
        <v>1.581</v>
      </c>
      <c r="C527" s="12">
        <f t="shared" si="40"/>
        <v>5.0858232676414539E-3</v>
      </c>
      <c r="E527" s="37">
        <v>44218</v>
      </c>
      <c r="F527" s="38">
        <v>1.5449999999999999</v>
      </c>
      <c r="G527" s="38">
        <f t="shared" si="41"/>
        <v>2.5957170668397169E-3</v>
      </c>
      <c r="H527" s="7">
        <v>1.647</v>
      </c>
      <c r="I527" s="15">
        <f t="shared" si="42"/>
        <v>2.434570906877665E-3</v>
      </c>
      <c r="J527" s="10">
        <v>1.544</v>
      </c>
      <c r="K527" s="12">
        <f t="shared" si="43"/>
        <v>1.9467878001298597E-3</v>
      </c>
      <c r="L527" s="10">
        <v>1.653</v>
      </c>
      <c r="M527" s="12">
        <f t="shared" si="44"/>
        <v>2.4257125530624643E-3</v>
      </c>
    </row>
    <row r="528" spans="1:13" x14ac:dyDescent="0.25">
      <c r="A528" s="5">
        <v>44225</v>
      </c>
      <c r="B528" s="4">
        <v>1.6060000000000001</v>
      </c>
      <c r="C528" s="12">
        <f t="shared" si="40"/>
        <v>1.5812776723592749E-2</v>
      </c>
      <c r="E528" s="37">
        <v>44225</v>
      </c>
      <c r="F528" s="38">
        <v>1.575</v>
      </c>
      <c r="G528" s="38">
        <f t="shared" si="41"/>
        <v>1.9417475728155359E-2</v>
      </c>
      <c r="H528" s="7">
        <v>1.6639999999999999</v>
      </c>
      <c r="I528" s="15">
        <f t="shared" si="42"/>
        <v>1.032179720704305E-2</v>
      </c>
      <c r="J528" s="10">
        <v>1.5669999999999999</v>
      </c>
      <c r="K528" s="12">
        <f t="shared" si="43"/>
        <v>1.4896373056994759E-2</v>
      </c>
      <c r="L528" s="10">
        <v>1.667</v>
      </c>
      <c r="M528" s="12">
        <f t="shared" si="44"/>
        <v>8.4694494857834313E-3</v>
      </c>
    </row>
    <row r="529" spans="1:13" x14ac:dyDescent="0.25">
      <c r="A529" s="5">
        <v>44232</v>
      </c>
      <c r="B529" s="4">
        <v>1.665</v>
      </c>
      <c r="C529" s="12">
        <f t="shared" si="40"/>
        <v>3.6737235367372313E-2</v>
      </c>
      <c r="E529" s="37">
        <v>44232</v>
      </c>
      <c r="F529" s="38">
        <v>1.63</v>
      </c>
      <c r="G529" s="38">
        <f t="shared" si="41"/>
        <v>3.492063492063488E-2</v>
      </c>
      <c r="H529" s="7">
        <v>1.7310000000000001</v>
      </c>
      <c r="I529" s="15">
        <f t="shared" si="42"/>
        <v>4.0264423076923184E-2</v>
      </c>
      <c r="J529" s="10">
        <v>1.7290000000000001</v>
      </c>
      <c r="K529" s="12">
        <f t="shared" si="43"/>
        <v>0.10338225909380992</v>
      </c>
      <c r="L529" s="10">
        <v>1.726</v>
      </c>
      <c r="M529" s="12">
        <f t="shared" si="44"/>
        <v>3.5392921415716823E-2</v>
      </c>
    </row>
    <row r="530" spans="1:13" x14ac:dyDescent="0.25">
      <c r="A530" s="5">
        <v>44239</v>
      </c>
      <c r="B530" s="4">
        <v>1.6850000000000001</v>
      </c>
      <c r="C530" s="12">
        <f t="shared" si="40"/>
        <v>1.2012012012012022E-2</v>
      </c>
      <c r="E530" s="37">
        <v>44239</v>
      </c>
      <c r="F530" s="38">
        <v>1.669</v>
      </c>
      <c r="G530" s="38">
        <f t="shared" si="41"/>
        <v>2.392638036809825E-2</v>
      </c>
      <c r="H530" s="7">
        <v>1.7949999999999999</v>
      </c>
      <c r="I530" s="15">
        <f t="shared" si="42"/>
        <v>3.6972848064702385E-2</v>
      </c>
      <c r="J530" s="10">
        <v>1.79</v>
      </c>
      <c r="K530" s="12">
        <f t="shared" si="43"/>
        <v>3.5280508964719459E-2</v>
      </c>
      <c r="L530" s="10">
        <v>1.7909999999999999</v>
      </c>
      <c r="M530" s="12">
        <f t="shared" si="44"/>
        <v>3.7659327925840064E-2</v>
      </c>
    </row>
    <row r="531" spans="1:13" x14ac:dyDescent="0.25">
      <c r="A531" s="5">
        <v>44246</v>
      </c>
      <c r="B531" s="4">
        <v>1.8069999999999999</v>
      </c>
      <c r="C531" s="12">
        <f t="shared" si="40"/>
        <v>7.2403560830860469E-2</v>
      </c>
      <c r="E531" s="37">
        <v>44246</v>
      </c>
      <c r="F531" s="38">
        <v>1.796</v>
      </c>
      <c r="G531" s="38">
        <f t="shared" si="41"/>
        <v>7.6093469143199519E-2</v>
      </c>
      <c r="H531" s="7">
        <v>1.8779999999999999</v>
      </c>
      <c r="I531" s="15">
        <f t="shared" si="42"/>
        <v>4.6239554317548726E-2</v>
      </c>
      <c r="J531" s="10">
        <v>1.8839999999999999</v>
      </c>
      <c r="K531" s="12">
        <f t="shared" si="43"/>
        <v>5.2513966480446851E-2</v>
      </c>
      <c r="L531" s="10">
        <v>1.867</v>
      </c>
      <c r="M531" s="12">
        <f t="shared" si="44"/>
        <v>4.2434394193188202E-2</v>
      </c>
    </row>
    <row r="532" spans="1:13" x14ac:dyDescent="0.25">
      <c r="A532" s="5">
        <v>44253</v>
      </c>
      <c r="B532" s="4">
        <v>1.897</v>
      </c>
      <c r="C532" s="12">
        <f t="shared" si="40"/>
        <v>4.9806308799114601E-2</v>
      </c>
      <c r="E532" s="37">
        <v>44253</v>
      </c>
      <c r="F532" s="38">
        <v>1.873</v>
      </c>
      <c r="G532" s="38">
        <f t="shared" si="41"/>
        <v>4.2873051224944295E-2</v>
      </c>
      <c r="H532" s="7">
        <v>1.948</v>
      </c>
      <c r="I532" s="15">
        <f t="shared" si="42"/>
        <v>3.7273695420660315E-2</v>
      </c>
      <c r="J532" s="10">
        <v>1.956</v>
      </c>
      <c r="K532" s="12">
        <f t="shared" si="43"/>
        <v>3.8216560509554173E-2</v>
      </c>
      <c r="L532" s="10">
        <v>1.9319999999999999</v>
      </c>
      <c r="M532" s="12">
        <f t="shared" si="44"/>
        <v>3.4815211569362584E-2</v>
      </c>
    </row>
    <row r="533" spans="1:13" x14ac:dyDescent="0.25">
      <c r="A533" s="5">
        <v>44260</v>
      </c>
      <c r="B533" s="4">
        <v>1.94</v>
      </c>
      <c r="C533" s="12">
        <f t="shared" si="40"/>
        <v>2.2667369530838127E-2</v>
      </c>
      <c r="E533" s="37">
        <v>44260</v>
      </c>
      <c r="F533" s="38">
        <v>1.9790000000000001</v>
      </c>
      <c r="G533" s="38">
        <f t="shared" si="41"/>
        <v>5.6593699946609767E-2</v>
      </c>
      <c r="H533" s="7">
        <v>1.9550000000000001</v>
      </c>
      <c r="I533" s="15">
        <f t="shared" si="42"/>
        <v>3.5934291581109432E-3</v>
      </c>
      <c r="J533" s="10">
        <v>1.972</v>
      </c>
      <c r="K533" s="12">
        <f t="shared" si="43"/>
        <v>8.1799591002045067E-3</v>
      </c>
      <c r="L533" s="10">
        <v>1.93</v>
      </c>
      <c r="M533" s="12">
        <f t="shared" si="44"/>
        <v>-1.0351966873706014E-3</v>
      </c>
    </row>
    <row r="534" spans="1:13" x14ac:dyDescent="0.25">
      <c r="A534" s="5">
        <v>44267</v>
      </c>
      <c r="B534" s="4">
        <v>2.081</v>
      </c>
      <c r="C534" s="12">
        <f t="shared" si="40"/>
        <v>7.2680412371134026E-2</v>
      </c>
      <c r="E534" s="37">
        <v>44267</v>
      </c>
      <c r="F534" s="38">
        <v>2.093</v>
      </c>
      <c r="G534" s="38">
        <f t="shared" si="41"/>
        <v>5.7604850934815502E-2</v>
      </c>
      <c r="H534" s="7">
        <v>2.0659999999999998</v>
      </c>
      <c r="I534" s="15">
        <f t="shared" si="42"/>
        <v>5.6777493606137985E-2</v>
      </c>
      <c r="J534" s="10">
        <v>2.0859999999999999</v>
      </c>
      <c r="K534" s="12">
        <f t="shared" si="43"/>
        <v>5.7809330628803182E-2</v>
      </c>
      <c r="L534" s="10">
        <v>2.0390000000000001</v>
      </c>
      <c r="M534" s="12">
        <f t="shared" si="44"/>
        <v>5.6476683937823943E-2</v>
      </c>
    </row>
    <row r="535" spans="1:13" x14ac:dyDescent="0.25">
      <c r="A535" s="5">
        <v>44274</v>
      </c>
      <c r="B535" s="4">
        <v>2.04</v>
      </c>
      <c r="C535" s="12">
        <f t="shared" si="40"/>
        <v>-1.9702066314271949E-2</v>
      </c>
      <c r="E535" s="37">
        <v>44274</v>
      </c>
      <c r="F535" s="38">
        <v>2.028</v>
      </c>
      <c r="G535" s="38">
        <f t="shared" si="41"/>
        <v>-3.1055900621117988E-2</v>
      </c>
      <c r="H535" s="7">
        <v>2.012</v>
      </c>
      <c r="I535" s="15">
        <f t="shared" si="42"/>
        <v>-2.6137463697967003E-2</v>
      </c>
      <c r="J535" s="10">
        <v>2.0259999999999998</v>
      </c>
      <c r="K535" s="12">
        <f t="shared" si="43"/>
        <v>-2.8763183125599261E-2</v>
      </c>
      <c r="L535" s="10">
        <v>1.99</v>
      </c>
      <c r="M535" s="12">
        <f t="shared" si="44"/>
        <v>-2.4031387935262459E-2</v>
      </c>
    </row>
    <row r="536" spans="1:13" x14ac:dyDescent="0.25">
      <c r="A536" s="5">
        <v>44281</v>
      </c>
      <c r="B536" s="4">
        <v>1.9079999999999999</v>
      </c>
      <c r="C536" s="12">
        <f t="shared" si="40"/>
        <v>-6.4705882352941238E-2</v>
      </c>
      <c r="E536" s="37">
        <v>44281</v>
      </c>
      <c r="F536" s="38">
        <v>1.9470000000000001</v>
      </c>
      <c r="G536" s="38">
        <f t="shared" si="41"/>
        <v>-3.9940828402366846E-2</v>
      </c>
      <c r="H536" s="7">
        <v>1.9379999999999999</v>
      </c>
      <c r="I536" s="15">
        <f t="shared" si="42"/>
        <v>-3.6779324055666036E-2</v>
      </c>
      <c r="J536" s="10">
        <v>1.9470000000000001</v>
      </c>
      <c r="K536" s="12">
        <f t="shared" si="43"/>
        <v>-3.8993089832181513E-2</v>
      </c>
      <c r="L536" s="10">
        <v>1.9219999999999999</v>
      </c>
      <c r="M536" s="12">
        <f t="shared" si="44"/>
        <v>-3.4170854271356813E-2</v>
      </c>
    </row>
    <row r="537" spans="1:13" x14ac:dyDescent="0.25">
      <c r="A537" s="5">
        <v>44288</v>
      </c>
      <c r="B537" s="4">
        <v>1.9590000000000001</v>
      </c>
      <c r="C537" s="12">
        <f t="shared" si="40"/>
        <v>2.6729559748427757E-2</v>
      </c>
      <c r="E537" s="37">
        <v>44288</v>
      </c>
      <c r="F537" s="38">
        <v>1.99</v>
      </c>
      <c r="G537" s="38">
        <f t="shared" si="41"/>
        <v>2.2085259373394929E-2</v>
      </c>
      <c r="H537" s="7">
        <v>1.984</v>
      </c>
      <c r="I537" s="15">
        <f t="shared" si="42"/>
        <v>2.3735810113519114E-2</v>
      </c>
      <c r="J537" s="10">
        <v>1.9930000000000001</v>
      </c>
      <c r="K537" s="12">
        <f t="shared" si="43"/>
        <v>2.3626091422701612E-2</v>
      </c>
      <c r="L537" s="10">
        <v>1.9650000000000001</v>
      </c>
      <c r="M537" s="12">
        <f t="shared" si="44"/>
        <v>2.2372528616025053E-2</v>
      </c>
    </row>
    <row r="538" spans="1:13" x14ac:dyDescent="0.25">
      <c r="A538" s="5">
        <v>44295</v>
      </c>
      <c r="B538" s="4">
        <v>1.9450000000000001</v>
      </c>
      <c r="C538" s="12">
        <f t="shared" si="40"/>
        <v>-7.1465033180194036E-3</v>
      </c>
      <c r="E538" s="37">
        <v>44295</v>
      </c>
      <c r="F538" s="38">
        <v>1.96</v>
      </c>
      <c r="G538" s="38">
        <f t="shared" si="41"/>
        <v>-1.5075376884422124E-2</v>
      </c>
      <c r="H538" s="7">
        <v>1.946</v>
      </c>
      <c r="I538" s="15">
        <f t="shared" si="42"/>
        <v>-1.9153225806451631E-2</v>
      </c>
      <c r="J538" s="10">
        <v>1.9590000000000001</v>
      </c>
      <c r="K538" s="12">
        <f t="shared" si="43"/>
        <v>-1.7059708981435037E-2</v>
      </c>
      <c r="L538" s="10">
        <v>1.925</v>
      </c>
      <c r="M538" s="12">
        <f t="shared" si="44"/>
        <v>-2.0356234096692131E-2</v>
      </c>
    </row>
    <row r="539" spans="1:13" x14ac:dyDescent="0.25">
      <c r="A539" s="5">
        <v>44302</v>
      </c>
      <c r="B539" s="4">
        <v>2.0030000000000001</v>
      </c>
      <c r="C539" s="12">
        <f t="shared" si="40"/>
        <v>2.9820051413881773E-2</v>
      </c>
      <c r="E539" s="37">
        <v>44302</v>
      </c>
      <c r="F539" s="38">
        <v>2.0150000000000001</v>
      </c>
      <c r="G539" s="38">
        <f t="shared" si="41"/>
        <v>2.8061224489796002E-2</v>
      </c>
      <c r="H539" s="7">
        <v>2.0070000000000001</v>
      </c>
      <c r="I539" s="15">
        <f t="shared" si="42"/>
        <v>3.1346351490236471E-2</v>
      </c>
      <c r="J539" s="10">
        <v>2.0179999999999998</v>
      </c>
      <c r="K539" s="12">
        <f t="shared" si="43"/>
        <v>3.0117406840224459E-2</v>
      </c>
      <c r="L539" s="10">
        <v>1.9850000000000001</v>
      </c>
      <c r="M539" s="12">
        <f t="shared" si="44"/>
        <v>3.1168831168831197E-2</v>
      </c>
    </row>
    <row r="540" spans="1:13" x14ac:dyDescent="0.25">
      <c r="A540" s="5">
        <v>44309</v>
      </c>
      <c r="B540" s="4">
        <v>1.9790000000000001</v>
      </c>
      <c r="C540" s="12">
        <f t="shared" si="40"/>
        <v>-1.1982026959560669E-2</v>
      </c>
      <c r="E540" s="37">
        <v>44309</v>
      </c>
      <c r="F540" s="38">
        <v>2.0030000000000001</v>
      </c>
      <c r="G540" s="38">
        <f t="shared" si="41"/>
        <v>-5.9553349875930573E-3</v>
      </c>
      <c r="H540" s="7">
        <v>2.0030000000000001</v>
      </c>
      <c r="I540" s="15">
        <f t="shared" si="42"/>
        <v>-1.9930244145490799E-3</v>
      </c>
      <c r="J540" s="10">
        <v>2.008</v>
      </c>
      <c r="K540" s="12">
        <f t="shared" si="43"/>
        <v>-4.9554013875122834E-3</v>
      </c>
      <c r="L540" s="10">
        <v>1.9850000000000001</v>
      </c>
      <c r="M540" s="12">
        <f t="shared" si="44"/>
        <v>0</v>
      </c>
    </row>
    <row r="541" spans="1:13" x14ac:dyDescent="0.25">
      <c r="A541" s="5">
        <v>44316</v>
      </c>
      <c r="B541" s="4">
        <v>2.0230000000000001</v>
      </c>
      <c r="C541" s="12">
        <f t="shared" si="40"/>
        <v>2.2233451237999007E-2</v>
      </c>
      <c r="E541" s="37">
        <v>44316</v>
      </c>
      <c r="F541" s="38">
        <v>2.048</v>
      </c>
      <c r="G541" s="38">
        <f t="shared" si="41"/>
        <v>2.2466300549176199E-2</v>
      </c>
      <c r="H541" s="7">
        <v>2.048</v>
      </c>
      <c r="I541" s="15">
        <f t="shared" si="42"/>
        <v>2.2466300549176199E-2</v>
      </c>
      <c r="J541" s="10">
        <v>2.0550000000000002</v>
      </c>
      <c r="K541" s="12">
        <f t="shared" si="43"/>
        <v>2.3406374501992108E-2</v>
      </c>
      <c r="L541" s="10">
        <v>2.0289999999999999</v>
      </c>
      <c r="M541" s="12">
        <f t="shared" si="44"/>
        <v>2.2166246851385296E-2</v>
      </c>
    </row>
    <row r="542" spans="1:13" x14ac:dyDescent="0.25">
      <c r="A542" s="5">
        <v>44323</v>
      </c>
      <c r="B542" s="4">
        <v>2.12</v>
      </c>
      <c r="C542" s="12">
        <f t="shared" si="40"/>
        <v>4.7948591201186344E-2</v>
      </c>
      <c r="E542" s="37">
        <v>44323</v>
      </c>
      <c r="F542" s="38">
        <v>2.129</v>
      </c>
      <c r="G542" s="38">
        <f t="shared" si="41"/>
        <v>3.9550781249999979E-2</v>
      </c>
      <c r="H542" s="7">
        <v>2.1</v>
      </c>
      <c r="I542" s="15">
        <f t="shared" si="42"/>
        <v>2.5390625000000021E-2</v>
      </c>
      <c r="J542" s="10">
        <v>2.121</v>
      </c>
      <c r="K542" s="12">
        <f t="shared" si="43"/>
        <v>3.2116788321167801E-2</v>
      </c>
      <c r="L542" s="10">
        <v>2.0699999999999998</v>
      </c>
      <c r="M542" s="12">
        <f t="shared" si="44"/>
        <v>2.0206998521439097E-2</v>
      </c>
    </row>
    <row r="543" spans="1:13" x14ac:dyDescent="0.25">
      <c r="A543" s="5">
        <v>44330</v>
      </c>
      <c r="B543" s="4">
        <v>2.1349999999999998</v>
      </c>
      <c r="C543" s="12">
        <f t="shared" si="40"/>
        <v>7.0754716981130568E-3</v>
      </c>
      <c r="E543" s="37">
        <v>44330</v>
      </c>
      <c r="F543" s="38">
        <v>2.1309999999999998</v>
      </c>
      <c r="G543" s="38">
        <f t="shared" si="41"/>
        <v>9.3940817285100031E-4</v>
      </c>
      <c r="H543" s="7">
        <v>2.1110000000000002</v>
      </c>
      <c r="I543" s="15">
        <f t="shared" si="42"/>
        <v>5.2380952380952951E-3</v>
      </c>
      <c r="J543" s="10">
        <v>2.1269999999999998</v>
      </c>
      <c r="K543" s="12">
        <f t="shared" si="43"/>
        <v>2.8288543140027266E-3</v>
      </c>
      <c r="L543" s="10">
        <v>2.0840000000000001</v>
      </c>
      <c r="M543" s="12">
        <f t="shared" si="44"/>
        <v>6.7632850241547034E-3</v>
      </c>
    </row>
    <row r="544" spans="1:13" x14ac:dyDescent="0.25">
      <c r="A544" s="5">
        <v>44337</v>
      </c>
      <c r="B544" s="4">
        <v>2.105</v>
      </c>
      <c r="C544" s="12">
        <f t="shared" si="40"/>
        <v>-1.405152224824347E-2</v>
      </c>
      <c r="E544" s="37">
        <v>44337</v>
      </c>
      <c r="F544" s="38">
        <v>2.1070000000000002</v>
      </c>
      <c r="G544" s="38">
        <f t="shared" si="41"/>
        <v>-1.1262318160487837E-2</v>
      </c>
      <c r="H544" s="7">
        <v>2.0910000000000002</v>
      </c>
      <c r="I544" s="15">
        <f t="shared" si="42"/>
        <v>-9.4741828517290461E-3</v>
      </c>
      <c r="J544" s="10">
        <v>2.105</v>
      </c>
      <c r="K544" s="12">
        <f t="shared" si="43"/>
        <v>-1.034320639398204E-2</v>
      </c>
      <c r="L544" s="10">
        <v>2.0649999999999999</v>
      </c>
      <c r="M544" s="12">
        <f t="shared" si="44"/>
        <v>-9.1170825335893119E-3</v>
      </c>
    </row>
    <row r="545" spans="1:13" x14ac:dyDescent="0.25">
      <c r="A545" s="5">
        <v>44344</v>
      </c>
      <c r="B545" s="4">
        <v>2.1059999999999999</v>
      </c>
      <c r="C545" s="12">
        <f t="shared" si="40"/>
        <v>4.7505938242275054E-4</v>
      </c>
      <c r="E545" s="37">
        <v>44344</v>
      </c>
      <c r="F545" s="38">
        <v>2.1349999999999998</v>
      </c>
      <c r="G545" s="38">
        <f t="shared" si="41"/>
        <v>1.3289036544850297E-2</v>
      </c>
      <c r="H545" s="7">
        <v>2.129</v>
      </c>
      <c r="I545" s="15">
        <f t="shared" si="42"/>
        <v>1.8173122907699575E-2</v>
      </c>
      <c r="J545" s="10">
        <v>2.1379999999999999</v>
      </c>
      <c r="K545" s="12">
        <f t="shared" si="43"/>
        <v>1.5676959619952455E-2</v>
      </c>
      <c r="L545" s="10">
        <v>2.1059999999999999</v>
      </c>
      <c r="M545" s="12">
        <f t="shared" si="44"/>
        <v>1.9854721549636769E-2</v>
      </c>
    </row>
    <row r="546" spans="1:13" x14ac:dyDescent="0.25">
      <c r="A546" s="5">
        <v>44351</v>
      </c>
      <c r="B546" s="4">
        <v>2.1560000000000001</v>
      </c>
      <c r="C546" s="12">
        <f t="shared" si="40"/>
        <v>2.3741690408357202E-2</v>
      </c>
      <c r="E546" s="37">
        <v>44351</v>
      </c>
      <c r="F546" s="38">
        <v>2.1949999999999998</v>
      </c>
      <c r="G546" s="38">
        <f t="shared" si="41"/>
        <v>2.8103044496487147E-2</v>
      </c>
      <c r="H546" s="7">
        <v>2.169</v>
      </c>
      <c r="I546" s="15">
        <f t="shared" si="42"/>
        <v>1.8788163457022094E-2</v>
      </c>
      <c r="J546" s="10">
        <v>2.1890000000000001</v>
      </c>
      <c r="K546" s="12">
        <f t="shared" si="43"/>
        <v>2.3854069223573509E-2</v>
      </c>
      <c r="L546" s="10">
        <v>2.048</v>
      </c>
      <c r="M546" s="12">
        <f t="shared" si="44"/>
        <v>-2.7540360873694127E-2</v>
      </c>
    </row>
    <row r="547" spans="1:13" x14ac:dyDescent="0.25">
      <c r="A547" s="5">
        <v>44358</v>
      </c>
      <c r="B547" s="4">
        <v>2.1619999999999999</v>
      </c>
      <c r="C547" s="12">
        <f t="shared" si="40"/>
        <v>2.7829313543598251E-3</v>
      </c>
      <c r="E547" s="37">
        <v>44358</v>
      </c>
      <c r="F547" s="38">
        <v>2.2029999999999998</v>
      </c>
      <c r="G547" s="38">
        <f t="shared" si="41"/>
        <v>3.6446469248291608E-3</v>
      </c>
      <c r="H547" s="7">
        <v>2.1850000000000001</v>
      </c>
      <c r="I547" s="15">
        <f t="shared" si="42"/>
        <v>7.3766712770862216E-3</v>
      </c>
      <c r="J547" s="10">
        <v>2.2010000000000001</v>
      </c>
      <c r="K547" s="12">
        <f t="shared" si="43"/>
        <v>5.481955230698954E-3</v>
      </c>
      <c r="L547" s="10">
        <v>2.0659999999999998</v>
      </c>
      <c r="M547" s="12">
        <f t="shared" si="44"/>
        <v>8.7890624999998994E-3</v>
      </c>
    </row>
    <row r="548" spans="1:13" x14ac:dyDescent="0.25">
      <c r="A548" s="5">
        <v>44365</v>
      </c>
      <c r="B548" s="4">
        <v>2.121</v>
      </c>
      <c r="C548" s="12">
        <f t="shared" si="40"/>
        <v>-1.8963922294172028E-2</v>
      </c>
      <c r="E548" s="37">
        <v>44365</v>
      </c>
      <c r="F548" s="38">
        <v>2.16</v>
      </c>
      <c r="G548" s="38">
        <f t="shared" si="41"/>
        <v>-1.9518837948252252E-2</v>
      </c>
      <c r="H548" s="7">
        <v>2.15</v>
      </c>
      <c r="I548" s="15">
        <f t="shared" si="42"/>
        <v>-1.6018306636155669E-2</v>
      </c>
      <c r="J548" s="10">
        <v>2.1640000000000001</v>
      </c>
      <c r="K548" s="12">
        <f t="shared" si="43"/>
        <v>-1.6810540663334813E-2</v>
      </c>
      <c r="L548" s="10">
        <v>2.0379999999999998</v>
      </c>
      <c r="M548" s="12">
        <f t="shared" si="44"/>
        <v>-1.3552758954501466E-2</v>
      </c>
    </row>
    <row r="549" spans="1:13" x14ac:dyDescent="0.25">
      <c r="A549" s="5">
        <v>44372</v>
      </c>
      <c r="B549" s="4">
        <v>2.2080000000000002</v>
      </c>
      <c r="C549" s="12">
        <f t="shared" si="40"/>
        <v>4.1018387553041109E-2</v>
      </c>
      <c r="E549" s="37">
        <v>44372</v>
      </c>
      <c r="F549" s="38">
        <v>2.2469999999999999</v>
      </c>
      <c r="G549" s="38">
        <f t="shared" si="41"/>
        <v>4.0277777777777655E-2</v>
      </c>
      <c r="H549" s="7">
        <v>2.2309999999999999</v>
      </c>
      <c r="I549" s="15">
        <f t="shared" si="42"/>
        <v>3.7674418604651143E-2</v>
      </c>
      <c r="J549" s="10">
        <v>2.2490000000000001</v>
      </c>
      <c r="K549" s="12">
        <f t="shared" si="43"/>
        <v>3.9279112754158949E-2</v>
      </c>
      <c r="L549" s="10">
        <v>2.1110000000000002</v>
      </c>
      <c r="M549" s="12">
        <f t="shared" si="44"/>
        <v>3.5819430814524239E-2</v>
      </c>
    </row>
    <row r="550" spans="1:13" x14ac:dyDescent="0.25">
      <c r="A550" s="5">
        <v>44379</v>
      </c>
      <c r="B550" s="4">
        <v>2.2210000000000001</v>
      </c>
      <c r="C550" s="12">
        <f t="shared" si="40"/>
        <v>5.887681159420244E-3</v>
      </c>
      <c r="E550" s="37">
        <v>44379</v>
      </c>
      <c r="F550" s="38">
        <v>2.254</v>
      </c>
      <c r="G550" s="38">
        <f t="shared" si="41"/>
        <v>3.1152647975078405E-3</v>
      </c>
      <c r="H550" s="7">
        <v>2.1869999999999998</v>
      </c>
      <c r="I550" s="15">
        <f t="shared" si="42"/>
        <v>-1.97220977140296E-2</v>
      </c>
      <c r="J550" s="10">
        <v>2.2480000000000002</v>
      </c>
      <c r="K550" s="12">
        <f t="shared" si="43"/>
        <v>-4.4464206313912395E-4</v>
      </c>
      <c r="L550" s="10">
        <v>2.0960000000000001</v>
      </c>
      <c r="M550" s="12">
        <f t="shared" si="44"/>
        <v>-7.1056371387968366E-3</v>
      </c>
    </row>
    <row r="551" spans="1:13" x14ac:dyDescent="0.25">
      <c r="A551" s="5">
        <v>44386</v>
      </c>
      <c r="B551" s="4">
        <v>2.2200000000000002</v>
      </c>
      <c r="C551" s="12">
        <f t="shared" si="40"/>
        <v>-4.5024763619986034E-4</v>
      </c>
      <c r="E551" s="37">
        <v>44386</v>
      </c>
      <c r="F551" s="38">
        <v>2.2450000000000001</v>
      </c>
      <c r="G551" s="38">
        <f t="shared" si="41"/>
        <v>-3.9929015084294132E-3</v>
      </c>
      <c r="H551" s="7">
        <v>2.1030000000000002</v>
      </c>
      <c r="I551" s="15">
        <f t="shared" si="42"/>
        <v>-3.8408779149519727E-2</v>
      </c>
      <c r="J551" s="10">
        <v>2.23</v>
      </c>
      <c r="K551" s="12">
        <f t="shared" si="43"/>
        <v>-8.0071174377225243E-3</v>
      </c>
      <c r="L551" s="10">
        <v>2.0609999999999999</v>
      </c>
      <c r="M551" s="12">
        <f t="shared" si="44"/>
        <v>-1.6698473282442814E-2</v>
      </c>
    </row>
    <row r="552" spans="1:13" x14ac:dyDescent="0.25">
      <c r="A552" s="5">
        <v>44393</v>
      </c>
      <c r="B552" s="4">
        <v>2.2679999999999998</v>
      </c>
      <c r="C552" s="12">
        <f t="shared" si="40"/>
        <v>2.1621621621621439E-2</v>
      </c>
      <c r="E552" s="37">
        <v>44393</v>
      </c>
      <c r="F552" s="38">
        <v>2.2789999999999999</v>
      </c>
      <c r="G552" s="38">
        <f t="shared" si="41"/>
        <v>1.5144766146993232E-2</v>
      </c>
      <c r="H552" s="7">
        <v>2.1309999999999998</v>
      </c>
      <c r="I552" s="15">
        <f t="shared" si="42"/>
        <v>1.3314312886352628E-2</v>
      </c>
      <c r="J552" s="10">
        <v>2.2610000000000001</v>
      </c>
      <c r="K552" s="12">
        <f t="shared" si="43"/>
        <v>1.3901345291479883E-2</v>
      </c>
      <c r="L552" s="10">
        <v>2.0870000000000002</v>
      </c>
      <c r="M552" s="12">
        <f t="shared" si="44"/>
        <v>1.2615235322659023E-2</v>
      </c>
    </row>
    <row r="553" spans="1:13" x14ac:dyDescent="0.25">
      <c r="A553" s="5">
        <v>44400</v>
      </c>
      <c r="B553" s="4">
        <v>2.2040000000000002</v>
      </c>
      <c r="C553" s="12">
        <f t="shared" si="40"/>
        <v>-2.8218694885361384E-2</v>
      </c>
      <c r="E553" s="37">
        <v>44400</v>
      </c>
      <c r="F553" s="38">
        <v>2.2050000000000001</v>
      </c>
      <c r="G553" s="38">
        <f t="shared" si="41"/>
        <v>-3.2470381746379923E-2</v>
      </c>
      <c r="H553" s="7">
        <v>2.0470000000000002</v>
      </c>
      <c r="I553" s="15">
        <f t="shared" si="42"/>
        <v>-3.9418113561707949E-2</v>
      </c>
      <c r="J553" s="10">
        <v>2.1800000000000002</v>
      </c>
      <c r="K553" s="12">
        <f t="shared" si="43"/>
        <v>-3.5824856258292771E-2</v>
      </c>
      <c r="L553" s="10">
        <v>2.0019999999999998</v>
      </c>
      <c r="M553" s="12">
        <f t="shared" si="44"/>
        <v>-4.0728318160038524E-2</v>
      </c>
    </row>
    <row r="554" spans="1:13" x14ac:dyDescent="0.25">
      <c r="A554" s="5">
        <v>44407</v>
      </c>
      <c r="B554" s="4">
        <v>2.33</v>
      </c>
      <c r="C554" s="12">
        <f t="shared" si="40"/>
        <v>5.7168784029038057E-2</v>
      </c>
      <c r="E554" s="37">
        <v>44407</v>
      </c>
      <c r="F554" s="38">
        <v>2.3290000000000002</v>
      </c>
      <c r="G554" s="38">
        <f t="shared" si="41"/>
        <v>5.6235827664399142E-2</v>
      </c>
      <c r="H554" s="7">
        <v>2.1619999999999999</v>
      </c>
      <c r="I554" s="15">
        <f t="shared" si="42"/>
        <v>5.6179775280898757E-2</v>
      </c>
      <c r="J554" s="10">
        <v>2.2999999999999998</v>
      </c>
      <c r="K554" s="12">
        <f t="shared" si="43"/>
        <v>5.5045871559632871E-2</v>
      </c>
      <c r="L554" s="10">
        <v>2.11</v>
      </c>
      <c r="M554" s="12">
        <f t="shared" si="44"/>
        <v>5.3946053946054E-2</v>
      </c>
    </row>
    <row r="555" spans="1:13" x14ac:dyDescent="0.25">
      <c r="A555" s="5">
        <v>44414</v>
      </c>
      <c r="B555" s="4">
        <v>2.282</v>
      </c>
      <c r="C555" s="12">
        <f t="shared" si="40"/>
        <v>-2.060085836909873E-2</v>
      </c>
      <c r="E555" s="37">
        <v>44414</v>
      </c>
      <c r="F555" s="38">
        <v>2.2690000000000001</v>
      </c>
      <c r="G555" s="38">
        <f t="shared" si="41"/>
        <v>-2.5762129669386024E-2</v>
      </c>
      <c r="H555" s="7">
        <v>2.0680000000000001</v>
      </c>
      <c r="I555" s="15">
        <f t="shared" si="42"/>
        <v>-4.3478260869565154E-2</v>
      </c>
      <c r="J555" s="10">
        <v>2.125</v>
      </c>
      <c r="K555" s="12">
        <f t="shared" si="43"/>
        <v>-7.6086956521739066E-2</v>
      </c>
      <c r="L555" s="10">
        <v>2.0289999999999999</v>
      </c>
      <c r="M555" s="12">
        <f t="shared" si="44"/>
        <v>-3.8388625592417049E-2</v>
      </c>
    </row>
    <row r="556" spans="1:13" x14ac:dyDescent="0.25">
      <c r="A556" s="5">
        <v>44421</v>
      </c>
      <c r="B556" s="4">
        <v>2.2839999999999998</v>
      </c>
      <c r="C556" s="12">
        <f t="shared" si="40"/>
        <v>8.7642418930752831E-4</v>
      </c>
      <c r="E556" s="37">
        <v>44421</v>
      </c>
      <c r="F556" s="38">
        <v>2.2690000000000001</v>
      </c>
      <c r="G556" s="38">
        <f t="shared" si="41"/>
        <v>0</v>
      </c>
      <c r="H556" s="7">
        <v>2.06</v>
      </c>
      <c r="I556" s="15">
        <f t="shared" si="42"/>
        <v>-3.8684719535783401E-3</v>
      </c>
      <c r="J556" s="10">
        <v>2.1179999999999999</v>
      </c>
      <c r="K556" s="12">
        <f t="shared" si="43"/>
        <v>-3.2941176470588788E-3</v>
      </c>
      <c r="L556" s="10">
        <v>2.02</v>
      </c>
      <c r="M556" s="12">
        <f t="shared" si="44"/>
        <v>-4.4356826022670763E-3</v>
      </c>
    </row>
    <row r="557" spans="1:13" x14ac:dyDescent="0.25">
      <c r="A557" s="5">
        <v>44428</v>
      </c>
      <c r="B557" s="4">
        <v>2.1219999999999999</v>
      </c>
      <c r="C557" s="12">
        <f t="shared" si="40"/>
        <v>-7.0928196147110309E-2</v>
      </c>
      <c r="E557" s="37">
        <v>44428</v>
      </c>
      <c r="F557" s="38">
        <v>2.1240000000000001</v>
      </c>
      <c r="G557" s="38">
        <f t="shared" si="41"/>
        <v>-6.3904803878360519E-2</v>
      </c>
      <c r="H557" s="7">
        <v>1.9450000000000001</v>
      </c>
      <c r="I557" s="15">
        <f t="shared" si="42"/>
        <v>-5.5825242718446598E-2</v>
      </c>
      <c r="J557" s="10">
        <v>1.9930000000000001</v>
      </c>
      <c r="K557" s="12">
        <f t="shared" si="43"/>
        <v>-5.9017941454201979E-2</v>
      </c>
      <c r="L557" s="10">
        <v>1.911</v>
      </c>
      <c r="M557" s="12">
        <f t="shared" si="44"/>
        <v>-5.3960396039603953E-2</v>
      </c>
    </row>
    <row r="558" spans="1:13" x14ac:dyDescent="0.25">
      <c r="A558" s="5">
        <v>44435</v>
      </c>
      <c r="B558" s="4">
        <v>2.2250000000000001</v>
      </c>
      <c r="C558" s="12">
        <f t="shared" si="40"/>
        <v>4.8539114043355425E-2</v>
      </c>
      <c r="E558" s="37">
        <v>44435</v>
      </c>
      <c r="F558" s="38">
        <v>2.2269999999999999</v>
      </c>
      <c r="G558" s="38">
        <f t="shared" si="41"/>
        <v>4.849340866290007E-2</v>
      </c>
      <c r="H558" s="7">
        <v>2.016</v>
      </c>
      <c r="I558" s="15">
        <f t="shared" si="42"/>
        <v>3.6503856041131079E-2</v>
      </c>
      <c r="J558" s="10">
        <v>2.08</v>
      </c>
      <c r="K558" s="12">
        <f t="shared" si="43"/>
        <v>4.3652784746613126E-2</v>
      </c>
      <c r="L558" s="10">
        <v>1.976</v>
      </c>
      <c r="M558" s="12">
        <f t="shared" si="44"/>
        <v>3.4013605442176839E-2</v>
      </c>
    </row>
    <row r="559" spans="1:13" x14ac:dyDescent="0.25">
      <c r="A559" s="5">
        <v>44442</v>
      </c>
      <c r="B559" s="4">
        <v>2.319</v>
      </c>
      <c r="C559" s="12">
        <f t="shared" si="40"/>
        <v>4.2247191011235891E-2</v>
      </c>
      <c r="E559" s="37">
        <v>44442</v>
      </c>
      <c r="F559" s="38">
        <v>2.2050000000000001</v>
      </c>
      <c r="G559" s="38">
        <f t="shared" si="41"/>
        <v>-9.8787606645710808E-3</v>
      </c>
      <c r="H559" s="7">
        <v>2.0499999999999998</v>
      </c>
      <c r="I559" s="15">
        <f t="shared" si="42"/>
        <v>1.686507936507927E-2</v>
      </c>
      <c r="J559" s="10">
        <v>2.1059999999999999</v>
      </c>
      <c r="K559" s="12">
        <f t="shared" si="43"/>
        <v>1.2499999999999904E-2</v>
      </c>
      <c r="L559" s="10">
        <v>2.0219999999999998</v>
      </c>
      <c r="M559" s="12">
        <f t="shared" si="44"/>
        <v>2.3279352226720555E-2</v>
      </c>
    </row>
    <row r="560" spans="1:13" x14ac:dyDescent="0.25">
      <c r="A560" s="5">
        <v>44449</v>
      </c>
      <c r="B560" s="4">
        <v>2.2869999999999999</v>
      </c>
      <c r="C560" s="12">
        <f t="shared" si="40"/>
        <v>-1.3799051315222091E-2</v>
      </c>
      <c r="E560" s="37">
        <v>44449</v>
      </c>
      <c r="F560" s="38">
        <v>2.129</v>
      </c>
      <c r="G560" s="38">
        <f t="shared" si="41"/>
        <v>-3.4467120181405922E-2</v>
      </c>
      <c r="H560" s="7">
        <v>2.0270000000000001</v>
      </c>
      <c r="I560" s="15">
        <f t="shared" si="42"/>
        <v>-1.12195121951218E-2</v>
      </c>
      <c r="J560" s="10">
        <v>2.069</v>
      </c>
      <c r="K560" s="12">
        <f t="shared" si="43"/>
        <v>-1.7568850902184199E-2</v>
      </c>
      <c r="L560" s="10">
        <v>2.0089999999999999</v>
      </c>
      <c r="M560" s="12">
        <f t="shared" si="44"/>
        <v>-6.4292779426310094E-3</v>
      </c>
    </row>
    <row r="561" spans="1:13" x14ac:dyDescent="0.25">
      <c r="A561" s="5">
        <v>44456</v>
      </c>
      <c r="B561" s="4">
        <v>2.3029999999999999</v>
      </c>
      <c r="C561" s="12">
        <f t="shared" si="40"/>
        <v>6.996064713598607E-3</v>
      </c>
      <c r="E561" s="37">
        <v>44456</v>
      </c>
      <c r="F561" s="38">
        <v>2.1779999999999999</v>
      </c>
      <c r="G561" s="38">
        <f t="shared" si="41"/>
        <v>2.3015500234852011E-2</v>
      </c>
      <c r="H561" s="7">
        <v>2.077</v>
      </c>
      <c r="I561" s="15">
        <f t="shared" si="42"/>
        <v>2.4666995559940709E-2</v>
      </c>
      <c r="J561" s="10">
        <v>2.12</v>
      </c>
      <c r="K561" s="12">
        <f t="shared" si="43"/>
        <v>2.4649589173513852E-2</v>
      </c>
      <c r="L561" s="10">
        <v>2.0569999999999999</v>
      </c>
      <c r="M561" s="12">
        <f t="shared" si="44"/>
        <v>2.3892483822797433E-2</v>
      </c>
    </row>
    <row r="562" spans="1:13" x14ac:dyDescent="0.25">
      <c r="A562" s="5">
        <v>44463</v>
      </c>
      <c r="B562" s="4">
        <v>2.238</v>
      </c>
      <c r="C562" s="12">
        <f t="shared" si="40"/>
        <v>-2.8224055579678657E-2</v>
      </c>
      <c r="E562" s="37">
        <v>44463</v>
      </c>
      <c r="F562" s="38">
        <v>2.141</v>
      </c>
      <c r="G562" s="38">
        <f t="shared" si="41"/>
        <v>-1.6988062442607862E-2</v>
      </c>
      <c r="H562" s="7">
        <v>2.0569999999999999</v>
      </c>
      <c r="I562" s="15">
        <f t="shared" si="42"/>
        <v>-9.6292729898892725E-3</v>
      </c>
      <c r="J562" s="10">
        <v>2.0939999999999999</v>
      </c>
      <c r="K562" s="12">
        <f t="shared" si="43"/>
        <v>-1.2264150943396342E-2</v>
      </c>
      <c r="L562" s="10">
        <v>2.0390000000000001</v>
      </c>
      <c r="M562" s="12">
        <f t="shared" si="44"/>
        <v>-8.7506076810888647E-3</v>
      </c>
    </row>
    <row r="563" spans="1:13" x14ac:dyDescent="0.25">
      <c r="A563" s="5">
        <v>44470</v>
      </c>
      <c r="B563" s="4">
        <v>2.294</v>
      </c>
      <c r="C563" s="12">
        <f t="shared" si="40"/>
        <v>2.5022341376228798E-2</v>
      </c>
      <c r="E563" s="37">
        <v>44470</v>
      </c>
      <c r="F563" s="38">
        <v>2.2320000000000002</v>
      </c>
      <c r="G563" s="38">
        <f t="shared" si="41"/>
        <v>4.250350303596459E-2</v>
      </c>
      <c r="H563" s="7">
        <v>2.1459999999999999</v>
      </c>
      <c r="I563" s="15">
        <f t="shared" si="42"/>
        <v>4.3266893534273196E-2</v>
      </c>
      <c r="J563" s="10">
        <v>2.1789999999999998</v>
      </c>
      <c r="K563" s="12">
        <f t="shared" si="43"/>
        <v>4.0592168099331409E-2</v>
      </c>
      <c r="L563" s="10">
        <v>2.1320000000000001</v>
      </c>
      <c r="M563" s="12">
        <f t="shared" si="44"/>
        <v>4.561059342815104E-2</v>
      </c>
    </row>
    <row r="564" spans="1:13" x14ac:dyDescent="0.25">
      <c r="A564" s="5">
        <v>44477</v>
      </c>
      <c r="B564" s="4">
        <v>2.4140000000000001</v>
      </c>
      <c r="C564" s="12">
        <f t="shared" si="40"/>
        <v>5.2310374891020098E-2</v>
      </c>
      <c r="E564" s="37">
        <v>44477</v>
      </c>
      <c r="F564" s="38">
        <v>2.335</v>
      </c>
      <c r="G564" s="38">
        <f t="shared" si="41"/>
        <v>4.6146953405017808E-2</v>
      </c>
      <c r="H564" s="7">
        <v>2.2639999999999998</v>
      </c>
      <c r="I564" s="15">
        <f t="shared" si="42"/>
        <v>5.4986020503261832E-2</v>
      </c>
      <c r="J564" s="10">
        <v>2.286</v>
      </c>
      <c r="K564" s="12">
        <f t="shared" si="43"/>
        <v>4.9105094079853244E-2</v>
      </c>
      <c r="L564" s="10">
        <v>2.258</v>
      </c>
      <c r="M564" s="12">
        <f t="shared" si="44"/>
        <v>5.9099437148217582E-2</v>
      </c>
    </row>
    <row r="565" spans="1:13" x14ac:dyDescent="0.25">
      <c r="A565" s="5">
        <v>44484</v>
      </c>
      <c r="B565" s="4">
        <v>2.5019999999999998</v>
      </c>
      <c r="C565" s="12">
        <f t="shared" si="40"/>
        <v>3.6454018227008958E-2</v>
      </c>
      <c r="E565" s="37">
        <v>44484</v>
      </c>
      <c r="F565" s="38">
        <v>2.4180000000000001</v>
      </c>
      <c r="G565" s="38">
        <f t="shared" si="41"/>
        <v>3.5546038543897297E-2</v>
      </c>
      <c r="H565" s="7">
        <v>2.3359999999999999</v>
      </c>
      <c r="I565" s="15">
        <f t="shared" si="42"/>
        <v>3.1802120141342788E-2</v>
      </c>
      <c r="J565" s="10">
        <v>2.3639999999999999</v>
      </c>
      <c r="K565" s="12">
        <f t="shared" si="43"/>
        <v>3.4120734908136413E-2</v>
      </c>
      <c r="L565" s="10">
        <v>2.3239999999999998</v>
      </c>
      <c r="M565" s="12">
        <f t="shared" si="44"/>
        <v>2.9229406554472911E-2</v>
      </c>
    </row>
    <row r="566" spans="1:13" x14ac:dyDescent="0.25">
      <c r="A566" s="5">
        <v>44491</v>
      </c>
      <c r="B566" s="4">
        <v>2.5670000000000002</v>
      </c>
      <c r="C566" s="12">
        <f t="shared" si="40"/>
        <v>2.59792166266988E-2</v>
      </c>
      <c r="E566" s="37">
        <v>44491</v>
      </c>
      <c r="F566" s="38">
        <v>2.4870000000000001</v>
      </c>
      <c r="G566" s="38">
        <f t="shared" si="41"/>
        <v>2.8535980148883353E-2</v>
      </c>
      <c r="H566" s="7">
        <v>2.3879999999999999</v>
      </c>
      <c r="I566" s="15">
        <f t="shared" si="42"/>
        <v>2.2260273972602759E-2</v>
      </c>
      <c r="J566" s="10">
        <v>2.4239999999999999</v>
      </c>
      <c r="K566" s="12">
        <f t="shared" si="43"/>
        <v>2.5380710659898501E-2</v>
      </c>
      <c r="L566" s="10">
        <v>2.37</v>
      </c>
      <c r="M566" s="12">
        <f t="shared" si="44"/>
        <v>1.9793459552495812E-2</v>
      </c>
    </row>
    <row r="567" spans="1:13" x14ac:dyDescent="0.25">
      <c r="A567" s="5">
        <v>44498</v>
      </c>
      <c r="B567" s="4">
        <v>2.5489999999999999</v>
      </c>
      <c r="C567" s="12">
        <f t="shared" si="40"/>
        <v>-7.0120763537203879E-3</v>
      </c>
      <c r="E567" s="37">
        <v>44498</v>
      </c>
      <c r="F567" s="38">
        <v>2.476</v>
      </c>
      <c r="G567" s="38">
        <f t="shared" si="41"/>
        <v>-4.4229995979091757E-3</v>
      </c>
      <c r="H567" s="7">
        <v>2.355</v>
      </c>
      <c r="I567" s="15">
        <f t="shared" si="42"/>
        <v>-1.3819095477386901E-2</v>
      </c>
      <c r="J567" s="10">
        <v>2.4</v>
      </c>
      <c r="K567" s="12">
        <f t="shared" si="43"/>
        <v>-9.9009900990099098E-3</v>
      </c>
      <c r="L567" s="10">
        <v>2.3330000000000002</v>
      </c>
      <c r="M567" s="12">
        <f t="shared" si="44"/>
        <v>-1.5611814345991527E-2</v>
      </c>
    </row>
    <row r="568" spans="1:13" x14ac:dyDescent="0.25">
      <c r="A568" s="5">
        <v>44505</v>
      </c>
      <c r="B568" s="4">
        <v>2.4950000000000001</v>
      </c>
      <c r="C568" s="12">
        <f t="shared" si="40"/>
        <v>-2.1184778344448735E-2</v>
      </c>
      <c r="E568" s="37">
        <v>44505</v>
      </c>
      <c r="F568" s="38">
        <v>2.3620000000000001</v>
      </c>
      <c r="G568" s="38">
        <f t="shared" si="41"/>
        <v>-4.6042003231017724E-2</v>
      </c>
      <c r="H568" s="7">
        <v>2.2799999999999998</v>
      </c>
      <c r="I568" s="15">
        <f t="shared" si="42"/>
        <v>-3.184713375796186E-2</v>
      </c>
      <c r="J568" s="10">
        <v>2.306</v>
      </c>
      <c r="K568" s="12">
        <f t="shared" si="43"/>
        <v>-3.9166666666666614E-2</v>
      </c>
      <c r="L568" s="10">
        <v>2.2789999999999999</v>
      </c>
      <c r="M568" s="12">
        <f t="shared" si="44"/>
        <v>-2.3146163737676924E-2</v>
      </c>
    </row>
    <row r="569" spans="1:13" x14ac:dyDescent="0.25">
      <c r="A569" s="5">
        <v>44512</v>
      </c>
      <c r="B569" s="4">
        <v>2.4300000000000002</v>
      </c>
      <c r="C569" s="12">
        <f t="shared" si="40"/>
        <v>-2.6052104208416811E-2</v>
      </c>
      <c r="E569" s="37">
        <v>44512</v>
      </c>
      <c r="F569" s="38">
        <v>2.3250000000000002</v>
      </c>
      <c r="G569" s="38">
        <f t="shared" si="41"/>
        <v>-1.5664690939881421E-2</v>
      </c>
      <c r="H569" s="7">
        <v>2.2690000000000001</v>
      </c>
      <c r="I569" s="15">
        <f t="shared" si="42"/>
        <v>-4.8245614035086308E-3</v>
      </c>
      <c r="J569" s="10">
        <v>2.286</v>
      </c>
      <c r="K569" s="12">
        <f t="shared" si="43"/>
        <v>-8.6730268863833559E-3</v>
      </c>
      <c r="L569" s="10">
        <v>2.27</v>
      </c>
      <c r="M569" s="12">
        <f t="shared" si="44"/>
        <v>-3.9491004826677917E-3</v>
      </c>
    </row>
    <row r="570" spans="1:13" x14ac:dyDescent="0.25">
      <c r="A570" s="5">
        <v>44519</v>
      </c>
      <c r="B570" s="4">
        <v>2.3780000000000001</v>
      </c>
      <c r="C570" s="12">
        <f t="shared" si="40"/>
        <v>-2.1399176954732528E-2</v>
      </c>
      <c r="E570" s="37">
        <v>44519</v>
      </c>
      <c r="F570" s="38">
        <v>2.2930000000000001</v>
      </c>
      <c r="G570" s="38">
        <f t="shared" si="41"/>
        <v>-1.3763440860215064E-2</v>
      </c>
      <c r="H570" s="7">
        <v>2.2189999999999999</v>
      </c>
      <c r="I570" s="15">
        <f t="shared" si="42"/>
        <v>-2.2036139268400291E-2</v>
      </c>
      <c r="J570" s="10">
        <v>2.2400000000000002</v>
      </c>
      <c r="K570" s="12">
        <f t="shared" si="43"/>
        <v>-2.0122484689413744E-2</v>
      </c>
      <c r="L570" s="10">
        <v>2.222</v>
      </c>
      <c r="M570" s="12">
        <f t="shared" si="44"/>
        <v>-2.1145374449339227E-2</v>
      </c>
    </row>
    <row r="571" spans="1:13" x14ac:dyDescent="0.25">
      <c r="A571" s="5">
        <v>44526</v>
      </c>
      <c r="B571" s="4">
        <v>2.3759999999999999</v>
      </c>
      <c r="C571" s="12">
        <f t="shared" si="40"/>
        <v>-8.4104289318764664E-4</v>
      </c>
      <c r="E571" s="37">
        <v>44526</v>
      </c>
      <c r="F571" s="38">
        <v>2.306</v>
      </c>
      <c r="G571" s="38">
        <f t="shared" si="41"/>
        <v>5.6694286960313565E-3</v>
      </c>
      <c r="H571" s="7">
        <v>2.2320000000000002</v>
      </c>
      <c r="I571" s="15">
        <f t="shared" si="42"/>
        <v>5.8584948174855095E-3</v>
      </c>
      <c r="J571" s="10">
        <v>2.2490000000000001</v>
      </c>
      <c r="K571" s="12">
        <f t="shared" si="43"/>
        <v>4.0178571428570965E-3</v>
      </c>
      <c r="L571" s="10">
        <v>2.2360000000000002</v>
      </c>
      <c r="M571" s="12">
        <f t="shared" si="44"/>
        <v>6.3006300630064063E-3</v>
      </c>
    </row>
    <row r="572" spans="1:13" x14ac:dyDescent="0.25">
      <c r="A572" s="5">
        <v>44533</v>
      </c>
      <c r="B572" s="4">
        <v>2.0510000000000002</v>
      </c>
      <c r="C572" s="12">
        <f t="shared" si="40"/>
        <v>-0.13678451178451168</v>
      </c>
      <c r="E572" s="37">
        <v>44533</v>
      </c>
      <c r="F572" s="38">
        <v>1.986</v>
      </c>
      <c r="G572" s="38">
        <f t="shared" si="41"/>
        <v>-0.13876843018213358</v>
      </c>
      <c r="H572" s="7">
        <v>1.958</v>
      </c>
      <c r="I572" s="15">
        <f t="shared" si="42"/>
        <v>-0.12275985663082448</v>
      </c>
      <c r="J572" s="10">
        <v>1.96</v>
      </c>
      <c r="K572" s="12">
        <f t="shared" si="43"/>
        <v>-0.12850155624722104</v>
      </c>
      <c r="L572" s="10">
        <v>2.0289999999999999</v>
      </c>
      <c r="M572" s="12">
        <f t="shared" si="44"/>
        <v>-9.2576028622540371E-2</v>
      </c>
    </row>
    <row r="573" spans="1:13" x14ac:dyDescent="0.25">
      <c r="A573" s="5">
        <v>44540</v>
      </c>
      <c r="B573" s="4">
        <v>2.1960000000000002</v>
      </c>
      <c r="C573" s="12">
        <f t="shared" si="40"/>
        <v>7.0697220867869337E-2</v>
      </c>
      <c r="E573" s="37">
        <v>44540</v>
      </c>
      <c r="F573" s="38">
        <v>2.1110000000000002</v>
      </c>
      <c r="G573" s="38">
        <f t="shared" si="41"/>
        <v>6.2940584088620452E-2</v>
      </c>
      <c r="H573" s="7">
        <v>2.1019999999999999</v>
      </c>
      <c r="I573" s="15">
        <f t="shared" si="42"/>
        <v>7.3544433094994852E-2</v>
      </c>
      <c r="J573" s="10">
        <v>2.0990000000000002</v>
      </c>
      <c r="K573" s="12">
        <f t="shared" si="43"/>
        <v>7.091836734693889E-2</v>
      </c>
      <c r="L573" s="10">
        <v>2.2109999999999999</v>
      </c>
      <c r="M573" s="12">
        <f t="shared" si="44"/>
        <v>8.9699359290290756E-2</v>
      </c>
    </row>
    <row r="574" spans="1:13" x14ac:dyDescent="0.25">
      <c r="A574" s="5">
        <v>44547</v>
      </c>
      <c r="B574" s="4">
        <v>2.2109999999999999</v>
      </c>
      <c r="C574" s="12">
        <f t="shared" si="40"/>
        <v>6.8306010928960289E-3</v>
      </c>
      <c r="E574" s="37">
        <v>44547</v>
      </c>
      <c r="F574" s="38">
        <v>2.1309999999999998</v>
      </c>
      <c r="G574" s="38">
        <f t="shared" si="41"/>
        <v>9.4741828517288362E-3</v>
      </c>
      <c r="H574" s="7">
        <v>2.12</v>
      </c>
      <c r="I574" s="15">
        <f t="shared" si="42"/>
        <v>8.5632730732636726E-3</v>
      </c>
      <c r="J574" s="10">
        <v>2.1179999999999999</v>
      </c>
      <c r="K574" s="12">
        <f t="shared" si="43"/>
        <v>9.0519294902332934E-3</v>
      </c>
      <c r="L574" s="10">
        <v>2.2269999999999999</v>
      </c>
      <c r="M574" s="12">
        <f t="shared" si="44"/>
        <v>7.2365445499773928E-3</v>
      </c>
    </row>
    <row r="575" spans="1:13" x14ac:dyDescent="0.25">
      <c r="A575" s="5">
        <v>44554</v>
      </c>
      <c r="B575" s="4">
        <v>2.2090000000000001</v>
      </c>
      <c r="C575" s="12">
        <f t="shared" si="40"/>
        <v>-9.045680687470737E-4</v>
      </c>
      <c r="E575" s="37">
        <v>44554</v>
      </c>
      <c r="F575" s="38">
        <v>2.1539999999999999</v>
      </c>
      <c r="G575" s="38">
        <f t="shared" si="41"/>
        <v>1.0793054903801095E-2</v>
      </c>
      <c r="H575" s="7">
        <v>2.149</v>
      </c>
      <c r="I575" s="15">
        <f t="shared" si="42"/>
        <v>1.3679245283018827E-2</v>
      </c>
      <c r="J575" s="10">
        <v>2.1480000000000001</v>
      </c>
      <c r="K575" s="12">
        <f t="shared" si="43"/>
        <v>1.4164305949008617E-2</v>
      </c>
      <c r="L575" s="10">
        <v>2.2519999999999998</v>
      </c>
      <c r="M575" s="12">
        <f t="shared" si="44"/>
        <v>1.1225864391558111E-2</v>
      </c>
    </row>
    <row r="576" spans="1:13" x14ac:dyDescent="0.25">
      <c r="A576" s="5">
        <v>44561</v>
      </c>
      <c r="B576" s="4">
        <v>2.298</v>
      </c>
      <c r="C576" s="12">
        <f t="shared" si="40"/>
        <v>4.0289723856948831E-2</v>
      </c>
      <c r="E576" s="37">
        <v>44561</v>
      </c>
      <c r="F576" s="38">
        <v>2.2559999999999998</v>
      </c>
      <c r="G576" s="38">
        <f t="shared" si="41"/>
        <v>4.7353760445682395E-2</v>
      </c>
      <c r="H576" s="10">
        <v>2.2549999999999999</v>
      </c>
      <c r="I576" s="15">
        <f t="shared" si="42"/>
        <v>4.9325267566309852E-2</v>
      </c>
      <c r="J576" s="10">
        <v>2.2519999999999998</v>
      </c>
      <c r="K576" s="12">
        <f t="shared" si="43"/>
        <v>4.8417132216014729E-2</v>
      </c>
      <c r="L576" s="10">
        <v>2.3559999999999999</v>
      </c>
      <c r="M576" s="12">
        <f t="shared" si="44"/>
        <v>4.6181172291296674E-2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7A459-2FC4-41CB-AADB-230702059ADA}">
  <dimension ref="A1:S576"/>
  <sheetViews>
    <sheetView topLeftCell="B1" workbookViewId="0">
      <selection activeCell="Q8" sqref="Q8"/>
    </sheetView>
  </sheetViews>
  <sheetFormatPr defaultRowHeight="15" x14ac:dyDescent="0.25"/>
  <cols>
    <col min="1" max="1" width="20.5703125" customWidth="1"/>
    <col min="2" max="2" width="32.28515625" customWidth="1"/>
    <col min="3" max="3" width="13.42578125" customWidth="1"/>
    <col min="5" max="5" width="12.5703125" customWidth="1"/>
    <col min="6" max="6" width="18" customWidth="1"/>
    <col min="7" max="7" width="12.42578125" style="12" customWidth="1"/>
    <col min="8" max="8" width="16.7109375" customWidth="1"/>
    <col min="9" max="9" width="9.140625" style="12"/>
    <col min="10" max="10" width="17.5703125" customWidth="1"/>
    <col min="11" max="11" width="9.140625" style="12"/>
    <col min="12" max="12" width="16.5703125" customWidth="1"/>
    <col min="13" max="13" width="12.85546875" style="12" customWidth="1"/>
    <col min="14" max="14" width="12.85546875" style="6" customWidth="1"/>
    <col min="15" max="15" width="22.140625" customWidth="1"/>
    <col min="16" max="16" width="14" customWidth="1"/>
    <col min="18" max="18" width="16.85546875" customWidth="1"/>
  </cols>
  <sheetData>
    <row r="1" spans="1:19" x14ac:dyDescent="0.25">
      <c r="A1" s="2" t="s">
        <v>1</v>
      </c>
      <c r="C1" s="12"/>
      <c r="E1" s="2" t="s">
        <v>24</v>
      </c>
    </row>
    <row r="2" spans="1:19" ht="90.75" customHeight="1" x14ac:dyDescent="0.25">
      <c r="A2" s="1" t="s">
        <v>0</v>
      </c>
      <c r="B2" s="9" t="s">
        <v>2</v>
      </c>
      <c r="C2" s="14" t="s">
        <v>3</v>
      </c>
      <c r="E2" s="2" t="s">
        <v>0</v>
      </c>
      <c r="F2" s="27" t="s">
        <v>20</v>
      </c>
      <c r="G2" s="17" t="s">
        <v>7</v>
      </c>
      <c r="H2" s="27" t="s">
        <v>21</v>
      </c>
      <c r="I2" s="17" t="s">
        <v>10</v>
      </c>
      <c r="J2" s="27" t="s">
        <v>22</v>
      </c>
      <c r="K2" s="17" t="s">
        <v>11</v>
      </c>
      <c r="L2" s="27" t="s">
        <v>23</v>
      </c>
      <c r="M2" s="17" t="s">
        <v>12</v>
      </c>
      <c r="N2" s="32"/>
      <c r="P2" s="2" t="s">
        <v>13</v>
      </c>
      <c r="Q2" s="2" t="s">
        <v>55</v>
      </c>
      <c r="S2" s="2" t="s">
        <v>19</v>
      </c>
    </row>
    <row r="3" spans="1:19" x14ac:dyDescent="0.25">
      <c r="A3" s="11">
        <v>40550</v>
      </c>
      <c r="B3" s="10">
        <v>2.4420000000000002</v>
      </c>
      <c r="C3" s="12"/>
      <c r="E3" s="20">
        <v>40550</v>
      </c>
      <c r="F3" s="18">
        <v>2.52</v>
      </c>
      <c r="H3" s="18">
        <v>2.5270000000000001</v>
      </c>
      <c r="J3" s="18">
        <v>2.524</v>
      </c>
      <c r="L3" s="18">
        <v>2.5219999999999998</v>
      </c>
    </row>
    <row r="4" spans="1:19" x14ac:dyDescent="0.25">
      <c r="A4" s="11">
        <v>40557</v>
      </c>
      <c r="B4" s="10">
        <v>2.4740000000000002</v>
      </c>
      <c r="C4" s="12">
        <f>(B4-B3)/B3</f>
        <v>1.3104013104013115E-2</v>
      </c>
      <c r="E4" s="20">
        <v>40557</v>
      </c>
      <c r="F4" s="18">
        <v>2.6080000000000001</v>
      </c>
      <c r="G4" s="12">
        <f>(F4-F3)/F3</f>
        <v>3.4920634920634949E-2</v>
      </c>
      <c r="H4" s="18">
        <v>2.6110000000000002</v>
      </c>
      <c r="I4" s="12">
        <f>(H4-H3)/H3</f>
        <v>3.3240997229916927E-2</v>
      </c>
      <c r="J4" s="18">
        <v>2.6040000000000001</v>
      </c>
      <c r="K4" s="12">
        <f>(J4-J3)/J3</f>
        <v>3.1695721077654546E-2</v>
      </c>
      <c r="L4" s="18">
        <v>2.5990000000000002</v>
      </c>
      <c r="M4" s="12">
        <f>(L4-L3)/L3</f>
        <v>3.0531324345757498E-2</v>
      </c>
      <c r="O4" s="16" t="s">
        <v>1</v>
      </c>
      <c r="P4">
        <f>STDEV(C2:C576)</f>
        <v>4.6382412731998252E-2</v>
      </c>
    </row>
    <row r="5" spans="1:19" x14ac:dyDescent="0.25">
      <c r="A5" s="11">
        <v>40564</v>
      </c>
      <c r="B5" s="10">
        <v>2.464</v>
      </c>
      <c r="C5" s="12">
        <f t="shared" ref="C5:C68" si="0">(B5-B4)/B4</f>
        <v>-4.0420371867422112E-3</v>
      </c>
      <c r="E5" s="20">
        <v>40564</v>
      </c>
      <c r="F5" s="18">
        <v>2.6440000000000001</v>
      </c>
      <c r="G5" s="12">
        <f t="shared" ref="G5:G68" si="1">(F5-F4)/F4</f>
        <v>1.3803680981595104E-2</v>
      </c>
      <c r="H5" s="18">
        <v>2.6469999999999998</v>
      </c>
      <c r="I5" s="12">
        <f t="shared" ref="I5:I68" si="2">(H5-H4)/H4</f>
        <v>1.3787820758329983E-2</v>
      </c>
      <c r="J5" s="18">
        <v>2.637</v>
      </c>
      <c r="K5" s="12">
        <f t="shared" ref="K5:K68" si="3">(J5-J4)/J4</f>
        <v>1.2672811059907802E-2</v>
      </c>
      <c r="L5" s="18">
        <v>2.6280000000000001</v>
      </c>
      <c r="M5" s="12">
        <f t="shared" ref="M5:M68" si="4">(L5-L4)/L4</f>
        <v>1.1158137745286616E-2</v>
      </c>
      <c r="O5" t="s">
        <v>14</v>
      </c>
      <c r="P5">
        <f>STDEV(G2:G576)</f>
        <v>3.6859874706272215E-2</v>
      </c>
      <c r="Q5">
        <f>CORREL(C:C, G:G)</f>
        <v>0.7079892087218177</v>
      </c>
      <c r="S5">
        <f>Q5*(P4/P5)</f>
        <v>0.89089417558840278</v>
      </c>
    </row>
    <row r="6" spans="1:19" x14ac:dyDescent="0.25">
      <c r="A6" s="11">
        <v>40571</v>
      </c>
      <c r="B6" s="10">
        <v>2.411</v>
      </c>
      <c r="C6" s="12">
        <f t="shared" si="0"/>
        <v>-2.1509740259740236E-2</v>
      </c>
      <c r="E6" s="20">
        <v>40571</v>
      </c>
      <c r="F6" s="18">
        <v>2.645</v>
      </c>
      <c r="G6" s="12">
        <f t="shared" si="1"/>
        <v>3.7821482602113835E-4</v>
      </c>
      <c r="H6" s="18">
        <v>2.6480000000000001</v>
      </c>
      <c r="I6" s="12">
        <f t="shared" si="2"/>
        <v>3.7778617302619343E-4</v>
      </c>
      <c r="J6" s="18">
        <v>2.64</v>
      </c>
      <c r="K6" s="12">
        <f t="shared" si="3"/>
        <v>1.1376564277588599E-3</v>
      </c>
      <c r="L6" s="18">
        <v>2.6349999999999998</v>
      </c>
      <c r="M6" s="12">
        <f t="shared" si="4"/>
        <v>2.6636225266361007E-3</v>
      </c>
      <c r="O6" t="s">
        <v>16</v>
      </c>
      <c r="P6">
        <f>STDEV(I:I)</f>
        <v>3.4417206201380383E-2</v>
      </c>
      <c r="Q6">
        <f>CORREL(C:C, I:I)</f>
        <v>0.73080785850636076</v>
      </c>
      <c r="S6">
        <f>Q6*(P4/P6)</f>
        <v>0.9848745863535634</v>
      </c>
    </row>
    <row r="7" spans="1:19" x14ac:dyDescent="0.25">
      <c r="A7" s="11">
        <v>40578</v>
      </c>
      <c r="B7" s="10">
        <v>2.4660000000000002</v>
      </c>
      <c r="C7" s="12">
        <f t="shared" si="0"/>
        <v>2.2812111157196249E-2</v>
      </c>
      <c r="E7" s="20">
        <v>40578</v>
      </c>
      <c r="F7" s="18">
        <v>2.754</v>
      </c>
      <c r="G7" s="12">
        <f t="shared" si="1"/>
        <v>4.1209829867674852E-2</v>
      </c>
      <c r="H7" s="18">
        <v>2.7509999999999999</v>
      </c>
      <c r="I7" s="12">
        <f t="shared" si="2"/>
        <v>3.8897280966767277E-2</v>
      </c>
      <c r="J7" s="18">
        <v>2.75</v>
      </c>
      <c r="K7" s="12">
        <f t="shared" si="3"/>
        <v>4.1666666666666616E-2</v>
      </c>
      <c r="L7" s="18">
        <v>2.7549999999999999</v>
      </c>
      <c r="M7" s="12">
        <f t="shared" si="4"/>
        <v>4.554079696394691E-2</v>
      </c>
      <c r="O7" t="s">
        <v>17</v>
      </c>
      <c r="P7">
        <f>STDEV(K:K)</f>
        <v>3.3426110279724933E-2</v>
      </c>
      <c r="Q7">
        <f>CORREL(C:C, K:K)</f>
        <v>0.73271722530670369</v>
      </c>
      <c r="S7">
        <f>Q7*(P4/P7)</f>
        <v>1.0167259210125408</v>
      </c>
    </row>
    <row r="8" spans="1:19" x14ac:dyDescent="0.25">
      <c r="A8" s="11">
        <v>40585</v>
      </c>
      <c r="B8" s="10">
        <v>2.4710000000000001</v>
      </c>
      <c r="C8" s="12">
        <f t="shared" si="0"/>
        <v>2.0275750202757067E-3</v>
      </c>
      <c r="E8" s="20">
        <v>40585</v>
      </c>
      <c r="F8" s="18">
        <v>2.7229999999999999</v>
      </c>
      <c r="G8" s="12">
        <f t="shared" si="1"/>
        <v>-1.1256354393609346E-2</v>
      </c>
      <c r="H8" s="18">
        <v>2.726</v>
      </c>
      <c r="I8" s="12">
        <f t="shared" si="2"/>
        <v>-9.0876045074518037E-3</v>
      </c>
      <c r="J8" s="18">
        <v>2.7320000000000002</v>
      </c>
      <c r="K8" s="12">
        <f t="shared" si="3"/>
        <v>-6.5454545454544707E-3</v>
      </c>
      <c r="L8" s="18">
        <v>2.742</v>
      </c>
      <c r="M8" s="12">
        <f t="shared" si="4"/>
        <v>-4.7186932849364429E-3</v>
      </c>
      <c r="O8" t="s">
        <v>15</v>
      </c>
      <c r="P8">
        <f>STDEV(M:M)</f>
        <v>3.2469360612246305E-2</v>
      </c>
      <c r="Q8">
        <f>CORREL(C:C, M:M)</f>
        <v>0.72911763865466983</v>
      </c>
      <c r="S8">
        <f>Q8*(P4/P8)</f>
        <v>1.0415429995719043</v>
      </c>
    </row>
    <row r="9" spans="1:19" x14ac:dyDescent="0.25">
      <c r="A9" s="11">
        <v>40592</v>
      </c>
      <c r="B9" s="10">
        <v>2.5110000000000001</v>
      </c>
      <c r="C9" s="12">
        <f t="shared" si="0"/>
        <v>1.6187778227438297E-2</v>
      </c>
      <c r="E9" s="20">
        <v>40592</v>
      </c>
      <c r="F9" s="18">
        <v>2.74</v>
      </c>
      <c r="G9" s="12">
        <f t="shared" si="1"/>
        <v>6.2431142122660113E-3</v>
      </c>
      <c r="H9" s="18">
        <v>2.7469999999999999</v>
      </c>
      <c r="I9" s="12">
        <f t="shared" si="2"/>
        <v>7.7035950110051019E-3</v>
      </c>
      <c r="J9" s="18">
        <v>2.7559999999999998</v>
      </c>
      <c r="K9" s="12">
        <f t="shared" si="3"/>
        <v>8.7847730600291267E-3</v>
      </c>
      <c r="L9" s="18">
        <v>2.766</v>
      </c>
      <c r="M9" s="12">
        <f t="shared" si="4"/>
        <v>8.7527352297593081E-3</v>
      </c>
    </row>
    <row r="10" spans="1:19" x14ac:dyDescent="0.25">
      <c r="A10" s="11">
        <v>40599</v>
      </c>
      <c r="B10" s="10">
        <v>2.7309999999999999</v>
      </c>
      <c r="C10" s="12">
        <f t="shared" si="0"/>
        <v>8.7614496216646645E-2</v>
      </c>
      <c r="E10" s="20">
        <v>40599</v>
      </c>
      <c r="F10" s="18">
        <v>2.8759999999999999</v>
      </c>
      <c r="G10" s="12">
        <f t="shared" si="1"/>
        <v>4.9635036496350246E-2</v>
      </c>
      <c r="H10" s="18">
        <v>2.89</v>
      </c>
      <c r="I10" s="12">
        <f t="shared" si="2"/>
        <v>5.2056789224608754E-2</v>
      </c>
      <c r="J10" s="18">
        <v>2.9020000000000001</v>
      </c>
      <c r="K10" s="12">
        <f t="shared" si="3"/>
        <v>5.297532656023235E-2</v>
      </c>
      <c r="L10" s="18">
        <v>2.9140000000000001</v>
      </c>
      <c r="M10" s="12">
        <f t="shared" si="4"/>
        <v>5.350686912509043E-2</v>
      </c>
    </row>
    <row r="11" spans="1:19" x14ac:dyDescent="0.25">
      <c r="A11" s="11">
        <v>40606</v>
      </c>
      <c r="B11" s="10">
        <v>2.8639999999999999</v>
      </c>
      <c r="C11" s="12">
        <f t="shared" si="0"/>
        <v>4.8700109849871845E-2</v>
      </c>
      <c r="E11" s="20">
        <v>40606</v>
      </c>
      <c r="F11" s="18">
        <v>3.0289999999999999</v>
      </c>
      <c r="G11" s="12">
        <f t="shared" si="1"/>
        <v>5.3198887343532696E-2</v>
      </c>
      <c r="H11" s="18">
        <v>3.04</v>
      </c>
      <c r="I11" s="12">
        <f t="shared" si="2"/>
        <v>5.1903114186851181E-2</v>
      </c>
      <c r="J11" s="18">
        <v>3.0510000000000002</v>
      </c>
      <c r="K11" s="12">
        <f t="shared" si="3"/>
        <v>5.1343900758097867E-2</v>
      </c>
      <c r="L11" s="18">
        <v>3.0649999999999999</v>
      </c>
      <c r="M11" s="12">
        <f t="shared" si="4"/>
        <v>5.1818805765271037E-2</v>
      </c>
    </row>
    <row r="12" spans="1:19" x14ac:dyDescent="0.25">
      <c r="A12" s="11">
        <v>40613</v>
      </c>
      <c r="B12" s="10">
        <v>2.8319999999999999</v>
      </c>
      <c r="C12" s="12">
        <f t="shared" si="0"/>
        <v>-1.117318435754191E-2</v>
      </c>
      <c r="E12" s="20">
        <v>40613</v>
      </c>
      <c r="F12" s="18">
        <v>3.044</v>
      </c>
      <c r="G12" s="12">
        <f t="shared" si="1"/>
        <v>4.9521294156487702E-3</v>
      </c>
      <c r="H12" s="18">
        <v>3.0539999999999998</v>
      </c>
      <c r="I12" s="12">
        <f t="shared" si="2"/>
        <v>4.6052631578946679E-3</v>
      </c>
      <c r="J12" s="18">
        <v>3.0649999999999999</v>
      </c>
      <c r="K12" s="12">
        <f t="shared" si="3"/>
        <v>4.5886594559160238E-3</v>
      </c>
      <c r="L12" s="18">
        <v>3.077</v>
      </c>
      <c r="M12" s="12">
        <f t="shared" si="4"/>
        <v>3.9151712887438858E-3</v>
      </c>
    </row>
    <row r="13" spans="1:19" x14ac:dyDescent="0.25">
      <c r="A13" s="11">
        <v>40620</v>
      </c>
      <c r="B13" s="10">
        <v>2.734</v>
      </c>
      <c r="C13" s="12">
        <f t="shared" si="0"/>
        <v>-3.4604519774011251E-2</v>
      </c>
      <c r="E13" s="20">
        <v>40620</v>
      </c>
      <c r="F13" s="18">
        <v>3.0209999999999999</v>
      </c>
      <c r="G13" s="12">
        <f t="shared" si="1"/>
        <v>-7.5558475689882169E-3</v>
      </c>
      <c r="H13" s="18">
        <v>3.0289999999999999</v>
      </c>
      <c r="I13" s="12">
        <f t="shared" si="2"/>
        <v>-8.1859855926653281E-3</v>
      </c>
      <c r="J13" s="18">
        <v>3.0379999999999998</v>
      </c>
      <c r="K13" s="12">
        <f t="shared" si="3"/>
        <v>-8.8091353996737794E-3</v>
      </c>
      <c r="L13" s="18">
        <v>3.0470000000000002</v>
      </c>
      <c r="M13" s="12">
        <f t="shared" si="4"/>
        <v>-9.7497562560935336E-3</v>
      </c>
    </row>
    <row r="14" spans="1:19" x14ac:dyDescent="0.25">
      <c r="A14" s="11">
        <v>40627</v>
      </c>
      <c r="B14" s="10">
        <v>2.8460000000000001</v>
      </c>
      <c r="C14" s="12">
        <f t="shared" si="0"/>
        <v>4.096561814191664E-2</v>
      </c>
      <c r="E14" s="20">
        <v>40627</v>
      </c>
      <c r="F14" s="18">
        <v>3.06</v>
      </c>
      <c r="G14" s="12">
        <f t="shared" si="1"/>
        <v>1.2909632571996076E-2</v>
      </c>
      <c r="H14" s="18">
        <v>3.0760000000000001</v>
      </c>
      <c r="I14" s="12">
        <f t="shared" si="2"/>
        <v>1.5516672169032734E-2</v>
      </c>
      <c r="J14" s="18">
        <v>3.0910000000000002</v>
      </c>
      <c r="K14" s="12">
        <f t="shared" si="3"/>
        <v>1.7445687952600521E-2</v>
      </c>
      <c r="L14" s="18">
        <v>3.105</v>
      </c>
      <c r="M14" s="12">
        <f t="shared" si="4"/>
        <v>1.9035116508040639E-2</v>
      </c>
    </row>
    <row r="15" spans="1:19" x14ac:dyDescent="0.25">
      <c r="A15" s="11">
        <v>40634</v>
      </c>
      <c r="B15" s="10">
        <v>2.972</v>
      </c>
      <c r="C15" s="12">
        <f t="shared" si="0"/>
        <v>4.427266338721008E-2</v>
      </c>
      <c r="E15" s="20">
        <v>40634</v>
      </c>
      <c r="F15" s="18">
        <v>3.0659999999999998</v>
      </c>
      <c r="G15" s="12">
        <f t="shared" si="1"/>
        <v>1.9607843137254195E-3</v>
      </c>
      <c r="H15" s="18">
        <v>3.0819999999999999</v>
      </c>
      <c r="I15" s="12">
        <f t="shared" si="2"/>
        <v>1.9505851755525954E-3</v>
      </c>
      <c r="J15" s="18">
        <v>3.0939999999999999</v>
      </c>
      <c r="K15" s="12">
        <f t="shared" si="3"/>
        <v>9.7055968942079244E-4</v>
      </c>
      <c r="L15" s="18">
        <v>3.1059999999999999</v>
      </c>
      <c r="M15" s="12">
        <f t="shared" si="4"/>
        <v>3.2206119162637357E-4</v>
      </c>
    </row>
    <row r="16" spans="1:19" x14ac:dyDescent="0.25">
      <c r="A16" s="11">
        <v>40641</v>
      </c>
      <c r="B16" s="10">
        <v>3.117</v>
      </c>
      <c r="C16" s="12">
        <f t="shared" si="0"/>
        <v>4.8788694481830423E-2</v>
      </c>
      <c r="E16" s="20">
        <v>40641</v>
      </c>
      <c r="F16" s="18">
        <v>3.2149999999999999</v>
      </c>
      <c r="G16" s="12">
        <f t="shared" si="1"/>
        <v>4.8597521200260937E-2</v>
      </c>
      <c r="H16" s="18">
        <v>3.226</v>
      </c>
      <c r="I16" s="12">
        <f t="shared" si="2"/>
        <v>4.6722907203114901E-2</v>
      </c>
      <c r="J16" s="18">
        <v>3.238</v>
      </c>
      <c r="K16" s="12">
        <f t="shared" si="3"/>
        <v>4.6541693600517173E-2</v>
      </c>
      <c r="L16" s="18">
        <v>3.2509999999999999</v>
      </c>
      <c r="M16" s="12">
        <f t="shared" si="4"/>
        <v>4.6683837733419199E-2</v>
      </c>
    </row>
    <row r="17" spans="1:13" x14ac:dyDescent="0.25">
      <c r="A17" s="11">
        <v>40648</v>
      </c>
      <c r="B17" s="10">
        <v>3.133</v>
      </c>
      <c r="C17" s="12">
        <f t="shared" si="0"/>
        <v>5.133140840551817E-3</v>
      </c>
      <c r="E17" s="20">
        <v>40648</v>
      </c>
      <c r="F17" s="18">
        <v>3.2080000000000002</v>
      </c>
      <c r="G17" s="12">
        <f t="shared" si="1"/>
        <v>-2.1772939346810802E-3</v>
      </c>
      <c r="H17" s="18">
        <v>3.2210000000000001</v>
      </c>
      <c r="I17" s="12">
        <f t="shared" si="2"/>
        <v>-1.5499070055796321E-3</v>
      </c>
      <c r="J17" s="18">
        <v>3.2370000000000001</v>
      </c>
      <c r="K17" s="12">
        <f t="shared" si="3"/>
        <v>-3.0883261272386962E-4</v>
      </c>
      <c r="L17" s="18">
        <v>3.2519999999999998</v>
      </c>
      <c r="M17" s="12">
        <f t="shared" si="4"/>
        <v>3.0759766225773298E-4</v>
      </c>
    </row>
    <row r="18" spans="1:13" x14ac:dyDescent="0.25">
      <c r="A18" s="11">
        <v>40655</v>
      </c>
      <c r="B18" s="10">
        <v>3.1920000000000002</v>
      </c>
      <c r="C18" s="12">
        <f t="shared" si="0"/>
        <v>1.8831790616023032E-2</v>
      </c>
      <c r="E18" s="20">
        <v>40655</v>
      </c>
      <c r="F18" s="18">
        <v>3.19</v>
      </c>
      <c r="G18" s="12">
        <f t="shared" si="1"/>
        <v>-5.6109725685786274E-3</v>
      </c>
      <c r="H18" s="18">
        <v>3.2050000000000001</v>
      </c>
      <c r="I18" s="12">
        <f t="shared" si="2"/>
        <v>-4.9674014281279148E-3</v>
      </c>
      <c r="J18" s="18">
        <v>3.222</v>
      </c>
      <c r="K18" s="12">
        <f t="shared" si="3"/>
        <v>-4.6339202965709377E-3</v>
      </c>
      <c r="L18" s="18">
        <v>3.2389999999999999</v>
      </c>
      <c r="M18" s="12">
        <f t="shared" si="4"/>
        <v>-3.9975399753997233E-3</v>
      </c>
    </row>
    <row r="19" spans="1:13" x14ac:dyDescent="0.25">
      <c r="A19" s="11">
        <v>40662</v>
      </c>
      <c r="B19" s="10">
        <v>3.29</v>
      </c>
      <c r="C19" s="12">
        <f t="shared" si="0"/>
        <v>3.0701754385964869E-2</v>
      </c>
      <c r="E19" s="20">
        <v>40662</v>
      </c>
      <c r="F19" s="18">
        <v>3.2229999999999999</v>
      </c>
      <c r="G19" s="12">
        <f t="shared" si="1"/>
        <v>1.034482758620687E-2</v>
      </c>
      <c r="H19" s="18">
        <v>3.2389999999999999</v>
      </c>
      <c r="I19" s="12">
        <f t="shared" si="2"/>
        <v>1.060842433697342E-2</v>
      </c>
      <c r="J19" s="18">
        <v>3.2559999999999998</v>
      </c>
      <c r="K19" s="12">
        <f t="shared" si="3"/>
        <v>1.0552451893233956E-2</v>
      </c>
      <c r="L19" s="18">
        <v>3.2730000000000001</v>
      </c>
      <c r="M19" s="12">
        <f t="shared" si="4"/>
        <v>1.0497066995986494E-2</v>
      </c>
    </row>
    <row r="20" spans="1:13" x14ac:dyDescent="0.25">
      <c r="A20" s="11">
        <v>40669</v>
      </c>
      <c r="B20" s="10">
        <v>3.1589999999999998</v>
      </c>
      <c r="C20" s="12">
        <f t="shared" si="0"/>
        <v>-3.9817629179331376E-2</v>
      </c>
      <c r="E20" s="20">
        <v>40669</v>
      </c>
      <c r="F20" s="18">
        <v>3.0640000000000001</v>
      </c>
      <c r="G20" s="12">
        <f t="shared" si="1"/>
        <v>-4.933291964008682E-2</v>
      </c>
      <c r="H20" s="18">
        <v>3.0790000000000002</v>
      </c>
      <c r="I20" s="12">
        <f t="shared" si="2"/>
        <v>-4.9397962334053629E-2</v>
      </c>
      <c r="J20" s="18">
        <v>3.0939999999999999</v>
      </c>
      <c r="K20" s="12">
        <f t="shared" si="3"/>
        <v>-4.9754299754299736E-2</v>
      </c>
      <c r="L20" s="18">
        <v>3.1110000000000002</v>
      </c>
      <c r="M20" s="12">
        <f t="shared" si="4"/>
        <v>-4.9495875343721331E-2</v>
      </c>
    </row>
    <row r="21" spans="1:13" x14ac:dyDescent="0.25">
      <c r="A21" s="11">
        <v>40676</v>
      </c>
      <c r="B21" s="10">
        <v>3.1520000000000001</v>
      </c>
      <c r="C21" s="12">
        <f t="shared" si="0"/>
        <v>-2.2158911047798903E-3</v>
      </c>
      <c r="E21" s="20">
        <v>40676</v>
      </c>
      <c r="F21" s="18">
        <v>2.9430000000000001</v>
      </c>
      <c r="G21" s="12">
        <f t="shared" si="1"/>
        <v>-3.9490861618798952E-2</v>
      </c>
      <c r="H21" s="18">
        <v>2.956</v>
      </c>
      <c r="I21" s="12">
        <f t="shared" si="2"/>
        <v>-3.9948035076323551E-2</v>
      </c>
      <c r="J21" s="18">
        <v>2.9689999999999999</v>
      </c>
      <c r="K21" s="12">
        <f t="shared" si="3"/>
        <v>-4.0400775694893344E-2</v>
      </c>
      <c r="L21" s="18">
        <v>2.9849999999999999</v>
      </c>
      <c r="M21" s="12">
        <f t="shared" si="4"/>
        <v>-4.0501446480231539E-2</v>
      </c>
    </row>
    <row r="22" spans="1:13" x14ac:dyDescent="0.25">
      <c r="A22" s="11">
        <v>40683</v>
      </c>
      <c r="B22" s="10">
        <v>2.8650000000000002</v>
      </c>
      <c r="C22" s="12">
        <f t="shared" si="0"/>
        <v>-9.1053299492385761E-2</v>
      </c>
      <c r="E22" s="20">
        <v>40683</v>
      </c>
      <c r="F22" s="18">
        <v>2.8879999999999999</v>
      </c>
      <c r="G22" s="12">
        <f t="shared" si="1"/>
        <v>-1.868841318382608E-2</v>
      </c>
      <c r="H22" s="18">
        <v>2.9009999999999998</v>
      </c>
      <c r="I22" s="12">
        <f t="shared" si="2"/>
        <v>-1.8606224627875562E-2</v>
      </c>
      <c r="J22" s="18">
        <v>2.9159999999999999</v>
      </c>
      <c r="K22" s="12">
        <f t="shared" si="3"/>
        <v>-1.7851128326035682E-2</v>
      </c>
      <c r="L22" s="18">
        <v>2.9329999999999998</v>
      </c>
      <c r="M22" s="12">
        <f t="shared" si="4"/>
        <v>-1.7420435510887788E-2</v>
      </c>
    </row>
    <row r="23" spans="1:13" x14ac:dyDescent="0.25">
      <c r="A23" s="11">
        <v>40690</v>
      </c>
      <c r="B23" s="10">
        <v>2.9329999999999998</v>
      </c>
      <c r="C23" s="12">
        <f t="shared" si="0"/>
        <v>2.3734729493891663E-2</v>
      </c>
      <c r="E23" s="20">
        <v>40690</v>
      </c>
      <c r="F23" s="18">
        <v>2.9420000000000002</v>
      </c>
      <c r="G23" s="12">
        <f t="shared" si="1"/>
        <v>1.869806094182835E-2</v>
      </c>
      <c r="H23" s="18">
        <v>2.9540000000000002</v>
      </c>
      <c r="I23" s="12">
        <f t="shared" si="2"/>
        <v>1.8269562219924297E-2</v>
      </c>
      <c r="J23" s="18">
        <v>2.968</v>
      </c>
      <c r="K23" s="12">
        <f t="shared" si="3"/>
        <v>1.7832647462277109E-2</v>
      </c>
      <c r="L23" s="18">
        <v>2.9849999999999999</v>
      </c>
      <c r="M23" s="12">
        <f t="shared" si="4"/>
        <v>1.7729287419024905E-2</v>
      </c>
    </row>
    <row r="24" spans="1:13" x14ac:dyDescent="0.25">
      <c r="A24" s="11">
        <v>40697</v>
      </c>
      <c r="B24" s="10">
        <v>2.9239999999999999</v>
      </c>
      <c r="C24" s="12">
        <f t="shared" si="0"/>
        <v>-3.0685305148311958E-3</v>
      </c>
      <c r="E24" s="20">
        <v>40697</v>
      </c>
      <c r="F24" s="18">
        <v>3.0409999999999999</v>
      </c>
      <c r="G24" s="12">
        <f t="shared" si="1"/>
        <v>3.3650577838205215E-2</v>
      </c>
      <c r="H24" s="18">
        <v>3.0510000000000002</v>
      </c>
      <c r="I24" s="12">
        <f t="shared" si="2"/>
        <v>3.2836831415030458E-2</v>
      </c>
      <c r="J24" s="18">
        <v>3.0680000000000001</v>
      </c>
      <c r="K24" s="12">
        <f t="shared" si="3"/>
        <v>3.3692722371967687E-2</v>
      </c>
      <c r="L24" s="18">
        <v>3.085</v>
      </c>
      <c r="M24" s="12">
        <f t="shared" si="4"/>
        <v>3.3500837520938055E-2</v>
      </c>
    </row>
    <row r="25" spans="1:13" x14ac:dyDescent="0.25">
      <c r="A25" s="11">
        <v>40704</v>
      </c>
      <c r="B25" s="10">
        <v>2.899</v>
      </c>
      <c r="C25" s="12">
        <f t="shared" si="0"/>
        <v>-8.549931600547166E-3</v>
      </c>
      <c r="E25" s="20">
        <v>40704</v>
      </c>
      <c r="F25" s="18">
        <v>3.0859999999999999</v>
      </c>
      <c r="G25" s="12">
        <f t="shared" si="1"/>
        <v>1.4797763893456077E-2</v>
      </c>
      <c r="H25" s="18">
        <v>3.1</v>
      </c>
      <c r="I25" s="12">
        <f t="shared" si="2"/>
        <v>1.6060308095706303E-2</v>
      </c>
      <c r="J25" s="18">
        <v>3.1179999999999999</v>
      </c>
      <c r="K25" s="12">
        <f t="shared" si="3"/>
        <v>1.6297262059973866E-2</v>
      </c>
      <c r="L25" s="18">
        <v>3.1360000000000001</v>
      </c>
      <c r="M25" s="12">
        <f t="shared" si="4"/>
        <v>1.6531604538087573E-2</v>
      </c>
    </row>
    <row r="26" spans="1:13" x14ac:dyDescent="0.25">
      <c r="A26" s="11">
        <v>40711</v>
      </c>
      <c r="B26" s="10">
        <v>2.8679999999999999</v>
      </c>
      <c r="C26" s="12">
        <f t="shared" si="0"/>
        <v>-1.0693342531907603E-2</v>
      </c>
      <c r="E26" s="20">
        <v>40711</v>
      </c>
      <c r="F26" s="18">
        <v>3.0409999999999999</v>
      </c>
      <c r="G26" s="12">
        <f t="shared" si="1"/>
        <v>-1.4581983149708337E-2</v>
      </c>
      <c r="H26" s="18">
        <v>3.0550000000000002</v>
      </c>
      <c r="I26" s="12">
        <f t="shared" si="2"/>
        <v>-1.4516129032258041E-2</v>
      </c>
      <c r="J26" s="18">
        <v>3.0720000000000001</v>
      </c>
      <c r="K26" s="12">
        <f t="shared" si="3"/>
        <v>-1.4753046824887692E-2</v>
      </c>
      <c r="L26" s="18">
        <v>3.09</v>
      </c>
      <c r="M26" s="12">
        <f t="shared" si="4"/>
        <v>-1.4668367346938859E-2</v>
      </c>
    </row>
    <row r="27" spans="1:13" x14ac:dyDescent="0.25">
      <c r="A27" s="11">
        <v>40718</v>
      </c>
      <c r="B27" s="10">
        <v>2.7389999999999999</v>
      </c>
      <c r="C27" s="12">
        <f t="shared" si="0"/>
        <v>-4.4979079497907956E-2</v>
      </c>
      <c r="E27" s="20">
        <v>40718</v>
      </c>
      <c r="F27" s="18">
        <v>2.8620000000000001</v>
      </c>
      <c r="G27" s="12">
        <f t="shared" si="1"/>
        <v>-5.8862216376191989E-2</v>
      </c>
      <c r="H27" s="18">
        <v>2.8780000000000001</v>
      </c>
      <c r="I27" s="12">
        <f t="shared" si="2"/>
        <v>-5.79378068739771E-2</v>
      </c>
      <c r="J27" s="18">
        <v>2.8980000000000001</v>
      </c>
      <c r="K27" s="12">
        <f t="shared" si="3"/>
        <v>-5.6640624999999979E-2</v>
      </c>
      <c r="L27" s="18">
        <v>2.9180000000000001</v>
      </c>
      <c r="M27" s="12">
        <f t="shared" si="4"/>
        <v>-5.5663430420711882E-2</v>
      </c>
    </row>
    <row r="28" spans="1:13" x14ac:dyDescent="0.25">
      <c r="A28" s="11">
        <v>40725</v>
      </c>
      <c r="B28" s="10">
        <v>2.7959999999999998</v>
      </c>
      <c r="C28" s="12">
        <f t="shared" si="0"/>
        <v>2.0810514786418381E-2</v>
      </c>
      <c r="E28" s="20">
        <v>40725</v>
      </c>
      <c r="F28" s="18">
        <v>2.8740000000000001</v>
      </c>
      <c r="G28" s="12">
        <f t="shared" si="1"/>
        <v>4.192872117400423E-3</v>
      </c>
      <c r="H28" s="18">
        <v>2.8889999999999998</v>
      </c>
      <c r="I28" s="12">
        <f t="shared" si="2"/>
        <v>3.8220986796385255E-3</v>
      </c>
      <c r="J28" s="18">
        <v>2.907</v>
      </c>
      <c r="K28" s="12">
        <f t="shared" si="3"/>
        <v>3.1055900621117655E-3</v>
      </c>
      <c r="L28" s="18">
        <v>2.9260000000000002</v>
      </c>
      <c r="M28" s="12">
        <f t="shared" si="4"/>
        <v>2.7416038382453759E-3</v>
      </c>
    </row>
    <row r="29" spans="1:13" x14ac:dyDescent="0.25">
      <c r="A29" s="11">
        <v>40732</v>
      </c>
      <c r="B29" s="10">
        <v>2.9729999999999999</v>
      </c>
      <c r="C29" s="12">
        <f t="shared" si="0"/>
        <v>6.3304721030042935E-2</v>
      </c>
      <c r="E29" s="20">
        <v>40732</v>
      </c>
      <c r="F29" s="18">
        <v>3.03</v>
      </c>
      <c r="G29" s="12">
        <f t="shared" si="1"/>
        <v>5.4279749478079224E-2</v>
      </c>
      <c r="H29" s="18">
        <v>3.044</v>
      </c>
      <c r="I29" s="12">
        <f t="shared" si="2"/>
        <v>5.3651782623745328E-2</v>
      </c>
      <c r="J29" s="18">
        <v>3.06</v>
      </c>
      <c r="K29" s="12">
        <f t="shared" si="3"/>
        <v>5.2631578947368432E-2</v>
      </c>
      <c r="L29" s="18">
        <v>3.0779999999999998</v>
      </c>
      <c r="M29" s="12">
        <f t="shared" si="4"/>
        <v>5.194805194805184E-2</v>
      </c>
    </row>
    <row r="30" spans="1:13" x14ac:dyDescent="0.25">
      <c r="A30" s="11">
        <v>40739</v>
      </c>
      <c r="B30" s="10">
        <v>3.0430000000000001</v>
      </c>
      <c r="C30" s="12">
        <f t="shared" si="0"/>
        <v>2.3545240497813754E-2</v>
      </c>
      <c r="E30" s="20">
        <v>40739</v>
      </c>
      <c r="F30" s="18">
        <v>3.0960000000000001</v>
      </c>
      <c r="G30" s="12">
        <f t="shared" si="1"/>
        <v>2.1782178217821878E-2</v>
      </c>
      <c r="H30" s="18">
        <v>3.1070000000000002</v>
      </c>
      <c r="I30" s="12">
        <f t="shared" si="2"/>
        <v>2.0696452036793746E-2</v>
      </c>
      <c r="J30" s="18">
        <v>3.121</v>
      </c>
      <c r="K30" s="12">
        <f t="shared" si="3"/>
        <v>1.9934640522875798E-2</v>
      </c>
      <c r="L30" s="18">
        <v>3.137</v>
      </c>
      <c r="M30" s="12">
        <f t="shared" si="4"/>
        <v>1.9168291098115714E-2</v>
      </c>
    </row>
    <row r="31" spans="1:13" x14ac:dyDescent="0.25">
      <c r="A31" s="11">
        <v>40746</v>
      </c>
      <c r="B31" s="10">
        <v>3.0390000000000001</v>
      </c>
      <c r="C31" s="12">
        <f t="shared" si="0"/>
        <v>-1.3144922773578717E-3</v>
      </c>
      <c r="E31" s="20">
        <v>40746</v>
      </c>
      <c r="F31" s="18">
        <v>3.1040000000000001</v>
      </c>
      <c r="G31" s="12">
        <f t="shared" si="1"/>
        <v>2.583979328165377E-3</v>
      </c>
      <c r="H31" s="18">
        <v>3.1179999999999999</v>
      </c>
      <c r="I31" s="12">
        <f t="shared" si="2"/>
        <v>3.5403926617314694E-3</v>
      </c>
      <c r="J31" s="18">
        <v>3.1309999999999998</v>
      </c>
      <c r="K31" s="12">
        <f t="shared" si="3"/>
        <v>3.2041012495994193E-3</v>
      </c>
      <c r="L31" s="18">
        <v>3.1480000000000001</v>
      </c>
      <c r="M31" s="12">
        <f t="shared" si="4"/>
        <v>3.5065349059611476E-3</v>
      </c>
    </row>
    <row r="32" spans="1:13" x14ac:dyDescent="0.25">
      <c r="A32" s="11">
        <v>40753</v>
      </c>
      <c r="B32" s="10">
        <v>3.048</v>
      </c>
      <c r="C32" s="12">
        <f t="shared" si="0"/>
        <v>2.9615004935833814E-3</v>
      </c>
      <c r="E32" s="20">
        <v>40753</v>
      </c>
      <c r="F32" s="18">
        <v>3.101</v>
      </c>
      <c r="G32" s="12">
        <f t="shared" si="1"/>
        <v>-9.6649484536086132E-4</v>
      </c>
      <c r="H32" s="18">
        <v>3.1110000000000002</v>
      </c>
      <c r="I32" s="12">
        <f t="shared" si="2"/>
        <v>-2.2450288646567265E-3</v>
      </c>
      <c r="J32" s="18">
        <v>3.125</v>
      </c>
      <c r="K32" s="12">
        <f t="shared" si="3"/>
        <v>-1.9163206643244279E-3</v>
      </c>
      <c r="L32" s="18">
        <v>3.1419999999999999</v>
      </c>
      <c r="M32" s="12">
        <f t="shared" si="4"/>
        <v>-1.9059720457434012E-3</v>
      </c>
    </row>
    <row r="33" spans="1:13" x14ac:dyDescent="0.25">
      <c r="A33" s="11">
        <v>40760</v>
      </c>
      <c r="B33" s="10">
        <v>2.8889999999999998</v>
      </c>
      <c r="C33" s="12">
        <f t="shared" si="0"/>
        <v>-5.2165354330708742E-2</v>
      </c>
      <c r="E33" s="20">
        <v>40760</v>
      </c>
      <c r="F33" s="18">
        <v>3.0089999999999999</v>
      </c>
      <c r="G33" s="12">
        <f t="shared" si="1"/>
        <v>-2.9667849080941659E-2</v>
      </c>
      <c r="H33" s="18">
        <v>3.0209999999999999</v>
      </c>
      <c r="I33" s="12">
        <f t="shared" si="2"/>
        <v>-2.8929604628736835E-2</v>
      </c>
      <c r="J33" s="18">
        <v>3.0339999999999998</v>
      </c>
      <c r="K33" s="12">
        <f t="shared" si="3"/>
        <v>-2.9120000000000063E-2</v>
      </c>
      <c r="L33" s="18">
        <v>3.048</v>
      </c>
      <c r="M33" s="12">
        <f t="shared" si="4"/>
        <v>-2.9917250159134268E-2</v>
      </c>
    </row>
    <row r="34" spans="1:13" x14ac:dyDescent="0.25">
      <c r="A34" s="11">
        <v>40767</v>
      </c>
      <c r="B34" s="10">
        <v>2.7410000000000001</v>
      </c>
      <c r="C34" s="12">
        <f t="shared" si="0"/>
        <v>-5.1228798892350193E-2</v>
      </c>
      <c r="E34" s="20">
        <v>40767</v>
      </c>
      <c r="F34" s="18">
        <v>2.847</v>
      </c>
      <c r="G34" s="12">
        <f t="shared" si="1"/>
        <v>-5.3838484546360893E-2</v>
      </c>
      <c r="H34" s="18">
        <v>2.8559999999999999</v>
      </c>
      <c r="I34" s="12">
        <f t="shared" si="2"/>
        <v>-5.4617676266137054E-2</v>
      </c>
      <c r="J34" s="18">
        <v>2.867</v>
      </c>
      <c r="K34" s="12">
        <f t="shared" si="3"/>
        <v>-5.5042847725774495E-2</v>
      </c>
      <c r="L34" s="18">
        <v>2.8769999999999998</v>
      </c>
      <c r="M34" s="12">
        <f t="shared" si="4"/>
        <v>-5.6102362204724497E-2</v>
      </c>
    </row>
    <row r="35" spans="1:13" x14ac:dyDescent="0.25">
      <c r="A35" s="11">
        <v>40774</v>
      </c>
      <c r="B35" s="10">
        <v>2.8069999999999999</v>
      </c>
      <c r="C35" s="12">
        <f t="shared" si="0"/>
        <v>2.4078803356439197E-2</v>
      </c>
      <c r="E35" s="20">
        <v>40774</v>
      </c>
      <c r="F35" s="18">
        <v>2.9239999999999999</v>
      </c>
      <c r="G35" s="12">
        <f t="shared" si="1"/>
        <v>2.7046013347383196E-2</v>
      </c>
      <c r="H35" s="18">
        <v>2.9329999999999998</v>
      </c>
      <c r="I35" s="12">
        <f t="shared" si="2"/>
        <v>2.6960784313725478E-2</v>
      </c>
      <c r="J35" s="18">
        <v>2.9430000000000001</v>
      </c>
      <c r="K35" s="12">
        <f t="shared" si="3"/>
        <v>2.6508545517963052E-2</v>
      </c>
      <c r="L35" s="18">
        <v>2.9529999999999998</v>
      </c>
      <c r="M35" s="12">
        <f t="shared" si="4"/>
        <v>2.6416405978449801E-2</v>
      </c>
    </row>
    <row r="36" spans="1:13" x14ac:dyDescent="0.25">
      <c r="A36" s="11">
        <v>40781</v>
      </c>
      <c r="B36" s="10">
        <v>2.8620000000000001</v>
      </c>
      <c r="C36" s="12">
        <f t="shared" si="0"/>
        <v>1.9593872461702942E-2</v>
      </c>
      <c r="E36" s="20">
        <v>40781</v>
      </c>
      <c r="F36" s="18">
        <v>2.9620000000000002</v>
      </c>
      <c r="G36" s="12">
        <f t="shared" si="1"/>
        <v>1.2995896032831826E-2</v>
      </c>
      <c r="H36" s="18">
        <v>2.9689999999999999</v>
      </c>
      <c r="I36" s="12">
        <f t="shared" si="2"/>
        <v>1.2274122059324936E-2</v>
      </c>
      <c r="J36" s="18">
        <v>2.976</v>
      </c>
      <c r="K36" s="12">
        <f t="shared" si="3"/>
        <v>1.1213047910295589E-2</v>
      </c>
      <c r="L36" s="18">
        <v>2.9820000000000002</v>
      </c>
      <c r="M36" s="12">
        <f t="shared" si="4"/>
        <v>9.8205215035558277E-3</v>
      </c>
    </row>
    <row r="37" spans="1:13" x14ac:dyDescent="0.25">
      <c r="A37" s="11">
        <v>40788</v>
      </c>
      <c r="B37" s="10">
        <v>2.911</v>
      </c>
      <c r="C37" s="12">
        <f t="shared" si="0"/>
        <v>1.7120894479385022E-2</v>
      </c>
      <c r="E37" s="20">
        <v>40788</v>
      </c>
      <c r="F37" s="18">
        <v>3.0409999999999999</v>
      </c>
      <c r="G37" s="12">
        <f t="shared" si="1"/>
        <v>2.6671168129642042E-2</v>
      </c>
      <c r="H37" s="18">
        <v>3.0489999999999999</v>
      </c>
      <c r="I37" s="12">
        <f t="shared" si="2"/>
        <v>2.6945099360053914E-2</v>
      </c>
      <c r="J37" s="18">
        <v>3.056</v>
      </c>
      <c r="K37" s="12">
        <f t="shared" si="3"/>
        <v>2.6881720430107552E-2</v>
      </c>
      <c r="L37" s="18">
        <v>3.0640000000000001</v>
      </c>
      <c r="M37" s="12">
        <f t="shared" si="4"/>
        <v>2.7498323272971109E-2</v>
      </c>
    </row>
    <row r="38" spans="1:13" x14ac:dyDescent="0.25">
      <c r="A38" s="11">
        <v>40795</v>
      </c>
      <c r="B38" s="10">
        <v>2.9369999999999998</v>
      </c>
      <c r="C38" s="12">
        <f t="shared" si="0"/>
        <v>8.931638612160701E-3</v>
      </c>
      <c r="E38" s="20">
        <v>40795</v>
      </c>
      <c r="F38" s="18">
        <v>3.0289999999999999</v>
      </c>
      <c r="G38" s="12">
        <f t="shared" si="1"/>
        <v>-3.9460703715882969E-3</v>
      </c>
      <c r="H38" s="18">
        <v>3.0379999999999998</v>
      </c>
      <c r="I38" s="12">
        <f t="shared" si="2"/>
        <v>-3.607740242702565E-3</v>
      </c>
      <c r="J38" s="18">
        <v>3.0459999999999998</v>
      </c>
      <c r="K38" s="12">
        <f t="shared" si="3"/>
        <v>-3.272251308900599E-3</v>
      </c>
      <c r="L38" s="18">
        <v>3.0550000000000002</v>
      </c>
      <c r="M38" s="12">
        <f t="shared" si="4"/>
        <v>-2.9373368146213765E-3</v>
      </c>
    </row>
    <row r="39" spans="1:13" x14ac:dyDescent="0.25">
      <c r="A39" s="11">
        <v>40802</v>
      </c>
      <c r="B39" s="10">
        <v>2.794</v>
      </c>
      <c r="C39" s="12">
        <f t="shared" si="0"/>
        <v>-4.8689138576778958E-2</v>
      </c>
      <c r="E39" s="20">
        <v>40802</v>
      </c>
      <c r="F39" s="18">
        <v>2.972</v>
      </c>
      <c r="G39" s="12">
        <f t="shared" si="1"/>
        <v>-1.8818091779465151E-2</v>
      </c>
      <c r="H39" s="18">
        <v>2.9809999999999999</v>
      </c>
      <c r="I39" s="12">
        <f t="shared" si="2"/>
        <v>-1.8762343647136255E-2</v>
      </c>
      <c r="J39" s="18">
        <v>2.988</v>
      </c>
      <c r="K39" s="12">
        <f t="shared" si="3"/>
        <v>-1.9041365725541638E-2</v>
      </c>
      <c r="L39" s="18">
        <v>2.996</v>
      </c>
      <c r="M39" s="12">
        <f t="shared" si="4"/>
        <v>-1.9312602291325746E-2</v>
      </c>
    </row>
    <row r="40" spans="1:13" x14ac:dyDescent="0.25">
      <c r="A40" s="11">
        <v>40809</v>
      </c>
      <c r="B40" s="10">
        <v>2.6779999999999999</v>
      </c>
      <c r="C40" s="12">
        <f t="shared" si="0"/>
        <v>-4.1517537580529743E-2</v>
      </c>
      <c r="E40" s="20">
        <v>40809</v>
      </c>
      <c r="F40" s="18">
        <v>2.8969999999999998</v>
      </c>
      <c r="G40" s="12">
        <f t="shared" si="1"/>
        <v>-2.5235531628533033E-2</v>
      </c>
      <c r="H40" s="18">
        <v>2.907</v>
      </c>
      <c r="I40" s="12">
        <f t="shared" si="2"/>
        <v>-2.4823884602482336E-2</v>
      </c>
      <c r="J40" s="18">
        <v>2.9140000000000001</v>
      </c>
      <c r="K40" s="12">
        <f t="shared" si="3"/>
        <v>-2.4765729585006641E-2</v>
      </c>
      <c r="L40" s="18">
        <v>2.92</v>
      </c>
      <c r="M40" s="12">
        <f t="shared" si="4"/>
        <v>-2.5367156208277727E-2</v>
      </c>
    </row>
    <row r="41" spans="1:13" x14ac:dyDescent="0.25">
      <c r="A41" s="11">
        <v>40816</v>
      </c>
      <c r="B41" s="10">
        <v>2.6349999999999998</v>
      </c>
      <c r="C41" s="12">
        <f t="shared" si="0"/>
        <v>-1.6056758775205432E-2</v>
      </c>
      <c r="E41" s="20">
        <v>40816</v>
      </c>
      <c r="F41" s="18">
        <v>2.82</v>
      </c>
      <c r="G41" s="12">
        <f t="shared" si="1"/>
        <v>-2.6579219882637197E-2</v>
      </c>
      <c r="H41" s="18">
        <v>2.8239999999999998</v>
      </c>
      <c r="I41" s="12">
        <f t="shared" si="2"/>
        <v>-2.8551771585827376E-2</v>
      </c>
      <c r="J41" s="18">
        <v>2.827</v>
      </c>
      <c r="K41" s="12">
        <f t="shared" si="3"/>
        <v>-2.9855868222374807E-2</v>
      </c>
      <c r="L41" s="18">
        <v>2.8279999999999998</v>
      </c>
      <c r="M41" s="12">
        <f t="shared" si="4"/>
        <v>-3.1506849315068523E-2</v>
      </c>
    </row>
    <row r="42" spans="1:13" x14ac:dyDescent="0.25">
      <c r="A42" s="11">
        <v>40823</v>
      </c>
      <c r="B42" s="10">
        <v>2.71</v>
      </c>
      <c r="C42" s="12">
        <f t="shared" si="0"/>
        <v>2.8462998102466861E-2</v>
      </c>
      <c r="E42" s="20">
        <v>40823</v>
      </c>
      <c r="F42" s="18">
        <v>2.7949999999999999</v>
      </c>
      <c r="G42" s="12">
        <f t="shared" si="1"/>
        <v>-8.865248226950324E-3</v>
      </c>
      <c r="H42" s="18">
        <v>2.7890000000000001</v>
      </c>
      <c r="I42" s="12">
        <f t="shared" si="2"/>
        <v>-1.2393767705382331E-2</v>
      </c>
      <c r="J42" s="18">
        <v>2.782</v>
      </c>
      <c r="K42" s="12">
        <f t="shared" si="3"/>
        <v>-1.5917934205871925E-2</v>
      </c>
      <c r="L42" s="18">
        <v>2.7650000000000001</v>
      </c>
      <c r="M42" s="12">
        <f t="shared" si="4"/>
        <v>-2.2277227722772179E-2</v>
      </c>
    </row>
    <row r="43" spans="1:13" x14ac:dyDescent="0.25">
      <c r="A43" s="11">
        <v>40830</v>
      </c>
      <c r="B43" s="10">
        <v>2.8820000000000001</v>
      </c>
      <c r="C43" s="12">
        <f t="shared" si="0"/>
        <v>6.346863468634692E-2</v>
      </c>
      <c r="E43" s="20">
        <v>40830</v>
      </c>
      <c r="F43" s="18">
        <v>2.9540000000000002</v>
      </c>
      <c r="G43" s="12">
        <f t="shared" si="1"/>
        <v>5.6887298747763958E-2</v>
      </c>
      <c r="H43" s="18">
        <v>2.948</v>
      </c>
      <c r="I43" s="12">
        <f t="shared" si="2"/>
        <v>5.7009680889207527E-2</v>
      </c>
      <c r="J43" s="18">
        <v>2.9390000000000001</v>
      </c>
      <c r="K43" s="12">
        <f t="shared" si="3"/>
        <v>5.6434219985621863E-2</v>
      </c>
      <c r="L43" s="18">
        <v>2.923</v>
      </c>
      <c r="M43" s="12">
        <f t="shared" si="4"/>
        <v>5.7142857142857113E-2</v>
      </c>
    </row>
    <row r="44" spans="1:13" x14ac:dyDescent="0.25">
      <c r="A44" s="11">
        <v>40837</v>
      </c>
      <c r="B44" s="10">
        <v>2.7719999999999998</v>
      </c>
      <c r="C44" s="12">
        <f t="shared" si="0"/>
        <v>-3.8167938931297822E-2</v>
      </c>
      <c r="E44" s="20">
        <v>40837</v>
      </c>
      <c r="F44" s="18">
        <v>3.0139999999999998</v>
      </c>
      <c r="G44" s="12">
        <f t="shared" si="1"/>
        <v>2.0311442112389846E-2</v>
      </c>
      <c r="H44" s="18">
        <v>3.012</v>
      </c>
      <c r="I44" s="12">
        <f t="shared" si="2"/>
        <v>2.1709633649932177E-2</v>
      </c>
      <c r="J44" s="18">
        <v>3.0009999999999999</v>
      </c>
      <c r="K44" s="12">
        <f t="shared" si="3"/>
        <v>2.109561075195639E-2</v>
      </c>
      <c r="L44" s="18">
        <v>2.9830000000000001</v>
      </c>
      <c r="M44" s="12">
        <f t="shared" si="4"/>
        <v>2.0526855969893964E-2</v>
      </c>
    </row>
    <row r="45" spans="1:13" x14ac:dyDescent="0.25">
      <c r="A45" s="11">
        <v>40844</v>
      </c>
      <c r="B45" s="10">
        <v>2.7440000000000002</v>
      </c>
      <c r="C45" s="12">
        <f t="shared" si="0"/>
        <v>-1.0101010101009951E-2</v>
      </c>
      <c r="E45" s="20">
        <v>40844</v>
      </c>
      <c r="F45" s="18">
        <v>3.056</v>
      </c>
      <c r="G45" s="12">
        <f t="shared" si="1"/>
        <v>1.3934970139349788E-2</v>
      </c>
      <c r="H45" s="18">
        <v>3.0590000000000002</v>
      </c>
      <c r="I45" s="12">
        <f t="shared" si="2"/>
        <v>1.5604249667994738E-2</v>
      </c>
      <c r="J45" s="18">
        <v>3.05</v>
      </c>
      <c r="K45" s="12">
        <f t="shared" si="3"/>
        <v>1.6327890703098945E-2</v>
      </c>
      <c r="L45" s="18">
        <v>3.0339999999999998</v>
      </c>
      <c r="M45" s="12">
        <f t="shared" si="4"/>
        <v>1.7096882333221493E-2</v>
      </c>
    </row>
    <row r="46" spans="1:13" x14ac:dyDescent="0.25">
      <c r="A46" s="11">
        <v>40851</v>
      </c>
      <c r="B46" s="10">
        <v>2.7029999999999998</v>
      </c>
      <c r="C46" s="12">
        <f t="shared" si="0"/>
        <v>-1.4941690962099258E-2</v>
      </c>
      <c r="E46" s="20">
        <v>40851</v>
      </c>
      <c r="F46" s="18">
        <v>3.0379999999999998</v>
      </c>
      <c r="G46" s="12">
        <f t="shared" si="1"/>
        <v>-5.8900523560210206E-3</v>
      </c>
      <c r="H46" s="18">
        <v>3.04</v>
      </c>
      <c r="I46" s="12">
        <f t="shared" si="2"/>
        <v>-6.2111801242236437E-3</v>
      </c>
      <c r="J46" s="18">
        <v>3.0289999999999999</v>
      </c>
      <c r="K46" s="12">
        <f t="shared" si="3"/>
        <v>-6.8852459016393143E-3</v>
      </c>
      <c r="L46" s="18">
        <v>3.0110000000000001</v>
      </c>
      <c r="M46" s="12">
        <f t="shared" si="4"/>
        <v>-7.5807514831904054E-3</v>
      </c>
    </row>
    <row r="47" spans="1:13" x14ac:dyDescent="0.25">
      <c r="A47" s="11">
        <v>40858</v>
      </c>
      <c r="B47" s="10">
        <v>2.7189999999999999</v>
      </c>
      <c r="C47" s="12">
        <f t="shared" si="0"/>
        <v>5.9193488716241267E-3</v>
      </c>
      <c r="E47" s="20">
        <v>40858</v>
      </c>
      <c r="F47" s="18">
        <v>3.1309999999999998</v>
      </c>
      <c r="G47" s="12">
        <f t="shared" si="1"/>
        <v>3.0612244897959176E-2</v>
      </c>
      <c r="H47" s="18">
        <v>3.1309999999999998</v>
      </c>
      <c r="I47" s="12">
        <f t="shared" si="2"/>
        <v>2.9934210526315706E-2</v>
      </c>
      <c r="J47" s="18">
        <v>3.1179999999999999</v>
      </c>
      <c r="K47" s="12">
        <f t="shared" si="3"/>
        <v>2.9382634532849117E-2</v>
      </c>
      <c r="L47" s="18">
        <v>3.1</v>
      </c>
      <c r="M47" s="12">
        <f t="shared" si="4"/>
        <v>2.9558286283626691E-2</v>
      </c>
    </row>
    <row r="48" spans="1:13" x14ac:dyDescent="0.25">
      <c r="A48" s="11">
        <v>40865</v>
      </c>
      <c r="B48" s="10">
        <v>2.577</v>
      </c>
      <c r="C48" s="12">
        <f t="shared" si="0"/>
        <v>-5.222508275101137E-2</v>
      </c>
      <c r="E48" s="20">
        <v>40865</v>
      </c>
      <c r="F48" s="18">
        <v>3.117</v>
      </c>
      <c r="G48" s="12">
        <f t="shared" si="1"/>
        <v>-4.4714148834237594E-3</v>
      </c>
      <c r="H48" s="18">
        <v>3.1219999999999999</v>
      </c>
      <c r="I48" s="12">
        <f t="shared" si="2"/>
        <v>-2.8744809964867126E-3</v>
      </c>
      <c r="J48" s="18">
        <v>3.113</v>
      </c>
      <c r="K48" s="12">
        <f t="shared" si="3"/>
        <v>-1.6035920461834167E-3</v>
      </c>
      <c r="L48" s="18">
        <v>3.097</v>
      </c>
      <c r="M48" s="12">
        <f t="shared" si="4"/>
        <v>-9.6774193548390761E-4</v>
      </c>
    </row>
    <row r="49" spans="1:13" x14ac:dyDescent="0.25">
      <c r="A49" s="11">
        <v>40872</v>
      </c>
      <c r="B49" s="10">
        <v>2.548</v>
      </c>
      <c r="C49" s="12">
        <f t="shared" si="0"/>
        <v>-1.1253395421032176E-2</v>
      </c>
      <c r="E49" s="20">
        <v>40872</v>
      </c>
      <c r="F49" s="18">
        <v>2.9790000000000001</v>
      </c>
      <c r="G49" s="12">
        <f t="shared" si="1"/>
        <v>-4.4273339749759354E-2</v>
      </c>
      <c r="H49" s="18">
        <v>2.9910000000000001</v>
      </c>
      <c r="I49" s="12">
        <f t="shared" si="2"/>
        <v>-4.1960281870595702E-2</v>
      </c>
      <c r="J49" s="18">
        <v>2.9940000000000002</v>
      </c>
      <c r="K49" s="12">
        <f t="shared" si="3"/>
        <v>-3.8226790876967481E-2</v>
      </c>
      <c r="L49" s="18">
        <v>2.9870000000000001</v>
      </c>
      <c r="M49" s="12">
        <f t="shared" si="4"/>
        <v>-3.5518243461414231E-2</v>
      </c>
    </row>
    <row r="50" spans="1:13" x14ac:dyDescent="0.25">
      <c r="A50" s="11">
        <v>40879</v>
      </c>
      <c r="B50" s="10">
        <v>2.6019999999999999</v>
      </c>
      <c r="C50" s="12">
        <f t="shared" si="0"/>
        <v>2.1193092621663981E-2</v>
      </c>
      <c r="E50" s="20">
        <v>40879</v>
      </c>
      <c r="F50" s="18">
        <v>2.9940000000000002</v>
      </c>
      <c r="G50" s="12">
        <f t="shared" si="1"/>
        <v>5.035246727089669E-3</v>
      </c>
      <c r="H50" s="18">
        <v>3.0049999999999999</v>
      </c>
      <c r="I50" s="12">
        <f t="shared" si="2"/>
        <v>4.6807087930457337E-3</v>
      </c>
      <c r="J50" s="18">
        <v>3.0070000000000001</v>
      </c>
      <c r="K50" s="12">
        <f t="shared" si="3"/>
        <v>4.3420173680694387E-3</v>
      </c>
      <c r="L50" s="18">
        <v>2.9969999999999999</v>
      </c>
      <c r="M50" s="12">
        <f t="shared" si="4"/>
        <v>3.3478406427853318E-3</v>
      </c>
    </row>
    <row r="51" spans="1:13" x14ac:dyDescent="0.25">
      <c r="A51" s="11">
        <v>40886</v>
      </c>
      <c r="B51" s="10">
        <v>2.6360000000000001</v>
      </c>
      <c r="C51" s="12">
        <f t="shared" si="0"/>
        <v>1.306687163720225E-2</v>
      </c>
      <c r="E51" s="20">
        <v>40886</v>
      </c>
      <c r="F51" s="18">
        <v>2.9540000000000002</v>
      </c>
      <c r="G51" s="12">
        <f t="shared" si="1"/>
        <v>-1.3360053440213772E-2</v>
      </c>
      <c r="H51" s="18">
        <v>2.9649999999999999</v>
      </c>
      <c r="I51" s="12">
        <f t="shared" si="2"/>
        <v>-1.3311148086522475E-2</v>
      </c>
      <c r="J51" s="18">
        <v>2.9689999999999999</v>
      </c>
      <c r="K51" s="12">
        <f t="shared" si="3"/>
        <v>-1.263717991353517E-2</v>
      </c>
      <c r="L51" s="18">
        <v>2.9609999999999999</v>
      </c>
      <c r="M51" s="12">
        <f t="shared" si="4"/>
        <v>-1.2012012012012022E-2</v>
      </c>
    </row>
    <row r="52" spans="1:13" x14ac:dyDescent="0.25">
      <c r="A52" s="11">
        <v>40893</v>
      </c>
      <c r="B52" s="10">
        <v>2.5680000000000001</v>
      </c>
      <c r="C52" s="12">
        <f t="shared" si="0"/>
        <v>-2.5796661608497747E-2</v>
      </c>
      <c r="E52" s="20">
        <v>40893</v>
      </c>
      <c r="F52" s="18">
        <v>2.8559999999999999</v>
      </c>
      <c r="G52" s="12">
        <f t="shared" si="1"/>
        <v>-3.3175355450237067E-2</v>
      </c>
      <c r="H52" s="18">
        <v>2.8650000000000002</v>
      </c>
      <c r="I52" s="12">
        <f t="shared" si="2"/>
        <v>-3.372681281618875E-2</v>
      </c>
      <c r="J52" s="18">
        <v>2.8679999999999999</v>
      </c>
      <c r="K52" s="12">
        <f t="shared" si="3"/>
        <v>-3.4018187942068033E-2</v>
      </c>
      <c r="L52" s="18">
        <v>2.8620000000000001</v>
      </c>
      <c r="M52" s="12">
        <f t="shared" si="4"/>
        <v>-3.3434650455926973E-2</v>
      </c>
    </row>
    <row r="53" spans="1:13" x14ac:dyDescent="0.25">
      <c r="A53" s="11">
        <v>40900</v>
      </c>
      <c r="B53" s="10">
        <v>2.6389999999999998</v>
      </c>
      <c r="C53" s="12">
        <f t="shared" si="0"/>
        <v>2.7647975077881515E-2</v>
      </c>
      <c r="E53" s="20">
        <v>40900</v>
      </c>
      <c r="F53" s="18">
        <v>2.867</v>
      </c>
      <c r="G53" s="12">
        <f t="shared" si="1"/>
        <v>3.8515406162465409E-3</v>
      </c>
      <c r="H53" s="18">
        <v>2.8759999999999999</v>
      </c>
      <c r="I53" s="12">
        <f t="shared" si="2"/>
        <v>3.8394415357765012E-3</v>
      </c>
      <c r="J53" s="18">
        <v>2.8759999999999999</v>
      </c>
      <c r="K53" s="12">
        <f t="shared" si="3"/>
        <v>2.7894002789400304E-3</v>
      </c>
      <c r="L53" s="18">
        <v>2.8610000000000002</v>
      </c>
      <c r="M53" s="12">
        <f t="shared" si="4"/>
        <v>-3.4940600978332977E-4</v>
      </c>
    </row>
    <row r="54" spans="1:13" x14ac:dyDescent="0.25">
      <c r="A54" s="11">
        <v>40907</v>
      </c>
      <c r="B54" s="10">
        <v>2.698</v>
      </c>
      <c r="C54" s="12">
        <f t="shared" si="0"/>
        <v>2.2356953391436212E-2</v>
      </c>
      <c r="E54" s="20">
        <v>40907</v>
      </c>
      <c r="F54" s="18">
        <v>2.9060000000000001</v>
      </c>
      <c r="G54" s="12">
        <f t="shared" si="1"/>
        <v>1.360306941053371E-2</v>
      </c>
      <c r="H54" s="18">
        <v>2.9129999999999998</v>
      </c>
      <c r="I54" s="12">
        <f t="shared" si="2"/>
        <v>1.2865090403337942E-2</v>
      </c>
      <c r="J54" s="18">
        <v>2.911</v>
      </c>
      <c r="K54" s="12">
        <f t="shared" si="3"/>
        <v>1.2169680111265697E-2</v>
      </c>
      <c r="L54" s="18">
        <v>2.895</v>
      </c>
      <c r="M54" s="12">
        <f t="shared" si="4"/>
        <v>1.1883956658510943E-2</v>
      </c>
    </row>
    <row r="55" spans="1:13" x14ac:dyDescent="0.25">
      <c r="A55" s="11">
        <v>40914</v>
      </c>
      <c r="B55" s="10">
        <v>2.778</v>
      </c>
      <c r="C55" s="12">
        <f t="shared" si="0"/>
        <v>2.9651593773165334E-2</v>
      </c>
      <c r="E55" s="20">
        <v>40914</v>
      </c>
      <c r="F55" s="18">
        <v>3.0590000000000002</v>
      </c>
      <c r="G55" s="12">
        <f t="shared" si="1"/>
        <v>5.2649690295939439E-2</v>
      </c>
      <c r="H55" s="18">
        <v>3.0529999999999999</v>
      </c>
      <c r="I55" s="12">
        <f t="shared" si="2"/>
        <v>4.8060418812221124E-2</v>
      </c>
      <c r="J55" s="18">
        <v>3.036</v>
      </c>
      <c r="K55" s="12">
        <f t="shared" si="3"/>
        <v>4.2940570250772928E-2</v>
      </c>
      <c r="L55" s="18">
        <v>3.0169999999999999</v>
      </c>
      <c r="M55" s="12">
        <f t="shared" si="4"/>
        <v>4.2141623488773705E-2</v>
      </c>
    </row>
    <row r="56" spans="1:13" x14ac:dyDescent="0.25">
      <c r="A56" s="11">
        <v>40921</v>
      </c>
      <c r="B56" s="10">
        <v>2.774</v>
      </c>
      <c r="C56" s="12">
        <f t="shared" si="0"/>
        <v>-1.439884809215264E-3</v>
      </c>
      <c r="E56" s="20">
        <v>40921</v>
      </c>
      <c r="F56" s="18">
        <v>3.0640000000000001</v>
      </c>
      <c r="G56" s="12">
        <f t="shared" si="1"/>
        <v>1.6345210853219657E-3</v>
      </c>
      <c r="H56" s="18">
        <v>3.0579999999999998</v>
      </c>
      <c r="I56" s="12">
        <f t="shared" si="2"/>
        <v>1.6377333770061886E-3</v>
      </c>
      <c r="J56" s="18">
        <v>3.0390000000000001</v>
      </c>
      <c r="K56" s="12">
        <f t="shared" si="3"/>
        <v>9.8814229249015602E-4</v>
      </c>
      <c r="L56" s="18">
        <v>3.0179999999999998</v>
      </c>
      <c r="M56" s="12">
        <f t="shared" si="4"/>
        <v>3.3145508783556177E-4</v>
      </c>
    </row>
    <row r="57" spans="1:13" x14ac:dyDescent="0.25">
      <c r="A57" s="11">
        <v>40928</v>
      </c>
      <c r="B57" s="10">
        <v>2.831</v>
      </c>
      <c r="C57" s="12">
        <f t="shared" si="0"/>
        <v>2.054794520547943E-2</v>
      </c>
      <c r="E57" s="20">
        <v>40928</v>
      </c>
      <c r="F57" s="18">
        <v>3.0190000000000001</v>
      </c>
      <c r="G57" s="12">
        <f t="shared" si="1"/>
        <v>-1.4686684073107026E-2</v>
      </c>
      <c r="H57" s="18">
        <v>3.016</v>
      </c>
      <c r="I57" s="12">
        <f t="shared" si="2"/>
        <v>-1.3734466971876984E-2</v>
      </c>
      <c r="J57" s="18">
        <v>3.0030000000000001</v>
      </c>
      <c r="K57" s="12">
        <f t="shared" si="3"/>
        <v>-1.1846001974333673E-2</v>
      </c>
      <c r="L57" s="18">
        <v>2.988</v>
      </c>
      <c r="M57" s="12">
        <f t="shared" si="4"/>
        <v>-9.9403578528826399E-3</v>
      </c>
    </row>
    <row r="58" spans="1:13" x14ac:dyDescent="0.25">
      <c r="A58" s="11">
        <v>40935</v>
      </c>
      <c r="B58" s="10">
        <v>2.867</v>
      </c>
      <c r="C58" s="12">
        <f t="shared" si="0"/>
        <v>1.2716354645001777E-2</v>
      </c>
      <c r="E58" s="20">
        <v>40935</v>
      </c>
      <c r="F58" s="18">
        <v>3.0350000000000001</v>
      </c>
      <c r="G58" s="12">
        <f t="shared" si="1"/>
        <v>5.2997681351440919E-3</v>
      </c>
      <c r="H58" s="18">
        <v>3.0270000000000001</v>
      </c>
      <c r="I58" s="12">
        <f t="shared" si="2"/>
        <v>3.6472148541114458E-3</v>
      </c>
      <c r="J58" s="18">
        <v>3.0070000000000001</v>
      </c>
      <c r="K58" s="12">
        <f t="shared" si="3"/>
        <v>1.3320013320013331E-3</v>
      </c>
      <c r="L58" s="18">
        <v>2.9870000000000001</v>
      </c>
      <c r="M58" s="12">
        <f t="shared" si="4"/>
        <v>-3.346720214189725E-4</v>
      </c>
    </row>
    <row r="59" spans="1:13" x14ac:dyDescent="0.25">
      <c r="A59" s="11">
        <v>40942</v>
      </c>
      <c r="B59" s="10">
        <v>2.91</v>
      </c>
      <c r="C59" s="12">
        <f t="shared" si="0"/>
        <v>1.4998256016742291E-2</v>
      </c>
      <c r="E59" s="20">
        <v>40942</v>
      </c>
      <c r="F59" s="18">
        <v>3.0649999999999999</v>
      </c>
      <c r="G59" s="12">
        <f t="shared" si="1"/>
        <v>9.884678747940627E-3</v>
      </c>
      <c r="H59" s="18">
        <v>3.0489999999999999</v>
      </c>
      <c r="I59" s="12">
        <f t="shared" si="2"/>
        <v>7.2679220350181026E-3</v>
      </c>
      <c r="J59" s="18">
        <v>3.028</v>
      </c>
      <c r="K59" s="12">
        <f t="shared" si="3"/>
        <v>6.983704689058832E-3</v>
      </c>
      <c r="L59" s="18">
        <v>3.0129999999999999</v>
      </c>
      <c r="M59" s="12">
        <f t="shared" si="4"/>
        <v>8.7043856712419824E-3</v>
      </c>
    </row>
    <row r="60" spans="1:13" x14ac:dyDescent="0.25">
      <c r="A60" s="11">
        <v>40949</v>
      </c>
      <c r="B60" s="10">
        <v>2.988</v>
      </c>
      <c r="C60" s="12">
        <f t="shared" si="0"/>
        <v>2.6804123711340153E-2</v>
      </c>
      <c r="E60" s="20">
        <v>40949</v>
      </c>
      <c r="F60" s="18">
        <v>3.1880000000000002</v>
      </c>
      <c r="G60" s="12">
        <f t="shared" si="1"/>
        <v>4.013050570962487E-2</v>
      </c>
      <c r="H60" s="18">
        <v>3.161</v>
      </c>
      <c r="I60" s="12">
        <f t="shared" si="2"/>
        <v>3.6733355198425743E-2</v>
      </c>
      <c r="J60" s="18">
        <v>3.1349999999999998</v>
      </c>
      <c r="K60" s="12">
        <f t="shared" si="3"/>
        <v>3.5336856010567956E-2</v>
      </c>
      <c r="L60" s="18">
        <v>3.1190000000000002</v>
      </c>
      <c r="M60" s="12">
        <f t="shared" si="4"/>
        <v>3.5180882841022346E-2</v>
      </c>
    </row>
    <row r="61" spans="1:13" x14ac:dyDescent="0.25">
      <c r="A61" s="11">
        <v>40956</v>
      </c>
      <c r="B61" s="10">
        <v>3.0249999999999999</v>
      </c>
      <c r="C61" s="12">
        <f t="shared" si="0"/>
        <v>1.238286479250332E-2</v>
      </c>
      <c r="E61" s="20">
        <v>40956</v>
      </c>
      <c r="F61" s="18">
        <v>3.1760000000000002</v>
      </c>
      <c r="G61" s="12">
        <f t="shared" si="1"/>
        <v>-3.7641154328732778E-3</v>
      </c>
      <c r="H61" s="18">
        <v>3.1659999999999999</v>
      </c>
      <c r="I61" s="12">
        <f t="shared" si="2"/>
        <v>1.5817779183802257E-3</v>
      </c>
      <c r="J61" s="18">
        <v>3.149</v>
      </c>
      <c r="K61" s="12">
        <f t="shared" si="3"/>
        <v>4.4657097288676988E-3</v>
      </c>
      <c r="L61" s="18">
        <v>3.1389999999999998</v>
      </c>
      <c r="M61" s="12">
        <f t="shared" si="4"/>
        <v>6.4123116383454862E-3</v>
      </c>
    </row>
    <row r="62" spans="1:13" x14ac:dyDescent="0.25">
      <c r="A62" s="11">
        <v>40963</v>
      </c>
      <c r="B62" s="10">
        <v>3.113</v>
      </c>
      <c r="C62" s="12">
        <f t="shared" si="0"/>
        <v>2.9090909090909119E-2</v>
      </c>
      <c r="E62" s="20">
        <v>40963</v>
      </c>
      <c r="F62" s="18">
        <v>3.2810000000000001</v>
      </c>
      <c r="G62" s="12">
        <f t="shared" si="1"/>
        <v>3.3060453400503773E-2</v>
      </c>
      <c r="H62" s="18">
        <v>3.2759999999999998</v>
      </c>
      <c r="I62" s="12">
        <f t="shared" si="2"/>
        <v>3.4744156664560918E-2</v>
      </c>
      <c r="J62" s="18">
        <v>3.2629999999999999</v>
      </c>
      <c r="K62" s="12">
        <f t="shared" si="3"/>
        <v>3.6201968879009172E-2</v>
      </c>
      <c r="L62" s="18">
        <v>3.2549999999999999</v>
      </c>
      <c r="M62" s="12">
        <f t="shared" si="4"/>
        <v>3.6954444090474707E-2</v>
      </c>
    </row>
    <row r="63" spans="1:13" x14ac:dyDescent="0.25">
      <c r="A63" s="11">
        <v>40970</v>
      </c>
      <c r="B63" s="10">
        <v>3.1739999999999999</v>
      </c>
      <c r="C63" s="12">
        <f t="shared" si="0"/>
        <v>1.959524574365562E-2</v>
      </c>
      <c r="E63" s="20">
        <v>40970</v>
      </c>
      <c r="F63" s="18">
        <v>3.2349999999999999</v>
      </c>
      <c r="G63" s="12">
        <f t="shared" si="1"/>
        <v>-1.4020115818348144E-2</v>
      </c>
      <c r="H63" s="18">
        <v>3.238</v>
      </c>
      <c r="I63" s="12">
        <f t="shared" si="2"/>
        <v>-1.1599511599511543E-2</v>
      </c>
      <c r="J63" s="18">
        <v>3.234</v>
      </c>
      <c r="K63" s="12">
        <f t="shared" si="3"/>
        <v>-8.8875268158136421E-3</v>
      </c>
      <c r="L63" s="18">
        <v>3.2330000000000001</v>
      </c>
      <c r="M63" s="12">
        <f t="shared" si="4"/>
        <v>-6.7588325652841166E-3</v>
      </c>
    </row>
    <row r="64" spans="1:13" x14ac:dyDescent="0.25">
      <c r="A64" s="11">
        <v>40977</v>
      </c>
      <c r="B64" s="10">
        <v>3.0430000000000001</v>
      </c>
      <c r="C64" s="12">
        <f t="shared" si="0"/>
        <v>-4.1272841839949524E-2</v>
      </c>
      <c r="E64" s="20">
        <v>40977</v>
      </c>
      <c r="F64" s="18">
        <v>3.2320000000000002</v>
      </c>
      <c r="G64" s="12">
        <f t="shared" si="1"/>
        <v>-9.2735703245739405E-4</v>
      </c>
      <c r="H64" s="18">
        <v>3.2389999999999999</v>
      </c>
      <c r="I64" s="12">
        <f t="shared" si="2"/>
        <v>3.0883261272386962E-4</v>
      </c>
      <c r="J64" s="18">
        <v>3.2450000000000001</v>
      </c>
      <c r="K64" s="12">
        <f t="shared" si="3"/>
        <v>3.4013605442177242E-3</v>
      </c>
      <c r="L64" s="18">
        <v>3.2530000000000001</v>
      </c>
      <c r="M64" s="12">
        <f t="shared" si="4"/>
        <v>6.1862047633776734E-3</v>
      </c>
    </row>
    <row r="65" spans="1:13" x14ac:dyDescent="0.25">
      <c r="A65" s="11">
        <v>40984</v>
      </c>
      <c r="B65" s="10">
        <v>3.117</v>
      </c>
      <c r="C65" s="12">
        <f t="shared" si="0"/>
        <v>2.431810713112055E-2</v>
      </c>
      <c r="E65" s="20">
        <v>40984</v>
      </c>
      <c r="F65" s="18">
        <v>3.2559999999999998</v>
      </c>
      <c r="G65" s="12">
        <f t="shared" si="1"/>
        <v>7.4257425742572944E-3</v>
      </c>
      <c r="H65" s="18">
        <v>3.2650000000000001</v>
      </c>
      <c r="I65" s="12">
        <f t="shared" si="2"/>
        <v>8.0271688792838049E-3</v>
      </c>
      <c r="J65" s="18">
        <v>3.2719999999999998</v>
      </c>
      <c r="K65" s="12">
        <f t="shared" si="3"/>
        <v>8.3204930662556832E-3</v>
      </c>
      <c r="L65" s="18">
        <v>3.28</v>
      </c>
      <c r="M65" s="12">
        <f t="shared" si="4"/>
        <v>8.3000307408545009E-3</v>
      </c>
    </row>
    <row r="66" spans="1:13" x14ac:dyDescent="0.25">
      <c r="A66" s="11">
        <v>40991</v>
      </c>
      <c r="B66" s="10">
        <v>3.2189999999999999</v>
      </c>
      <c r="C66" s="12">
        <f t="shared" si="0"/>
        <v>3.2723772858517762E-2</v>
      </c>
      <c r="E66" s="20">
        <v>40991</v>
      </c>
      <c r="F66" s="18">
        <v>3.2210000000000001</v>
      </c>
      <c r="G66" s="12">
        <f t="shared" si="1"/>
        <v>-1.0749385749385658E-2</v>
      </c>
      <c r="H66" s="18">
        <v>3.2349999999999999</v>
      </c>
      <c r="I66" s="12">
        <f t="shared" si="2"/>
        <v>-9.1883614088821581E-3</v>
      </c>
      <c r="J66" s="18">
        <v>3.246</v>
      </c>
      <c r="K66" s="12">
        <f t="shared" si="3"/>
        <v>-7.9462102689485947E-3</v>
      </c>
      <c r="L66" s="18">
        <v>3.2559999999999998</v>
      </c>
      <c r="M66" s="12">
        <f t="shared" si="4"/>
        <v>-7.3170731707317147E-3</v>
      </c>
    </row>
    <row r="67" spans="1:13" x14ac:dyDescent="0.25">
      <c r="A67" s="11">
        <v>40998</v>
      </c>
      <c r="B67" s="10">
        <v>3.3069999999999999</v>
      </c>
      <c r="C67" s="12">
        <f t="shared" si="0"/>
        <v>2.7337682510096328E-2</v>
      </c>
      <c r="E67" s="20">
        <v>40998</v>
      </c>
      <c r="F67" s="18">
        <v>3.1970000000000001</v>
      </c>
      <c r="G67" s="12">
        <f t="shared" si="1"/>
        <v>-7.4511021421918722E-3</v>
      </c>
      <c r="H67" s="18">
        <v>3.2090000000000001</v>
      </c>
      <c r="I67" s="12">
        <f t="shared" si="2"/>
        <v>-8.037094281298238E-3</v>
      </c>
      <c r="J67" s="18">
        <v>3.2189999999999999</v>
      </c>
      <c r="K67" s="12">
        <f t="shared" si="3"/>
        <v>-8.3179297597042925E-3</v>
      </c>
      <c r="L67" s="18">
        <v>3.2290000000000001</v>
      </c>
      <c r="M67" s="12">
        <f t="shared" si="4"/>
        <v>-8.2923832923831979E-3</v>
      </c>
    </row>
    <row r="68" spans="1:13" x14ac:dyDescent="0.25">
      <c r="A68" s="11">
        <v>41005</v>
      </c>
      <c r="B68" s="10">
        <v>3.3610000000000002</v>
      </c>
      <c r="C68" s="12">
        <f t="shared" si="0"/>
        <v>1.6328999092833467E-2</v>
      </c>
      <c r="E68" s="20">
        <v>41005</v>
      </c>
      <c r="F68" s="18">
        <v>3.202</v>
      </c>
      <c r="G68" s="12">
        <f t="shared" si="1"/>
        <v>1.5639662183296508E-3</v>
      </c>
      <c r="H68" s="18">
        <v>3.21</v>
      </c>
      <c r="I68" s="12">
        <f t="shared" si="2"/>
        <v>3.116235587410065E-4</v>
      </c>
      <c r="J68" s="18">
        <v>3.2189999999999999</v>
      </c>
      <c r="K68" s="12">
        <f t="shared" si="3"/>
        <v>0</v>
      </c>
      <c r="L68" s="18">
        <v>3.2280000000000002</v>
      </c>
      <c r="M68" s="12">
        <f t="shared" si="4"/>
        <v>-3.0969340353047069E-4</v>
      </c>
    </row>
    <row r="69" spans="1:13" x14ac:dyDescent="0.25">
      <c r="A69" s="11">
        <v>41012</v>
      </c>
      <c r="B69" s="10">
        <v>3.278</v>
      </c>
      <c r="C69" s="12">
        <f t="shared" ref="C69:C132" si="5">(B69-B68)/B68</f>
        <v>-2.4695031240702225E-2</v>
      </c>
      <c r="E69" s="20">
        <v>41012</v>
      </c>
      <c r="F69" s="18">
        <v>3.1389999999999998</v>
      </c>
      <c r="G69" s="12">
        <f t="shared" ref="G69:G132" si="6">(F69-F68)/F68</f>
        <v>-1.9675202998126223E-2</v>
      </c>
      <c r="H69" s="18">
        <v>3.1469999999999998</v>
      </c>
      <c r="I69" s="12">
        <f t="shared" ref="I69:I132" si="7">(H69-H68)/H68</f>
        <v>-1.9626168224299117E-2</v>
      </c>
      <c r="J69" s="18">
        <v>3.1549999999999998</v>
      </c>
      <c r="K69" s="12">
        <f t="shared" ref="K69:K132" si="8">(J69-J68)/J68</f>
        <v>-1.9881950916433695E-2</v>
      </c>
      <c r="L69" s="18">
        <v>3.1629999999999998</v>
      </c>
      <c r="M69" s="12">
        <f t="shared" ref="M69:M132" si="9">(L69-L68)/L68</f>
        <v>-2.0136307311028622E-2</v>
      </c>
    </row>
    <row r="70" spans="1:13" x14ac:dyDescent="0.25">
      <c r="A70" s="11">
        <v>41019</v>
      </c>
      <c r="B70" s="10">
        <v>3.1539999999999999</v>
      </c>
      <c r="C70" s="12">
        <f t="shared" si="5"/>
        <v>-3.7827943868212359E-2</v>
      </c>
      <c r="E70" s="20">
        <v>41019</v>
      </c>
      <c r="F70" s="18">
        <v>3.125</v>
      </c>
      <c r="G70" s="12">
        <f t="shared" si="6"/>
        <v>-4.4600191143675666E-3</v>
      </c>
      <c r="H70" s="18">
        <v>3.129</v>
      </c>
      <c r="I70" s="12">
        <f t="shared" si="7"/>
        <v>-5.719733079122909E-3</v>
      </c>
      <c r="J70" s="18">
        <v>3.133</v>
      </c>
      <c r="K70" s="12">
        <f t="shared" si="8"/>
        <v>-6.9730586370839297E-3</v>
      </c>
      <c r="L70" s="18">
        <v>3.137</v>
      </c>
      <c r="M70" s="12">
        <f t="shared" si="9"/>
        <v>-8.2200442617767315E-3</v>
      </c>
    </row>
    <row r="71" spans="1:13" x14ac:dyDescent="0.25">
      <c r="A71" s="11">
        <v>41026</v>
      </c>
      <c r="B71" s="10">
        <v>3.09</v>
      </c>
      <c r="C71" s="12">
        <f t="shared" si="5"/>
        <v>-2.0291693088142059E-2</v>
      </c>
      <c r="E71" s="20">
        <v>41026</v>
      </c>
      <c r="F71" s="18">
        <v>3.161</v>
      </c>
      <c r="G71" s="12">
        <f t="shared" si="6"/>
        <v>1.1520000000000009E-2</v>
      </c>
      <c r="H71" s="18">
        <v>3.165</v>
      </c>
      <c r="I71" s="12">
        <f t="shared" si="7"/>
        <v>1.1505273250239704E-2</v>
      </c>
      <c r="J71" s="18">
        <v>3.1669999999999998</v>
      </c>
      <c r="K71" s="12">
        <f t="shared" si="8"/>
        <v>1.0852218321097928E-2</v>
      </c>
      <c r="L71" s="18">
        <v>3.17</v>
      </c>
      <c r="M71" s="12">
        <f t="shared" si="9"/>
        <v>1.0519604717883302E-2</v>
      </c>
    </row>
    <row r="72" spans="1:13" x14ac:dyDescent="0.25">
      <c r="A72" s="11">
        <v>41033</v>
      </c>
      <c r="B72" s="10">
        <v>2.9860000000000002</v>
      </c>
      <c r="C72" s="12">
        <f t="shared" si="5"/>
        <v>-3.3656957928802474E-2</v>
      </c>
      <c r="E72" s="20">
        <v>41033</v>
      </c>
      <c r="F72" s="18">
        <v>3.12</v>
      </c>
      <c r="G72" s="12">
        <f t="shared" si="6"/>
        <v>-1.2970578930718103E-2</v>
      </c>
      <c r="H72" s="18">
        <v>3.1219999999999999</v>
      </c>
      <c r="I72" s="12">
        <f t="shared" si="7"/>
        <v>-1.3586097946287568E-2</v>
      </c>
      <c r="J72" s="18">
        <v>3.1259999999999999</v>
      </c>
      <c r="K72" s="12">
        <f t="shared" si="8"/>
        <v>-1.2946005683612229E-2</v>
      </c>
      <c r="L72" s="18">
        <v>3.13</v>
      </c>
      <c r="M72" s="12">
        <f t="shared" si="9"/>
        <v>-1.2618296529968466E-2</v>
      </c>
    </row>
    <row r="73" spans="1:13" x14ac:dyDescent="0.25">
      <c r="A73" s="11">
        <v>41040</v>
      </c>
      <c r="B73" s="10">
        <v>2.9329999999999998</v>
      </c>
      <c r="C73" s="12">
        <f t="shared" si="5"/>
        <v>-1.7749497655726851E-2</v>
      </c>
      <c r="E73" s="20">
        <v>41040</v>
      </c>
      <c r="F73" s="18">
        <v>2.984</v>
      </c>
      <c r="G73" s="12">
        <f t="shared" si="6"/>
        <v>-4.3589743589743629E-2</v>
      </c>
      <c r="H73" s="18">
        <v>2.9870000000000001</v>
      </c>
      <c r="I73" s="12">
        <f t="shared" si="7"/>
        <v>-4.3241511851377257E-2</v>
      </c>
      <c r="J73" s="18">
        <v>2.992</v>
      </c>
      <c r="K73" s="12">
        <f t="shared" si="8"/>
        <v>-4.2866282789507326E-2</v>
      </c>
      <c r="L73" s="18">
        <v>2.9980000000000002</v>
      </c>
      <c r="M73" s="12">
        <f t="shared" si="9"/>
        <v>-4.217252396166124E-2</v>
      </c>
    </row>
    <row r="74" spans="1:13" x14ac:dyDescent="0.25">
      <c r="A74" s="11">
        <v>41047</v>
      </c>
      <c r="B74" s="10">
        <v>2.875</v>
      </c>
      <c r="C74" s="12">
        <f t="shared" si="5"/>
        <v>-1.977497442891232E-2</v>
      </c>
      <c r="E74" s="20">
        <v>41047</v>
      </c>
      <c r="F74" s="18">
        <v>2.8879999999999999</v>
      </c>
      <c r="G74" s="12">
        <f t="shared" si="6"/>
        <v>-3.2171581769437026E-2</v>
      </c>
      <c r="H74" s="18">
        <v>2.8940000000000001</v>
      </c>
      <c r="I74" s="12">
        <f t="shared" si="7"/>
        <v>-3.1134917977904242E-2</v>
      </c>
      <c r="J74" s="18">
        <v>2.9020000000000001</v>
      </c>
      <c r="K74" s="12">
        <f t="shared" si="8"/>
        <v>-3.0080213903743269E-2</v>
      </c>
      <c r="L74" s="18">
        <v>2.9089999999999998</v>
      </c>
      <c r="M74" s="12">
        <f t="shared" si="9"/>
        <v>-2.9686457638425753E-2</v>
      </c>
    </row>
    <row r="75" spans="1:13" x14ac:dyDescent="0.25">
      <c r="A75" s="11">
        <v>41054</v>
      </c>
      <c r="B75" s="10">
        <v>2.827</v>
      </c>
      <c r="C75" s="12">
        <f t="shared" si="5"/>
        <v>-1.6695652173913059E-2</v>
      </c>
      <c r="E75" s="20">
        <v>41054</v>
      </c>
      <c r="F75" s="18">
        <v>2.8370000000000002</v>
      </c>
      <c r="G75" s="12">
        <f t="shared" si="6"/>
        <v>-1.7659279778393253E-2</v>
      </c>
      <c r="H75" s="18">
        <v>2.8410000000000002</v>
      </c>
      <c r="I75" s="12">
        <f t="shared" si="7"/>
        <v>-1.8313752591568741E-2</v>
      </c>
      <c r="J75" s="18">
        <v>2.8479999999999999</v>
      </c>
      <c r="K75" s="12">
        <f t="shared" si="8"/>
        <v>-1.8607856650585897E-2</v>
      </c>
      <c r="L75" s="18">
        <v>2.8559999999999999</v>
      </c>
      <c r="M75" s="12">
        <f t="shared" si="9"/>
        <v>-1.8219319353729783E-2</v>
      </c>
    </row>
    <row r="76" spans="1:13" x14ac:dyDescent="0.25">
      <c r="A76" s="11">
        <v>41061</v>
      </c>
      <c r="B76" s="10">
        <v>2.714</v>
      </c>
      <c r="C76" s="12">
        <f t="shared" si="5"/>
        <v>-3.997170145030067E-2</v>
      </c>
      <c r="E76" s="20">
        <v>41061</v>
      </c>
      <c r="F76" s="18">
        <v>2.7210000000000001</v>
      </c>
      <c r="G76" s="12">
        <f t="shared" si="6"/>
        <v>-4.0888262248854459E-2</v>
      </c>
      <c r="H76" s="18">
        <v>2.7240000000000002</v>
      </c>
      <c r="I76" s="12">
        <f t="shared" si="7"/>
        <v>-4.1182682154171063E-2</v>
      </c>
      <c r="J76" s="18">
        <v>2.734</v>
      </c>
      <c r="K76" s="12">
        <f t="shared" si="8"/>
        <v>-4.0028089887640408E-2</v>
      </c>
      <c r="L76" s="18">
        <v>2.746</v>
      </c>
      <c r="M76" s="12">
        <f t="shared" si="9"/>
        <v>-3.8515406162464946E-2</v>
      </c>
    </row>
    <row r="77" spans="1:13" x14ac:dyDescent="0.25">
      <c r="A77" s="11">
        <v>41068</v>
      </c>
      <c r="B77" s="10">
        <v>2.6829999999999998</v>
      </c>
      <c r="C77" s="12">
        <f t="shared" si="5"/>
        <v>-1.1422254974207862E-2</v>
      </c>
      <c r="E77" s="20">
        <v>41068</v>
      </c>
      <c r="F77" s="18">
        <v>2.6539999999999999</v>
      </c>
      <c r="G77" s="12">
        <f t="shared" si="6"/>
        <v>-2.4623300257258424E-2</v>
      </c>
      <c r="H77" s="18">
        <v>2.661</v>
      </c>
      <c r="I77" s="12">
        <f t="shared" si="7"/>
        <v>-2.3127753303964816E-2</v>
      </c>
      <c r="J77" s="18">
        <v>2.6709999999999998</v>
      </c>
      <c r="K77" s="12">
        <f t="shared" si="8"/>
        <v>-2.3043160204828151E-2</v>
      </c>
      <c r="L77" s="18">
        <v>2.6819999999999999</v>
      </c>
      <c r="M77" s="12">
        <f t="shared" si="9"/>
        <v>-2.3306627822286985E-2</v>
      </c>
    </row>
    <row r="78" spans="1:13" x14ac:dyDescent="0.25">
      <c r="A78" s="11">
        <v>41075</v>
      </c>
      <c r="B78" s="10">
        <v>2.6720000000000002</v>
      </c>
      <c r="C78" s="12">
        <f t="shared" si="5"/>
        <v>-4.0998881848675651E-3</v>
      </c>
      <c r="E78" s="20">
        <v>41075</v>
      </c>
      <c r="F78" s="18">
        <v>2.6280000000000001</v>
      </c>
      <c r="G78" s="12">
        <f t="shared" si="6"/>
        <v>-9.7965335342877925E-3</v>
      </c>
      <c r="H78" s="18">
        <v>2.6320000000000001</v>
      </c>
      <c r="I78" s="12">
        <f t="shared" si="7"/>
        <v>-1.0898158586997338E-2</v>
      </c>
      <c r="J78" s="18">
        <v>2.6389999999999998</v>
      </c>
      <c r="K78" s="12">
        <f t="shared" si="8"/>
        <v>-1.1980531636091363E-2</v>
      </c>
      <c r="L78" s="18">
        <v>2.6480000000000001</v>
      </c>
      <c r="M78" s="12">
        <f t="shared" si="9"/>
        <v>-1.2677106636838109E-2</v>
      </c>
    </row>
    <row r="79" spans="1:13" x14ac:dyDescent="0.25">
      <c r="A79" s="11">
        <v>41082</v>
      </c>
      <c r="B79" s="10">
        <v>2.5350000000000001</v>
      </c>
      <c r="C79" s="12">
        <f t="shared" si="5"/>
        <v>-5.1272455089820361E-2</v>
      </c>
      <c r="E79" s="20">
        <v>41082</v>
      </c>
      <c r="F79" s="18">
        <v>2.58</v>
      </c>
      <c r="G79" s="12">
        <f t="shared" si="6"/>
        <v>-1.8264840182648418E-2</v>
      </c>
      <c r="H79" s="18">
        <v>2.5790000000000002</v>
      </c>
      <c r="I79" s="12">
        <f t="shared" si="7"/>
        <v>-2.0136778115501495E-2</v>
      </c>
      <c r="J79" s="18">
        <v>2.585</v>
      </c>
      <c r="K79" s="12">
        <f t="shared" si="8"/>
        <v>-2.0462296324365227E-2</v>
      </c>
      <c r="L79" s="18">
        <v>2.5939999999999999</v>
      </c>
      <c r="M79" s="12">
        <f t="shared" si="9"/>
        <v>-2.0392749244713092E-2</v>
      </c>
    </row>
    <row r="80" spans="1:13" x14ac:dyDescent="0.25">
      <c r="A80" s="11">
        <v>41089</v>
      </c>
      <c r="B80" s="10">
        <v>2.5150000000000001</v>
      </c>
      <c r="C80" s="12">
        <f t="shared" si="5"/>
        <v>-7.88954635108482E-3</v>
      </c>
      <c r="E80" s="20">
        <v>41089</v>
      </c>
      <c r="F80" s="18">
        <v>2.5910000000000002</v>
      </c>
      <c r="G80" s="12">
        <f t="shared" si="6"/>
        <v>4.263565891472915E-3</v>
      </c>
      <c r="H80" s="18">
        <v>2.5910000000000002</v>
      </c>
      <c r="I80" s="12">
        <f t="shared" si="7"/>
        <v>4.652966265994575E-3</v>
      </c>
      <c r="J80" s="18">
        <v>2.5939999999999999</v>
      </c>
      <c r="K80" s="12">
        <f t="shared" si="8"/>
        <v>3.481624758220463E-3</v>
      </c>
      <c r="L80" s="18">
        <v>2.5990000000000002</v>
      </c>
      <c r="M80" s="12">
        <f t="shared" si="9"/>
        <v>1.9275250578258819E-3</v>
      </c>
    </row>
    <row r="81" spans="1:13" x14ac:dyDescent="0.25">
      <c r="A81" s="11">
        <v>41096</v>
      </c>
      <c r="B81" s="10">
        <v>2.6640000000000001</v>
      </c>
      <c r="C81" s="12">
        <f t="shared" si="5"/>
        <v>5.924453280318092E-2</v>
      </c>
      <c r="E81" s="20">
        <v>41096</v>
      </c>
      <c r="F81" s="18">
        <v>2.7280000000000002</v>
      </c>
      <c r="G81" s="12">
        <f t="shared" si="6"/>
        <v>5.2875337707448865E-2</v>
      </c>
      <c r="H81" s="18">
        <v>2.7290000000000001</v>
      </c>
      <c r="I81" s="12">
        <f t="shared" si="7"/>
        <v>5.3261289077576185E-2</v>
      </c>
      <c r="J81" s="18">
        <v>2.7330000000000001</v>
      </c>
      <c r="K81" s="12">
        <f t="shared" si="8"/>
        <v>5.3585196607555993E-2</v>
      </c>
      <c r="L81" s="18">
        <v>2.7389999999999999</v>
      </c>
      <c r="M81" s="12">
        <f t="shared" si="9"/>
        <v>5.3866871873797489E-2</v>
      </c>
    </row>
    <row r="82" spans="1:13" x14ac:dyDescent="0.25">
      <c r="A82" s="11">
        <v>41103</v>
      </c>
      <c r="B82" s="10">
        <v>2.7690000000000001</v>
      </c>
      <c r="C82" s="12">
        <f t="shared" si="5"/>
        <v>3.9414414414414407E-2</v>
      </c>
      <c r="E82" s="20">
        <v>41103</v>
      </c>
      <c r="F82" s="18">
        <v>2.758</v>
      </c>
      <c r="G82" s="12">
        <f t="shared" si="6"/>
        <v>1.099706744868028E-2</v>
      </c>
      <c r="H82" s="18">
        <v>2.7570000000000001</v>
      </c>
      <c r="I82" s="12">
        <f t="shared" si="7"/>
        <v>1.0260168559912065E-2</v>
      </c>
      <c r="J82" s="18">
        <v>2.76</v>
      </c>
      <c r="K82" s="12">
        <f t="shared" si="8"/>
        <v>9.8792535675081197E-3</v>
      </c>
      <c r="L82" s="18">
        <v>2.7639999999999998</v>
      </c>
      <c r="M82" s="12">
        <f t="shared" si="9"/>
        <v>9.12741876597295E-3</v>
      </c>
    </row>
    <row r="83" spans="1:13" x14ac:dyDescent="0.25">
      <c r="A83" s="11">
        <v>41110</v>
      </c>
      <c r="B83" s="10">
        <v>2.82</v>
      </c>
      <c r="C83" s="12">
        <f t="shared" si="5"/>
        <v>1.8418201516792961E-2</v>
      </c>
      <c r="E83" s="20">
        <v>41110</v>
      </c>
      <c r="F83" s="18">
        <v>2.8839999999999999</v>
      </c>
      <c r="G83" s="12">
        <f t="shared" si="6"/>
        <v>4.5685279187817215E-2</v>
      </c>
      <c r="H83" s="18">
        <v>2.8839999999999999</v>
      </c>
      <c r="I83" s="12">
        <f t="shared" si="7"/>
        <v>4.6064562930721718E-2</v>
      </c>
      <c r="J83" s="18">
        <v>2.8879999999999999</v>
      </c>
      <c r="K83" s="12">
        <f t="shared" si="8"/>
        <v>4.6376811594202941E-2</v>
      </c>
      <c r="L83" s="18">
        <v>2.8940000000000001</v>
      </c>
      <c r="M83" s="12">
        <f t="shared" si="9"/>
        <v>4.7033285094066693E-2</v>
      </c>
    </row>
    <row r="84" spans="1:13" x14ac:dyDescent="0.25">
      <c r="A84" s="11">
        <v>41117</v>
      </c>
      <c r="B84" s="10">
        <v>2.7109999999999999</v>
      </c>
      <c r="C84" s="12">
        <f t="shared" si="5"/>
        <v>-3.8652482269503546E-2</v>
      </c>
      <c r="E84" s="20">
        <v>41117</v>
      </c>
      <c r="F84" s="18">
        <v>2.8490000000000002</v>
      </c>
      <c r="G84" s="12">
        <f t="shared" si="6"/>
        <v>-1.2135922330096983E-2</v>
      </c>
      <c r="H84" s="18">
        <v>2.851</v>
      </c>
      <c r="I84" s="12">
        <f t="shared" si="7"/>
        <v>-1.1442441054091512E-2</v>
      </c>
      <c r="J84" s="18">
        <v>2.8570000000000002</v>
      </c>
      <c r="K84" s="12">
        <f t="shared" si="8"/>
        <v>-1.0734072022160559E-2</v>
      </c>
      <c r="L84" s="18">
        <v>2.8639999999999999</v>
      </c>
      <c r="M84" s="12">
        <f t="shared" si="9"/>
        <v>-1.036627505183146E-2</v>
      </c>
    </row>
    <row r="85" spans="1:13" x14ac:dyDescent="0.25">
      <c r="A85" s="11">
        <v>41124</v>
      </c>
      <c r="B85" s="10">
        <v>2.8370000000000002</v>
      </c>
      <c r="C85" s="12">
        <f t="shared" si="5"/>
        <v>4.6477314644042915E-2</v>
      </c>
      <c r="E85" s="20">
        <v>41124</v>
      </c>
      <c r="F85" s="18">
        <v>2.87</v>
      </c>
      <c r="G85" s="12">
        <f t="shared" si="6"/>
        <v>7.3710073710073383E-3</v>
      </c>
      <c r="H85" s="18">
        <v>2.8759999999999999</v>
      </c>
      <c r="I85" s="12">
        <f t="shared" si="7"/>
        <v>8.7688530340231195E-3</v>
      </c>
      <c r="J85" s="18">
        <v>2.883</v>
      </c>
      <c r="K85" s="12">
        <f t="shared" si="8"/>
        <v>9.100455022751067E-3</v>
      </c>
      <c r="L85" s="18">
        <v>2.89</v>
      </c>
      <c r="M85" s="12">
        <f t="shared" si="9"/>
        <v>9.0782122905028791E-3</v>
      </c>
    </row>
    <row r="86" spans="1:13" x14ac:dyDescent="0.25">
      <c r="A86" s="11">
        <v>41131</v>
      </c>
      <c r="B86" s="10">
        <v>2.9870000000000001</v>
      </c>
      <c r="C86" s="12">
        <f t="shared" si="5"/>
        <v>5.2872752908001378E-2</v>
      </c>
      <c r="E86" s="20">
        <v>41131</v>
      </c>
      <c r="F86" s="18">
        <v>3.004</v>
      </c>
      <c r="G86" s="12">
        <f t="shared" si="6"/>
        <v>4.6689895470383234E-2</v>
      </c>
      <c r="H86" s="18">
        <v>3.0129999999999999</v>
      </c>
      <c r="I86" s="12">
        <f t="shared" si="7"/>
        <v>4.7635605006954108E-2</v>
      </c>
      <c r="J86" s="18">
        <v>3.0209999999999999</v>
      </c>
      <c r="K86" s="12">
        <f t="shared" si="8"/>
        <v>4.7866805411030139E-2</v>
      </c>
      <c r="L86" s="18">
        <v>3.0270000000000001</v>
      </c>
      <c r="M86" s="12">
        <f t="shared" si="9"/>
        <v>4.7404844290657444E-2</v>
      </c>
    </row>
    <row r="87" spans="1:13" x14ac:dyDescent="0.25">
      <c r="A87" s="11">
        <v>41138</v>
      </c>
      <c r="B87" s="10">
        <v>3.0019999999999998</v>
      </c>
      <c r="C87" s="12">
        <f t="shared" si="5"/>
        <v>5.021760964177998E-3</v>
      </c>
      <c r="E87" s="20">
        <v>41138</v>
      </c>
      <c r="F87" s="18">
        <v>3.0710000000000002</v>
      </c>
      <c r="G87" s="12">
        <f t="shared" si="6"/>
        <v>2.2303595206391535E-2</v>
      </c>
      <c r="H87" s="18">
        <v>3.08</v>
      </c>
      <c r="I87" s="12">
        <f t="shared" si="7"/>
        <v>2.2236973116495244E-2</v>
      </c>
      <c r="J87" s="18">
        <v>3.089</v>
      </c>
      <c r="K87" s="12">
        <f t="shared" si="8"/>
        <v>2.2509102946044378E-2</v>
      </c>
      <c r="L87" s="18">
        <v>3.0950000000000002</v>
      </c>
      <c r="M87" s="12">
        <f t="shared" si="9"/>
        <v>2.2464486290056179E-2</v>
      </c>
    </row>
    <row r="88" spans="1:13" x14ac:dyDescent="0.25">
      <c r="A88" s="11">
        <v>41145</v>
      </c>
      <c r="B88" s="10">
        <v>3.0409999999999999</v>
      </c>
      <c r="C88" s="12">
        <f t="shared" si="5"/>
        <v>1.2991339107261876E-2</v>
      </c>
      <c r="E88" s="20">
        <v>41145</v>
      </c>
      <c r="F88" s="18">
        <v>3.1179999999999999</v>
      </c>
      <c r="G88" s="12">
        <f t="shared" si="6"/>
        <v>1.5304461087593523E-2</v>
      </c>
      <c r="H88" s="18">
        <v>3.1259999999999999</v>
      </c>
      <c r="I88" s="12">
        <f t="shared" si="7"/>
        <v>1.4935064935064876E-2</v>
      </c>
      <c r="J88" s="18">
        <v>3.133</v>
      </c>
      <c r="K88" s="12">
        <f t="shared" si="8"/>
        <v>1.4244091939138892E-2</v>
      </c>
      <c r="L88" s="18">
        <v>3.137</v>
      </c>
      <c r="M88" s="12">
        <f t="shared" si="9"/>
        <v>1.357027463651044E-2</v>
      </c>
    </row>
    <row r="89" spans="1:13" x14ac:dyDescent="0.25">
      <c r="A89" s="11">
        <v>41152</v>
      </c>
      <c r="B89" s="10">
        <v>3.1459999999999999</v>
      </c>
      <c r="C89" s="12">
        <f t="shared" si="5"/>
        <v>3.452811575139756E-2</v>
      </c>
      <c r="E89" s="20">
        <v>41152</v>
      </c>
      <c r="F89" s="18">
        <v>3.1280000000000001</v>
      </c>
      <c r="G89" s="12">
        <f t="shared" si="6"/>
        <v>3.2071840923669761E-3</v>
      </c>
      <c r="H89" s="18">
        <v>3.137</v>
      </c>
      <c r="I89" s="12">
        <f t="shared" si="7"/>
        <v>3.5188739603327322E-3</v>
      </c>
      <c r="J89" s="18">
        <v>3.137</v>
      </c>
      <c r="K89" s="12">
        <f t="shared" si="8"/>
        <v>1.2767315671879998E-3</v>
      </c>
      <c r="L89" s="18">
        <v>3.1360000000000001</v>
      </c>
      <c r="M89" s="12">
        <f t="shared" si="9"/>
        <v>-3.1877590054188394E-4</v>
      </c>
    </row>
    <row r="90" spans="1:13" x14ac:dyDescent="0.25">
      <c r="A90" s="11">
        <v>41159</v>
      </c>
      <c r="B90" s="10">
        <v>3.2440000000000002</v>
      </c>
      <c r="C90" s="12">
        <f t="shared" si="5"/>
        <v>3.1150667514303978E-2</v>
      </c>
      <c r="E90" s="20">
        <v>41159</v>
      </c>
      <c r="F90" s="18">
        <v>3.1389999999999998</v>
      </c>
      <c r="G90" s="12">
        <f t="shared" si="6"/>
        <v>3.5166240409206127E-3</v>
      </c>
      <c r="H90" s="18">
        <v>3.14</v>
      </c>
      <c r="I90" s="12">
        <f t="shared" si="7"/>
        <v>9.5632770162579336E-4</v>
      </c>
      <c r="J90" s="18">
        <v>3.1389999999999998</v>
      </c>
      <c r="K90" s="12">
        <f t="shared" si="8"/>
        <v>6.3755180108376788E-4</v>
      </c>
      <c r="L90" s="18">
        <v>3.1360000000000001</v>
      </c>
      <c r="M90" s="12">
        <f t="shared" si="9"/>
        <v>0</v>
      </c>
    </row>
    <row r="91" spans="1:13" x14ac:dyDescent="0.25">
      <c r="A91" s="11">
        <v>41166</v>
      </c>
      <c r="B91" s="10">
        <v>3.335</v>
      </c>
      <c r="C91" s="12">
        <f t="shared" si="5"/>
        <v>2.8051787916152818E-2</v>
      </c>
      <c r="E91" s="20">
        <v>41166</v>
      </c>
      <c r="F91" s="18">
        <v>3.2040000000000002</v>
      </c>
      <c r="G91" s="12">
        <f t="shared" si="6"/>
        <v>2.0707231602421279E-2</v>
      </c>
      <c r="H91" s="18">
        <v>3.2029999999999998</v>
      </c>
      <c r="I91" s="12">
        <f t="shared" si="7"/>
        <v>2.0063694267515836E-2</v>
      </c>
      <c r="J91" s="18">
        <v>3.2</v>
      </c>
      <c r="K91" s="12">
        <f t="shared" si="8"/>
        <v>1.9432940426887667E-2</v>
      </c>
      <c r="L91" s="18">
        <v>3.1949999999999998</v>
      </c>
      <c r="M91" s="12">
        <f t="shared" si="9"/>
        <v>1.8813775510203991E-2</v>
      </c>
    </row>
    <row r="92" spans="1:13" x14ac:dyDescent="0.25">
      <c r="A92" s="11">
        <v>41173</v>
      </c>
      <c r="B92" s="10">
        <v>3.1339999999999999</v>
      </c>
      <c r="C92" s="12">
        <f t="shared" si="5"/>
        <v>-6.0269865067466288E-2</v>
      </c>
      <c r="E92" s="20">
        <v>41173</v>
      </c>
      <c r="F92" s="18">
        <v>3.1110000000000002</v>
      </c>
      <c r="G92" s="12">
        <f t="shared" si="6"/>
        <v>-2.9026217228464411E-2</v>
      </c>
      <c r="H92" s="18">
        <v>3.109</v>
      </c>
      <c r="I92" s="12">
        <f t="shared" si="7"/>
        <v>-2.9347486731189469E-2</v>
      </c>
      <c r="J92" s="18">
        <v>3.1030000000000002</v>
      </c>
      <c r="K92" s="12">
        <f t="shared" si="8"/>
        <v>-3.0312499999999992E-2</v>
      </c>
      <c r="L92" s="18">
        <v>3.0950000000000002</v>
      </c>
      <c r="M92" s="12">
        <f t="shared" si="9"/>
        <v>-3.1298904538341048E-2</v>
      </c>
    </row>
    <row r="93" spans="1:13" x14ac:dyDescent="0.25">
      <c r="A93" s="11">
        <v>41180</v>
      </c>
      <c r="B93" s="10">
        <v>3.363</v>
      </c>
      <c r="C93" s="12">
        <f t="shared" si="5"/>
        <v>7.3069559668155745E-2</v>
      </c>
      <c r="E93" s="20">
        <v>41180</v>
      </c>
      <c r="F93" s="18">
        <v>3.1280000000000001</v>
      </c>
      <c r="G93" s="12">
        <f t="shared" si="6"/>
        <v>5.4644808743169087E-3</v>
      </c>
      <c r="H93" s="18">
        <v>3.1230000000000002</v>
      </c>
      <c r="I93" s="12">
        <f t="shared" si="7"/>
        <v>4.5030556449019736E-3</v>
      </c>
      <c r="J93" s="18">
        <v>3.1080000000000001</v>
      </c>
      <c r="K93" s="12">
        <f t="shared" si="8"/>
        <v>1.6113438607798559E-3</v>
      </c>
      <c r="L93" s="18">
        <v>3.0910000000000002</v>
      </c>
      <c r="M93" s="12">
        <f t="shared" si="9"/>
        <v>-1.2924071082390965E-3</v>
      </c>
    </row>
    <row r="94" spans="1:13" x14ac:dyDescent="0.25">
      <c r="A94" s="11">
        <v>41187</v>
      </c>
      <c r="B94" s="10">
        <v>3.234</v>
      </c>
      <c r="C94" s="12">
        <f t="shared" si="5"/>
        <v>-3.8358608385370203E-2</v>
      </c>
      <c r="E94" s="20">
        <v>41187</v>
      </c>
      <c r="F94" s="18">
        <v>3.1339999999999999</v>
      </c>
      <c r="G94" s="12">
        <f t="shared" si="6"/>
        <v>1.9181585677748667E-3</v>
      </c>
      <c r="H94" s="18">
        <v>3.1150000000000002</v>
      </c>
      <c r="I94" s="12">
        <f t="shared" si="7"/>
        <v>-2.5616394492475204E-3</v>
      </c>
      <c r="J94" s="18">
        <v>3.0939999999999999</v>
      </c>
      <c r="K94" s="12">
        <f t="shared" si="8"/>
        <v>-4.5045045045045799E-3</v>
      </c>
      <c r="L94" s="18">
        <v>3.07</v>
      </c>
      <c r="M94" s="12">
        <f t="shared" si="9"/>
        <v>-6.7939178259464094E-3</v>
      </c>
    </row>
    <row r="95" spans="1:13" x14ac:dyDescent="0.25">
      <c r="A95" s="11">
        <v>41194</v>
      </c>
      <c r="B95" s="10">
        <v>3.1629999999999998</v>
      </c>
      <c r="C95" s="12">
        <f t="shared" si="5"/>
        <v>-2.1954236239950579E-2</v>
      </c>
      <c r="E95" s="20">
        <v>41194</v>
      </c>
      <c r="F95" s="18">
        <v>3.2080000000000002</v>
      </c>
      <c r="G95" s="12">
        <f t="shared" si="6"/>
        <v>2.3611997447351721E-2</v>
      </c>
      <c r="H95" s="18">
        <v>3.1859999999999999</v>
      </c>
      <c r="I95" s="12">
        <f t="shared" si="7"/>
        <v>2.2792937399678883E-2</v>
      </c>
      <c r="J95" s="18">
        <v>3.1629999999999998</v>
      </c>
      <c r="K95" s="12">
        <f t="shared" si="8"/>
        <v>2.2301228183581108E-2</v>
      </c>
      <c r="L95" s="18">
        <v>3.1349999999999998</v>
      </c>
      <c r="M95" s="12">
        <f t="shared" si="9"/>
        <v>2.117263843648207E-2</v>
      </c>
    </row>
    <row r="96" spans="1:13" x14ac:dyDescent="0.25">
      <c r="A96" s="11">
        <v>41201</v>
      </c>
      <c r="B96" s="10">
        <v>2.8969999999999998</v>
      </c>
      <c r="C96" s="12">
        <f t="shared" si="5"/>
        <v>-8.4097375908947211E-2</v>
      </c>
      <c r="E96" s="20">
        <v>41201</v>
      </c>
      <c r="F96" s="18">
        <v>3.1840000000000002</v>
      </c>
      <c r="G96" s="12">
        <f t="shared" si="6"/>
        <v>-7.481296758104744E-3</v>
      </c>
      <c r="H96" s="18">
        <v>3.1680000000000001</v>
      </c>
      <c r="I96" s="12">
        <f t="shared" si="7"/>
        <v>-5.6497175141242296E-3</v>
      </c>
      <c r="J96" s="18">
        <v>3.1520000000000001</v>
      </c>
      <c r="K96" s="12">
        <f t="shared" si="8"/>
        <v>-3.4777110338285416E-3</v>
      </c>
      <c r="L96" s="18">
        <v>3.1309999999999998</v>
      </c>
      <c r="M96" s="12">
        <f t="shared" si="9"/>
        <v>-1.2759170653907509E-3</v>
      </c>
    </row>
    <row r="97" spans="1:13" x14ac:dyDescent="0.25">
      <c r="A97" s="11">
        <v>41208</v>
      </c>
      <c r="B97" s="10">
        <v>2.7170000000000001</v>
      </c>
      <c r="C97" s="12">
        <f t="shared" si="5"/>
        <v>-6.2133241284086892E-2</v>
      </c>
      <c r="E97" s="20">
        <v>41208</v>
      </c>
      <c r="F97" s="18">
        <v>3.0640000000000001</v>
      </c>
      <c r="G97" s="12">
        <f t="shared" si="6"/>
        <v>-3.7688442211055308E-2</v>
      </c>
      <c r="H97" s="18">
        <v>3.0489999999999999</v>
      </c>
      <c r="I97" s="12">
        <f t="shared" si="7"/>
        <v>-3.7563131313131382E-2</v>
      </c>
      <c r="J97" s="18">
        <v>3.0339999999999998</v>
      </c>
      <c r="K97" s="12">
        <f t="shared" si="8"/>
        <v>-3.7436548223350359E-2</v>
      </c>
      <c r="L97" s="18">
        <v>3.016</v>
      </c>
      <c r="M97" s="12">
        <f t="shared" si="9"/>
        <v>-3.6729479399552789E-2</v>
      </c>
    </row>
    <row r="98" spans="1:13" x14ac:dyDescent="0.25">
      <c r="A98" s="11">
        <v>41215</v>
      </c>
      <c r="B98" s="10">
        <v>2.73</v>
      </c>
      <c r="C98" s="12">
        <f t="shared" si="5"/>
        <v>4.7846889952152744E-3</v>
      </c>
      <c r="E98" s="20">
        <v>41215</v>
      </c>
      <c r="F98" s="18">
        <v>3.05</v>
      </c>
      <c r="G98" s="12">
        <f t="shared" si="6"/>
        <v>-4.5691906005222698E-3</v>
      </c>
      <c r="H98" s="18">
        <v>3.0409999999999999</v>
      </c>
      <c r="I98" s="12">
        <f t="shared" si="7"/>
        <v>-2.6238110856018392E-3</v>
      </c>
      <c r="J98" s="18">
        <v>3.028</v>
      </c>
      <c r="K98" s="12">
        <f t="shared" si="8"/>
        <v>-1.9775873434409305E-3</v>
      </c>
      <c r="L98" s="18">
        <v>3.01</v>
      </c>
      <c r="M98" s="12">
        <f t="shared" si="9"/>
        <v>-1.9893899204244786E-3</v>
      </c>
    </row>
    <row r="99" spans="1:13" x14ac:dyDescent="0.25">
      <c r="A99" s="11">
        <v>41222</v>
      </c>
      <c r="B99" s="10">
        <v>2.81</v>
      </c>
      <c r="C99" s="12">
        <f t="shared" si="5"/>
        <v>2.9304029304029332E-2</v>
      </c>
      <c r="E99" s="20">
        <v>41222</v>
      </c>
      <c r="F99" s="18">
        <v>2.992</v>
      </c>
      <c r="G99" s="12">
        <f t="shared" si="6"/>
        <v>-1.9016393442622896E-2</v>
      </c>
      <c r="H99" s="18">
        <v>2.9980000000000002</v>
      </c>
      <c r="I99" s="12">
        <f t="shared" si="7"/>
        <v>-1.4140085498191287E-2</v>
      </c>
      <c r="J99" s="18">
        <v>2.996</v>
      </c>
      <c r="K99" s="12">
        <f t="shared" si="8"/>
        <v>-1.0568031704095121E-2</v>
      </c>
      <c r="L99" s="18">
        <v>2.9860000000000002</v>
      </c>
      <c r="M99" s="12">
        <f t="shared" si="9"/>
        <v>-7.9734219269101594E-3</v>
      </c>
    </row>
    <row r="100" spans="1:13" x14ac:dyDescent="0.25">
      <c r="A100" s="11">
        <v>41229</v>
      </c>
      <c r="B100" s="10">
        <v>2.9209999999999998</v>
      </c>
      <c r="C100" s="12">
        <f t="shared" si="5"/>
        <v>3.9501779359430521E-2</v>
      </c>
      <c r="E100" s="20">
        <v>41229</v>
      </c>
      <c r="F100" s="18">
        <v>2.9820000000000002</v>
      </c>
      <c r="G100" s="12">
        <f t="shared" si="6"/>
        <v>-3.3422459893047416E-3</v>
      </c>
      <c r="H100" s="18">
        <v>2.99</v>
      </c>
      <c r="I100" s="12">
        <f t="shared" si="7"/>
        <v>-2.6684456304202826E-3</v>
      </c>
      <c r="J100" s="18">
        <v>2.99</v>
      </c>
      <c r="K100" s="12">
        <f t="shared" si="8"/>
        <v>-2.0026702269692201E-3</v>
      </c>
      <c r="L100" s="18">
        <v>2.984</v>
      </c>
      <c r="M100" s="12">
        <f t="shared" si="9"/>
        <v>-6.6979236436712111E-4</v>
      </c>
    </row>
    <row r="101" spans="1:13" x14ac:dyDescent="0.25">
      <c r="A101" s="11">
        <v>41236</v>
      </c>
      <c r="B101" s="10">
        <v>2.8180000000000001</v>
      </c>
      <c r="C101" s="12">
        <f t="shared" si="5"/>
        <v>-3.526189661074966E-2</v>
      </c>
      <c r="E101" s="20">
        <v>41236</v>
      </c>
      <c r="F101" s="18">
        <v>3.0659999999999998</v>
      </c>
      <c r="G101" s="12">
        <f t="shared" si="6"/>
        <v>2.8169014084506918E-2</v>
      </c>
      <c r="H101" s="18">
        <v>3.0750000000000002</v>
      </c>
      <c r="I101" s="12">
        <f t="shared" si="7"/>
        <v>2.8428093645484934E-2</v>
      </c>
      <c r="J101" s="18">
        <v>3.0739999999999998</v>
      </c>
      <c r="K101" s="12">
        <f t="shared" si="8"/>
        <v>2.8093645484949706E-2</v>
      </c>
      <c r="L101" s="18">
        <v>3.0630000000000002</v>
      </c>
      <c r="M101" s="12">
        <f t="shared" si="9"/>
        <v>2.6474530831099255E-2</v>
      </c>
    </row>
    <row r="102" spans="1:13" x14ac:dyDescent="0.25">
      <c r="A102" s="11">
        <v>41243</v>
      </c>
      <c r="B102" s="10">
        <v>2.7890000000000001</v>
      </c>
      <c r="C102" s="12">
        <f t="shared" si="5"/>
        <v>-1.0290986515259018E-2</v>
      </c>
      <c r="E102" s="20">
        <v>41243</v>
      </c>
      <c r="F102" s="18">
        <v>3.0289999999999999</v>
      </c>
      <c r="G102" s="12">
        <f t="shared" si="6"/>
        <v>-1.2067840834964098E-2</v>
      </c>
      <c r="H102" s="18">
        <v>3.0449999999999999</v>
      </c>
      <c r="I102" s="12">
        <f t="shared" si="7"/>
        <v>-9.7560975609756895E-3</v>
      </c>
      <c r="J102" s="18">
        <v>3.0489999999999999</v>
      </c>
      <c r="K102" s="12">
        <f t="shared" si="8"/>
        <v>-8.1327260897852676E-3</v>
      </c>
      <c r="L102" s="18">
        <v>3.0390000000000001</v>
      </c>
      <c r="M102" s="12">
        <f t="shared" si="9"/>
        <v>-7.8354554358472158E-3</v>
      </c>
    </row>
    <row r="103" spans="1:13" x14ac:dyDescent="0.25">
      <c r="A103" s="11">
        <v>41250</v>
      </c>
      <c r="B103" s="10">
        <v>2.681</v>
      </c>
      <c r="C103" s="12">
        <f t="shared" si="5"/>
        <v>-3.8723556830405195E-2</v>
      </c>
      <c r="E103" s="20">
        <v>41250</v>
      </c>
      <c r="F103" s="18">
        <v>2.9820000000000002</v>
      </c>
      <c r="G103" s="12">
        <f t="shared" si="6"/>
        <v>-1.5516672169032589E-2</v>
      </c>
      <c r="H103" s="18">
        <v>2.99</v>
      </c>
      <c r="I103" s="12">
        <f t="shared" si="7"/>
        <v>-1.8062397372742109E-2</v>
      </c>
      <c r="J103" s="18">
        <v>2.9849999999999999</v>
      </c>
      <c r="K103" s="12">
        <f t="shared" si="8"/>
        <v>-2.0990488684814713E-2</v>
      </c>
      <c r="L103" s="18">
        <v>2.9670000000000001</v>
      </c>
      <c r="M103" s="12">
        <f t="shared" si="9"/>
        <v>-2.3692003948667346E-2</v>
      </c>
    </row>
    <row r="104" spans="1:13" x14ac:dyDescent="0.25">
      <c r="A104" s="11">
        <v>41257</v>
      </c>
      <c r="B104" s="10">
        <v>2.645</v>
      </c>
      <c r="C104" s="12">
        <f t="shared" si="5"/>
        <v>-1.3427825438269314E-2</v>
      </c>
      <c r="E104" s="20">
        <v>41257</v>
      </c>
      <c r="F104" s="18">
        <v>2.9430000000000001</v>
      </c>
      <c r="G104" s="12">
        <f t="shared" si="6"/>
        <v>-1.3078470824949746E-2</v>
      </c>
      <c r="H104" s="18">
        <v>2.9449999999999998</v>
      </c>
      <c r="I104" s="12">
        <f t="shared" si="7"/>
        <v>-1.5050167224080391E-2</v>
      </c>
      <c r="J104" s="18">
        <v>2.9369999999999998</v>
      </c>
      <c r="K104" s="12">
        <f t="shared" si="8"/>
        <v>-1.6080402010050267E-2</v>
      </c>
      <c r="L104" s="18">
        <v>2.919</v>
      </c>
      <c r="M104" s="12">
        <f t="shared" si="9"/>
        <v>-1.6177957532861491E-2</v>
      </c>
    </row>
    <row r="105" spans="1:13" x14ac:dyDescent="0.25">
      <c r="A105" s="11">
        <v>41264</v>
      </c>
      <c r="B105" s="10">
        <v>2.7549999999999999</v>
      </c>
      <c r="C105" s="12">
        <f t="shared" si="5"/>
        <v>4.1587901701323204E-2</v>
      </c>
      <c r="E105" s="20">
        <v>41264</v>
      </c>
      <c r="F105" s="18">
        <v>3.0139999999999998</v>
      </c>
      <c r="G105" s="12">
        <f t="shared" si="6"/>
        <v>2.4125042473666234E-2</v>
      </c>
      <c r="H105" s="18">
        <v>3.008</v>
      </c>
      <c r="I105" s="12">
        <f t="shared" si="7"/>
        <v>2.1392190152801416E-2</v>
      </c>
      <c r="J105" s="18">
        <v>2.9929999999999999</v>
      </c>
      <c r="K105" s="12">
        <f t="shared" si="8"/>
        <v>1.9067075246850546E-2</v>
      </c>
      <c r="L105" s="18">
        <v>2.972</v>
      </c>
      <c r="M105" s="12">
        <f t="shared" si="9"/>
        <v>1.8156903048989356E-2</v>
      </c>
    </row>
    <row r="106" spans="1:13" x14ac:dyDescent="0.25">
      <c r="A106" s="11">
        <v>41271</v>
      </c>
      <c r="B106" s="10">
        <v>2.827</v>
      </c>
      <c r="C106" s="12">
        <f t="shared" si="5"/>
        <v>2.6134301270417448E-2</v>
      </c>
      <c r="E106" s="20">
        <v>41271</v>
      </c>
      <c r="F106" s="18">
        <v>3.0430000000000001</v>
      </c>
      <c r="G106" s="12">
        <f t="shared" si="6"/>
        <v>9.6217650962177707E-3</v>
      </c>
      <c r="H106" s="18">
        <v>3.024</v>
      </c>
      <c r="I106" s="12">
        <f t="shared" si="7"/>
        <v>5.3191489361702178E-3</v>
      </c>
      <c r="J106" s="18">
        <v>3.004</v>
      </c>
      <c r="K106" s="12">
        <f t="shared" si="8"/>
        <v>3.6752422318744142E-3</v>
      </c>
      <c r="L106" s="18">
        <v>2.98</v>
      </c>
      <c r="M106" s="12">
        <f t="shared" si="9"/>
        <v>2.6917900403768532E-3</v>
      </c>
    </row>
    <row r="107" spans="1:13" x14ac:dyDescent="0.25">
      <c r="A107" s="11">
        <v>41278</v>
      </c>
      <c r="B107" s="10">
        <v>2.8140000000000001</v>
      </c>
      <c r="C107" s="12">
        <f t="shared" si="5"/>
        <v>-4.5985143261407504E-3</v>
      </c>
      <c r="E107" s="20">
        <v>41278</v>
      </c>
      <c r="F107" s="18">
        <v>3.0339999999999998</v>
      </c>
      <c r="G107" s="12">
        <f t="shared" si="6"/>
        <v>-2.9576076240553206E-3</v>
      </c>
      <c r="H107" s="18">
        <v>3.02</v>
      </c>
      <c r="I107" s="12">
        <f t="shared" si="7"/>
        <v>-1.322751322751324E-3</v>
      </c>
      <c r="J107" s="18">
        <v>3.0019999999999998</v>
      </c>
      <c r="K107" s="12">
        <f t="shared" si="8"/>
        <v>-6.6577896138489477E-4</v>
      </c>
      <c r="L107" s="18">
        <v>3.0179999999999998</v>
      </c>
      <c r="M107" s="12">
        <f t="shared" si="9"/>
        <v>1.275167785234893E-2</v>
      </c>
    </row>
    <row r="108" spans="1:13" x14ac:dyDescent="0.25">
      <c r="A108" s="11">
        <v>41285</v>
      </c>
      <c r="B108" s="10">
        <v>2.8090000000000002</v>
      </c>
      <c r="C108" s="12">
        <f t="shared" si="5"/>
        <v>-1.7768301350390523E-3</v>
      </c>
      <c r="E108" s="20">
        <v>41285</v>
      </c>
      <c r="F108" s="18">
        <v>3.0449999999999999</v>
      </c>
      <c r="G108" s="12">
        <f t="shared" si="6"/>
        <v>3.6255767963085436E-3</v>
      </c>
      <c r="H108" s="18">
        <v>3.0310000000000001</v>
      </c>
      <c r="I108" s="12">
        <f t="shared" si="7"/>
        <v>3.642384105960305E-3</v>
      </c>
      <c r="J108" s="18">
        <v>3.0129999999999999</v>
      </c>
      <c r="K108" s="12">
        <f t="shared" si="8"/>
        <v>3.6642238507661965E-3</v>
      </c>
      <c r="L108" s="18">
        <v>3.0409999999999999</v>
      </c>
      <c r="M108" s="12">
        <f t="shared" si="9"/>
        <v>7.6209410205434506E-3</v>
      </c>
    </row>
    <row r="109" spans="1:13" x14ac:dyDescent="0.25">
      <c r="A109" s="11">
        <v>41292</v>
      </c>
      <c r="B109" s="10">
        <v>2.77</v>
      </c>
      <c r="C109" s="12">
        <f t="shared" si="5"/>
        <v>-1.3883944464222194E-2</v>
      </c>
      <c r="E109" s="20">
        <v>41292</v>
      </c>
      <c r="F109" s="18">
        <v>3.0289999999999999</v>
      </c>
      <c r="G109" s="12">
        <f t="shared" si="6"/>
        <v>-5.2545155993431901E-3</v>
      </c>
      <c r="H109" s="18">
        <v>3.0209999999999999</v>
      </c>
      <c r="I109" s="12">
        <f t="shared" si="7"/>
        <v>-3.299241174529934E-3</v>
      </c>
      <c r="J109" s="18">
        <v>3.0049999999999999</v>
      </c>
      <c r="K109" s="12">
        <f t="shared" si="8"/>
        <v>-2.655160969133756E-3</v>
      </c>
      <c r="L109" s="18">
        <v>3.0369999999999999</v>
      </c>
      <c r="M109" s="12">
        <f t="shared" si="9"/>
        <v>-1.3153567905294322E-3</v>
      </c>
    </row>
    <row r="110" spans="1:13" x14ac:dyDescent="0.25">
      <c r="A110" s="11">
        <v>41299</v>
      </c>
      <c r="B110" s="10">
        <v>2.88</v>
      </c>
      <c r="C110" s="12">
        <f t="shared" si="5"/>
        <v>3.9711191335740026E-2</v>
      </c>
      <c r="E110" s="20">
        <v>41299</v>
      </c>
      <c r="F110" s="18">
        <v>3.0720000000000001</v>
      </c>
      <c r="G110" s="12">
        <f t="shared" si="6"/>
        <v>1.4196104324859739E-2</v>
      </c>
      <c r="H110" s="18">
        <v>3.0619999999999998</v>
      </c>
      <c r="I110" s="12">
        <f t="shared" si="7"/>
        <v>1.3571665011585543E-2</v>
      </c>
      <c r="J110" s="18">
        <v>3.0430000000000001</v>
      </c>
      <c r="K110" s="12">
        <f t="shared" si="8"/>
        <v>1.2645590682196424E-2</v>
      </c>
      <c r="L110" s="18">
        <v>3.0750000000000002</v>
      </c>
      <c r="M110" s="12">
        <f t="shared" si="9"/>
        <v>1.2512347711557542E-2</v>
      </c>
    </row>
    <row r="111" spans="1:13" x14ac:dyDescent="0.25">
      <c r="A111" s="11">
        <v>41306</v>
      </c>
      <c r="B111" s="10">
        <v>3.032</v>
      </c>
      <c r="C111" s="12">
        <f t="shared" si="5"/>
        <v>5.2777777777777826E-2</v>
      </c>
      <c r="E111" s="20">
        <v>41306</v>
      </c>
      <c r="F111" s="18">
        <v>3.1160000000000001</v>
      </c>
      <c r="G111" s="12">
        <f t="shared" si="6"/>
        <v>1.4322916666666678E-2</v>
      </c>
      <c r="H111" s="18">
        <v>3.105</v>
      </c>
      <c r="I111" s="12">
        <f t="shared" si="7"/>
        <v>1.4043109079033361E-2</v>
      </c>
      <c r="J111" s="18">
        <v>3.1019999999999999</v>
      </c>
      <c r="K111" s="12">
        <f t="shared" si="8"/>
        <v>1.9388761091028498E-2</v>
      </c>
      <c r="L111" s="18">
        <v>3.1280000000000001</v>
      </c>
      <c r="M111" s="12">
        <f t="shared" si="9"/>
        <v>1.7235772357723556E-2</v>
      </c>
    </row>
    <row r="112" spans="1:13" x14ac:dyDescent="0.25">
      <c r="A112" s="11">
        <v>41313</v>
      </c>
      <c r="B112" s="10">
        <v>3.0569999999999999</v>
      </c>
      <c r="C112" s="12">
        <f t="shared" si="5"/>
        <v>8.2453825857519494E-3</v>
      </c>
      <c r="E112" s="20">
        <v>41313</v>
      </c>
      <c r="F112" s="18">
        <v>3.194</v>
      </c>
      <c r="G112" s="12">
        <f t="shared" si="6"/>
        <v>2.5032092426187369E-2</v>
      </c>
      <c r="H112" s="18">
        <v>3.169</v>
      </c>
      <c r="I112" s="12">
        <f t="shared" si="7"/>
        <v>2.0611916264090195E-2</v>
      </c>
      <c r="J112" s="18">
        <v>3.2040000000000002</v>
      </c>
      <c r="K112" s="12">
        <f t="shared" si="8"/>
        <v>3.2882011605415963E-2</v>
      </c>
      <c r="L112" s="18">
        <v>3.1749999999999998</v>
      </c>
      <c r="M112" s="12">
        <f t="shared" si="9"/>
        <v>1.5025575447570239E-2</v>
      </c>
    </row>
    <row r="113" spans="1:13" x14ac:dyDescent="0.25">
      <c r="A113" s="11">
        <v>41320</v>
      </c>
      <c r="B113" s="10">
        <v>3.0880000000000001</v>
      </c>
      <c r="C113" s="12">
        <f t="shared" si="5"/>
        <v>1.0140660778541099E-2</v>
      </c>
      <c r="E113" s="20">
        <v>41320</v>
      </c>
      <c r="F113" s="18">
        <v>3.2240000000000002</v>
      </c>
      <c r="G113" s="12">
        <f t="shared" si="6"/>
        <v>9.3926111458986373E-3</v>
      </c>
      <c r="H113" s="18">
        <v>3.21</v>
      </c>
      <c r="I113" s="12">
        <f t="shared" si="7"/>
        <v>1.2937835279267885E-2</v>
      </c>
      <c r="J113" s="18">
        <v>3.2559999999999998</v>
      </c>
      <c r="K113" s="12">
        <f t="shared" si="8"/>
        <v>1.6229712858926219E-2</v>
      </c>
      <c r="L113" s="18">
        <v>3.2250000000000001</v>
      </c>
      <c r="M113" s="12">
        <f t="shared" si="9"/>
        <v>1.5748031496063079E-2</v>
      </c>
    </row>
    <row r="114" spans="1:13" x14ac:dyDescent="0.25">
      <c r="A114" s="11">
        <v>41327</v>
      </c>
      <c r="B114" s="10">
        <v>3.0920000000000001</v>
      </c>
      <c r="C114" s="12">
        <f t="shared" si="5"/>
        <v>1.295336787564768E-3</v>
      </c>
      <c r="E114" s="20">
        <v>41327</v>
      </c>
      <c r="F114" s="18">
        <v>3.1339999999999999</v>
      </c>
      <c r="G114" s="12">
        <f t="shared" si="6"/>
        <v>-2.7915632754342525E-2</v>
      </c>
      <c r="H114" s="18">
        <v>3.133</v>
      </c>
      <c r="I114" s="12">
        <f t="shared" si="7"/>
        <v>-2.3987538940809957E-2</v>
      </c>
      <c r="J114" s="18">
        <v>3.202</v>
      </c>
      <c r="K114" s="12">
        <f t="shared" si="8"/>
        <v>-1.6584766584766531E-2</v>
      </c>
      <c r="L114" s="18">
        <v>3.173</v>
      </c>
      <c r="M114" s="12">
        <f t="shared" si="9"/>
        <v>-1.6124031007751952E-2</v>
      </c>
    </row>
    <row r="115" spans="1:13" x14ac:dyDescent="0.25">
      <c r="A115" s="11">
        <v>41334</v>
      </c>
      <c r="B115" s="10">
        <v>2.992</v>
      </c>
      <c r="C115" s="12">
        <f t="shared" si="5"/>
        <v>-3.2341526520051775E-2</v>
      </c>
      <c r="E115" s="20">
        <v>41334</v>
      </c>
      <c r="F115" s="18">
        <v>3.004</v>
      </c>
      <c r="G115" s="12">
        <f t="shared" si="6"/>
        <v>-4.1480536056158229E-2</v>
      </c>
      <c r="H115" s="18">
        <v>3.016</v>
      </c>
      <c r="I115" s="12">
        <f t="shared" si="7"/>
        <v>-3.7344398340248962E-2</v>
      </c>
      <c r="J115" s="18">
        <v>3.077</v>
      </c>
      <c r="K115" s="12">
        <f t="shared" si="8"/>
        <v>-3.9038101186758274E-2</v>
      </c>
      <c r="L115" s="18">
        <v>3.056</v>
      </c>
      <c r="M115" s="12">
        <f t="shared" si="9"/>
        <v>-3.6873621178695241E-2</v>
      </c>
    </row>
    <row r="116" spans="1:13" x14ac:dyDescent="0.25">
      <c r="A116" s="11">
        <v>41341</v>
      </c>
      <c r="B116" s="10">
        <v>2.9129999999999998</v>
      </c>
      <c r="C116" s="12">
        <f t="shared" si="5"/>
        <v>-2.6403743315508082E-2</v>
      </c>
      <c r="E116" s="20">
        <v>41341</v>
      </c>
      <c r="F116" s="18">
        <v>2.964</v>
      </c>
      <c r="G116" s="12">
        <f t="shared" si="6"/>
        <v>-1.3315579227696417E-2</v>
      </c>
      <c r="H116" s="18">
        <v>3.0489999999999999</v>
      </c>
      <c r="I116" s="12">
        <f t="shared" si="7"/>
        <v>1.094164456233419E-2</v>
      </c>
      <c r="J116" s="18">
        <v>3.0259999999999998</v>
      </c>
      <c r="K116" s="12">
        <f t="shared" si="8"/>
        <v>-1.6574585635359167E-2</v>
      </c>
      <c r="L116" s="18">
        <v>3.0129999999999999</v>
      </c>
      <c r="M116" s="12">
        <f t="shared" si="9"/>
        <v>-1.4070680628272299E-2</v>
      </c>
    </row>
    <row r="117" spans="1:13" x14ac:dyDescent="0.25">
      <c r="A117" s="11">
        <v>41348</v>
      </c>
      <c r="B117" s="10">
        <v>2.9089999999999998</v>
      </c>
      <c r="C117" s="12">
        <f t="shared" si="5"/>
        <v>-1.3731548232063179E-3</v>
      </c>
      <c r="E117" s="20">
        <v>41348</v>
      </c>
      <c r="F117" s="18">
        <v>2.9420000000000002</v>
      </c>
      <c r="G117" s="12">
        <f t="shared" si="6"/>
        <v>-7.4224021592441966E-3</v>
      </c>
      <c r="H117" s="18">
        <v>3.0350000000000001</v>
      </c>
      <c r="I117" s="12">
        <f t="shared" si="7"/>
        <v>-4.5916693998031459E-3</v>
      </c>
      <c r="J117" s="18">
        <v>3.0219999999999998</v>
      </c>
      <c r="K117" s="12">
        <f t="shared" si="8"/>
        <v>-1.321877065432916E-3</v>
      </c>
      <c r="L117" s="18">
        <v>3.0150000000000001</v>
      </c>
      <c r="M117" s="12">
        <f t="shared" si="9"/>
        <v>6.6379024228351274E-4</v>
      </c>
    </row>
    <row r="118" spans="1:13" x14ac:dyDescent="0.25">
      <c r="A118" s="11">
        <v>41355</v>
      </c>
      <c r="B118" s="10">
        <v>2.875</v>
      </c>
      <c r="C118" s="12">
        <f t="shared" si="5"/>
        <v>-1.1687865245788865E-2</v>
      </c>
      <c r="E118" s="20">
        <v>41355</v>
      </c>
      <c r="F118" s="18">
        <v>2.8929999999999998</v>
      </c>
      <c r="G118" s="12">
        <f t="shared" si="6"/>
        <v>-1.6655336505778509E-2</v>
      </c>
      <c r="H118" s="18">
        <v>2.9889999999999999</v>
      </c>
      <c r="I118" s="12">
        <f t="shared" si="7"/>
        <v>-1.5156507413509147E-2</v>
      </c>
      <c r="J118" s="18">
        <v>2.9830000000000001</v>
      </c>
      <c r="K118" s="12">
        <f t="shared" si="8"/>
        <v>-1.2905360688285806E-2</v>
      </c>
      <c r="L118" s="18">
        <v>2.9830000000000001</v>
      </c>
      <c r="M118" s="12">
        <f t="shared" si="9"/>
        <v>-1.0613598673300174E-2</v>
      </c>
    </row>
    <row r="119" spans="1:13" x14ac:dyDescent="0.25">
      <c r="A119" s="11">
        <v>41362</v>
      </c>
      <c r="B119" s="10">
        <v>2.911</v>
      </c>
      <c r="C119" s="12">
        <f t="shared" si="5"/>
        <v>1.2521739130434794E-2</v>
      </c>
      <c r="E119" s="20">
        <v>41362</v>
      </c>
      <c r="F119" s="18">
        <v>2.8969999999999998</v>
      </c>
      <c r="G119" s="12">
        <f t="shared" si="6"/>
        <v>1.3826477704804714E-3</v>
      </c>
      <c r="H119" s="18">
        <v>3.016</v>
      </c>
      <c r="I119" s="12">
        <f t="shared" si="7"/>
        <v>9.033121445299476E-3</v>
      </c>
      <c r="J119" s="18">
        <v>3.0070000000000001</v>
      </c>
      <c r="K119" s="12">
        <f t="shared" si="8"/>
        <v>8.0455916862219312E-3</v>
      </c>
      <c r="L119" s="18">
        <v>3.0049999999999999</v>
      </c>
      <c r="M119" s="12">
        <f t="shared" si="9"/>
        <v>7.375125712370029E-3</v>
      </c>
    </row>
    <row r="120" spans="1:13" x14ac:dyDescent="0.25">
      <c r="A120" s="11">
        <v>41369</v>
      </c>
      <c r="B120" s="10">
        <v>2.758</v>
      </c>
      <c r="C120" s="12">
        <f t="shared" si="5"/>
        <v>-5.2559257986946072E-2</v>
      </c>
      <c r="E120" s="20">
        <v>41369</v>
      </c>
      <c r="F120" s="18">
        <v>3.0059999999999998</v>
      </c>
      <c r="G120" s="12">
        <f t="shared" si="6"/>
        <v>3.762512944425267E-2</v>
      </c>
      <c r="H120" s="18">
        <v>2.9969999999999999</v>
      </c>
      <c r="I120" s="12">
        <f t="shared" si="7"/>
        <v>-6.2997347480106521E-3</v>
      </c>
      <c r="J120" s="18">
        <v>2.996</v>
      </c>
      <c r="K120" s="12">
        <f t="shared" si="8"/>
        <v>-3.6581310276023013E-3</v>
      </c>
      <c r="L120" s="18">
        <v>2.9969999999999999</v>
      </c>
      <c r="M120" s="12">
        <f t="shared" si="9"/>
        <v>-2.6622296173044952E-3</v>
      </c>
    </row>
    <row r="121" spans="1:13" x14ac:dyDescent="0.25">
      <c r="A121" s="11">
        <v>41376</v>
      </c>
      <c r="B121" s="10">
        <v>2.677</v>
      </c>
      <c r="C121" s="12">
        <f t="shared" si="5"/>
        <v>-2.9369108049311081E-2</v>
      </c>
      <c r="E121" s="20">
        <v>41376</v>
      </c>
      <c r="F121" s="18">
        <v>2.927</v>
      </c>
      <c r="G121" s="12">
        <f t="shared" si="6"/>
        <v>-2.6280771789753739E-2</v>
      </c>
      <c r="H121" s="18">
        <v>2.9220000000000002</v>
      </c>
      <c r="I121" s="12">
        <f t="shared" si="7"/>
        <v>-2.5025025025024936E-2</v>
      </c>
      <c r="J121" s="18">
        <v>2.9249999999999998</v>
      </c>
      <c r="K121" s="12">
        <f t="shared" si="8"/>
        <v>-2.3698264352470019E-2</v>
      </c>
      <c r="L121" s="18">
        <v>2.93</v>
      </c>
      <c r="M121" s="12">
        <f t="shared" si="9"/>
        <v>-2.2355689022355598E-2</v>
      </c>
    </row>
    <row r="122" spans="1:13" x14ac:dyDescent="0.25">
      <c r="A122" s="11">
        <v>41383</v>
      </c>
      <c r="B122" s="10">
        <v>2.6909999999999998</v>
      </c>
      <c r="C122" s="12">
        <f t="shared" si="5"/>
        <v>5.2297347777361938E-3</v>
      </c>
      <c r="E122" s="20">
        <v>41383</v>
      </c>
      <c r="F122" s="18">
        <v>2.7869999999999999</v>
      </c>
      <c r="G122" s="12">
        <f t="shared" si="6"/>
        <v>-4.7830543218312309E-2</v>
      </c>
      <c r="H122" s="18">
        <v>2.78</v>
      </c>
      <c r="I122" s="12">
        <f t="shared" si="7"/>
        <v>-4.8596851471594912E-2</v>
      </c>
      <c r="J122" s="18">
        <v>2.7850000000000001</v>
      </c>
      <c r="K122" s="12">
        <f t="shared" si="8"/>
        <v>-4.7863247863247756E-2</v>
      </c>
      <c r="L122" s="18">
        <v>2.7930000000000001</v>
      </c>
      <c r="M122" s="12">
        <f t="shared" si="9"/>
        <v>-4.6757679180887371E-2</v>
      </c>
    </row>
    <row r="123" spans="1:13" x14ac:dyDescent="0.25">
      <c r="A123" s="11">
        <v>41390</v>
      </c>
      <c r="B123" s="10">
        <v>2.6909999999999998</v>
      </c>
      <c r="C123" s="12">
        <f t="shared" si="5"/>
        <v>0</v>
      </c>
      <c r="E123" s="20">
        <v>41390</v>
      </c>
      <c r="F123" s="18">
        <v>2.8530000000000002</v>
      </c>
      <c r="G123" s="12">
        <f t="shared" si="6"/>
        <v>2.3681377825619045E-2</v>
      </c>
      <c r="H123" s="18">
        <v>2.8330000000000002</v>
      </c>
      <c r="I123" s="12">
        <f t="shared" si="7"/>
        <v>1.9064748201438986E-2</v>
      </c>
      <c r="J123" s="18">
        <v>2.835</v>
      </c>
      <c r="K123" s="12">
        <f t="shared" si="8"/>
        <v>1.7953321364452358E-2</v>
      </c>
      <c r="L123" s="18">
        <v>2.8410000000000002</v>
      </c>
      <c r="M123" s="12">
        <f t="shared" si="9"/>
        <v>1.7185821697099906E-2</v>
      </c>
    </row>
    <row r="124" spans="1:13" x14ac:dyDescent="0.25">
      <c r="A124" s="11">
        <v>41397</v>
      </c>
      <c r="B124" s="10">
        <v>2.6989999999999998</v>
      </c>
      <c r="C124" s="12">
        <f t="shared" si="5"/>
        <v>2.9728725380899321E-3</v>
      </c>
      <c r="E124" s="20">
        <v>41397</v>
      </c>
      <c r="F124" s="18">
        <v>2.8610000000000002</v>
      </c>
      <c r="G124" s="12">
        <f t="shared" si="6"/>
        <v>2.8040658955485478E-3</v>
      </c>
      <c r="H124" s="18">
        <v>2.8460000000000001</v>
      </c>
      <c r="I124" s="12">
        <f t="shared" si="7"/>
        <v>4.5887751500176136E-3</v>
      </c>
      <c r="J124" s="18">
        <v>2.8490000000000002</v>
      </c>
      <c r="K124" s="12">
        <f t="shared" si="8"/>
        <v>4.9382716049383548E-3</v>
      </c>
      <c r="L124" s="18">
        <v>2.8559999999999999</v>
      </c>
      <c r="M124" s="12">
        <f t="shared" si="9"/>
        <v>5.2798310454064343E-3</v>
      </c>
    </row>
    <row r="125" spans="1:13" x14ac:dyDescent="0.25">
      <c r="A125" s="11">
        <v>41404</v>
      </c>
      <c r="B125" s="10">
        <v>2.7669999999999999</v>
      </c>
      <c r="C125" s="12">
        <f t="shared" si="5"/>
        <v>2.5194516487588019E-2</v>
      </c>
      <c r="E125" s="20">
        <v>41404</v>
      </c>
      <c r="F125" s="18">
        <v>2.9209999999999998</v>
      </c>
      <c r="G125" s="12">
        <f t="shared" si="6"/>
        <v>2.0971688220901643E-2</v>
      </c>
      <c r="H125" s="18">
        <v>2.9140000000000001</v>
      </c>
      <c r="I125" s="12">
        <f t="shared" si="7"/>
        <v>2.3893183415319767E-2</v>
      </c>
      <c r="J125" s="18">
        <v>2.9169999999999998</v>
      </c>
      <c r="K125" s="12">
        <f t="shared" si="8"/>
        <v>2.3868023868023731E-2</v>
      </c>
      <c r="L125" s="18">
        <v>2.923</v>
      </c>
      <c r="M125" s="12">
        <f t="shared" si="9"/>
        <v>2.3459383753501463E-2</v>
      </c>
    </row>
    <row r="126" spans="1:13" x14ac:dyDescent="0.25">
      <c r="A126" s="11">
        <v>41411</v>
      </c>
      <c r="B126" s="10">
        <v>2.7770000000000001</v>
      </c>
      <c r="C126" s="12">
        <f t="shared" si="5"/>
        <v>3.6140224069390065E-3</v>
      </c>
      <c r="E126" s="20">
        <v>41411</v>
      </c>
      <c r="F126" s="18">
        <v>2.8980000000000001</v>
      </c>
      <c r="G126" s="12">
        <f t="shared" si="6"/>
        <v>-7.8740157480313901E-3</v>
      </c>
      <c r="H126" s="18">
        <v>2.891</v>
      </c>
      <c r="I126" s="12">
        <f t="shared" si="7"/>
        <v>-7.8929306794784243E-3</v>
      </c>
      <c r="J126" s="18">
        <v>2.8940000000000001</v>
      </c>
      <c r="K126" s="12">
        <f t="shared" si="8"/>
        <v>-7.8848131642096971E-3</v>
      </c>
      <c r="L126" s="18">
        <v>2.9020000000000001</v>
      </c>
      <c r="M126" s="12">
        <f t="shared" si="9"/>
        <v>-7.1843995894628485E-3</v>
      </c>
    </row>
    <row r="127" spans="1:13" x14ac:dyDescent="0.25">
      <c r="A127" s="11">
        <v>41418</v>
      </c>
      <c r="B127" s="10">
        <v>2.7469999999999999</v>
      </c>
      <c r="C127" s="12">
        <f t="shared" si="5"/>
        <v>-1.0803024846957237E-2</v>
      </c>
      <c r="E127" s="20">
        <v>41418</v>
      </c>
      <c r="F127" s="18">
        <v>2.8940000000000001</v>
      </c>
      <c r="G127" s="12">
        <f t="shared" si="6"/>
        <v>-1.3802622498274683E-3</v>
      </c>
      <c r="H127" s="18">
        <v>2.8879999999999999</v>
      </c>
      <c r="I127" s="12">
        <f t="shared" si="7"/>
        <v>-1.0377032168800116E-3</v>
      </c>
      <c r="J127" s="18">
        <v>2.8929999999999998</v>
      </c>
      <c r="K127" s="12">
        <f t="shared" si="8"/>
        <v>-3.4554250172782791E-4</v>
      </c>
      <c r="L127" s="18">
        <v>2.9009999999999998</v>
      </c>
      <c r="M127" s="12">
        <f t="shared" si="9"/>
        <v>-3.4458993797392625E-4</v>
      </c>
    </row>
    <row r="128" spans="1:13" x14ac:dyDescent="0.25">
      <c r="A128" s="11">
        <v>41425</v>
      </c>
      <c r="B128" s="10">
        <v>2.7069999999999999</v>
      </c>
      <c r="C128" s="12">
        <f t="shared" si="5"/>
        <v>-1.4561339643247193E-2</v>
      </c>
      <c r="E128" s="20">
        <v>41425</v>
      </c>
      <c r="F128" s="18">
        <v>2.8530000000000002</v>
      </c>
      <c r="G128" s="12">
        <f t="shared" si="6"/>
        <v>-1.4167242570836186E-2</v>
      </c>
      <c r="H128" s="18">
        <v>2.8490000000000002</v>
      </c>
      <c r="I128" s="12">
        <f t="shared" si="7"/>
        <v>-1.3504155124653637E-2</v>
      </c>
      <c r="J128" s="18">
        <v>2.8559999999999999</v>
      </c>
      <c r="K128" s="12">
        <f t="shared" si="8"/>
        <v>-1.2789491876944323E-2</v>
      </c>
      <c r="L128" s="18">
        <v>2.8650000000000002</v>
      </c>
      <c r="M128" s="12">
        <f t="shared" si="9"/>
        <v>-1.2409513960703064E-2</v>
      </c>
    </row>
    <row r="129" spans="1:13" x14ac:dyDescent="0.25">
      <c r="A129" s="11">
        <v>41432</v>
      </c>
      <c r="B129" s="10">
        <v>2.7519999999999998</v>
      </c>
      <c r="C129" s="12">
        <f t="shared" si="5"/>
        <v>1.6623568526043565E-2</v>
      </c>
      <c r="E129" s="20">
        <v>41432</v>
      </c>
      <c r="F129" s="18">
        <v>2.8639999999999999</v>
      </c>
      <c r="G129" s="12">
        <f t="shared" si="6"/>
        <v>3.8555906063791365E-3</v>
      </c>
      <c r="H129" s="18">
        <v>2.867</v>
      </c>
      <c r="I129" s="12">
        <f t="shared" si="7"/>
        <v>6.3180063180062456E-3</v>
      </c>
      <c r="J129" s="18">
        <v>2.8740000000000001</v>
      </c>
      <c r="K129" s="12">
        <f t="shared" si="8"/>
        <v>6.3025210084034448E-3</v>
      </c>
      <c r="L129" s="18">
        <v>2.8809999999999998</v>
      </c>
      <c r="M129" s="12">
        <f t="shared" si="9"/>
        <v>5.5846422338567429E-3</v>
      </c>
    </row>
    <row r="130" spans="1:13" x14ac:dyDescent="0.25">
      <c r="A130" s="11">
        <v>41439</v>
      </c>
      <c r="B130" s="10">
        <v>2.786</v>
      </c>
      <c r="C130" s="12">
        <f t="shared" si="5"/>
        <v>1.2354651162790791E-2</v>
      </c>
      <c r="E130" s="20">
        <v>41439</v>
      </c>
      <c r="F130" s="18">
        <v>2.9079999999999999</v>
      </c>
      <c r="G130" s="12">
        <f t="shared" si="6"/>
        <v>1.5363128491620127E-2</v>
      </c>
      <c r="H130" s="18">
        <v>2.91</v>
      </c>
      <c r="I130" s="12">
        <f t="shared" si="7"/>
        <v>1.4998256016742291E-2</v>
      </c>
      <c r="J130" s="18">
        <v>2.9159999999999999</v>
      </c>
      <c r="K130" s="12">
        <f t="shared" si="8"/>
        <v>1.4613778705636678E-2</v>
      </c>
      <c r="L130" s="18">
        <v>2.9220000000000002</v>
      </c>
      <c r="M130" s="12">
        <f t="shared" si="9"/>
        <v>1.423116973273182E-2</v>
      </c>
    </row>
    <row r="131" spans="1:13" x14ac:dyDescent="0.25">
      <c r="A131" s="11">
        <v>41446</v>
      </c>
      <c r="B131" s="10">
        <v>2.7690000000000001</v>
      </c>
      <c r="C131" s="12">
        <f t="shared" si="5"/>
        <v>-6.1019382627422484E-3</v>
      </c>
      <c r="E131" s="20">
        <v>41446</v>
      </c>
      <c r="F131" s="18">
        <v>2.92</v>
      </c>
      <c r="G131" s="12">
        <f t="shared" si="6"/>
        <v>4.1265474552957399E-3</v>
      </c>
      <c r="H131" s="18">
        <v>2.9209999999999998</v>
      </c>
      <c r="I131" s="12">
        <f t="shared" si="7"/>
        <v>3.7800687285222253E-3</v>
      </c>
      <c r="J131" s="18">
        <v>2.9260000000000002</v>
      </c>
      <c r="K131" s="12">
        <f t="shared" si="8"/>
        <v>3.4293552812072123E-3</v>
      </c>
      <c r="L131" s="18">
        <v>2.931</v>
      </c>
      <c r="M131" s="12">
        <f t="shared" si="9"/>
        <v>3.0800821355235785E-3</v>
      </c>
    </row>
    <row r="132" spans="1:13" x14ac:dyDescent="0.25">
      <c r="A132" s="11">
        <v>41453</v>
      </c>
      <c r="B132" s="10">
        <v>2.6549999999999998</v>
      </c>
      <c r="C132" s="12">
        <f t="shared" si="5"/>
        <v>-4.1170097508125794E-2</v>
      </c>
      <c r="E132" s="20">
        <v>41453</v>
      </c>
      <c r="F132" s="18">
        <v>2.867</v>
      </c>
      <c r="G132" s="12">
        <f t="shared" si="6"/>
        <v>-1.8150684931506827E-2</v>
      </c>
      <c r="H132" s="18">
        <v>2.863</v>
      </c>
      <c r="I132" s="12">
        <f t="shared" si="7"/>
        <v>-1.9856213625470673E-2</v>
      </c>
      <c r="J132" s="18">
        <v>2.8660000000000001</v>
      </c>
      <c r="K132" s="12">
        <f t="shared" si="8"/>
        <v>-2.0505809979494208E-2</v>
      </c>
      <c r="L132" s="18">
        <v>2.8690000000000002</v>
      </c>
      <c r="M132" s="12">
        <f t="shared" si="9"/>
        <v>-2.1153190037529798E-2</v>
      </c>
    </row>
    <row r="133" spans="1:13" x14ac:dyDescent="0.25">
      <c r="A133" s="11">
        <v>41460</v>
      </c>
      <c r="B133" s="10">
        <v>2.7469999999999999</v>
      </c>
      <c r="C133" s="12">
        <f t="shared" ref="C133:C196" si="10">(B133-B132)/B132</f>
        <v>3.4651600753295701E-2</v>
      </c>
      <c r="E133" s="20">
        <v>41460</v>
      </c>
      <c r="F133" s="18">
        <v>2.9289999999999998</v>
      </c>
      <c r="G133" s="12">
        <f t="shared" ref="G133:G196" si="11">(F133-F132)/F132</f>
        <v>2.1625392396232939E-2</v>
      </c>
      <c r="H133" s="18">
        <v>2.9340000000000002</v>
      </c>
      <c r="I133" s="12">
        <f t="shared" ref="I133:I196" si="12">(H133-H132)/H132</f>
        <v>2.4799161718477184E-2</v>
      </c>
      <c r="J133" s="18">
        <v>2.9380000000000002</v>
      </c>
      <c r="K133" s="12">
        <f t="shared" ref="K133:K196" si="13">(J133-J132)/J132</f>
        <v>2.5122121423586902E-2</v>
      </c>
      <c r="L133" s="18">
        <v>2.94</v>
      </c>
      <c r="M133" s="12">
        <f t="shared" ref="M133:M196" si="14">(L133-L132)/L132</f>
        <v>2.4747298710351941E-2</v>
      </c>
    </row>
    <row r="134" spans="1:13" x14ac:dyDescent="0.25">
      <c r="A134" s="11">
        <v>41467</v>
      </c>
      <c r="B134" s="10">
        <v>2.9350000000000001</v>
      </c>
      <c r="C134" s="12">
        <f t="shared" si="10"/>
        <v>6.8438296323261802E-2</v>
      </c>
      <c r="E134" s="20">
        <v>41467</v>
      </c>
      <c r="F134" s="18">
        <v>2.9980000000000002</v>
      </c>
      <c r="G134" s="12">
        <f t="shared" si="11"/>
        <v>2.3557528166609901E-2</v>
      </c>
      <c r="H134" s="18">
        <v>3.0030000000000001</v>
      </c>
      <c r="I134" s="12">
        <f t="shared" si="12"/>
        <v>2.3517382413087918E-2</v>
      </c>
      <c r="J134" s="18">
        <v>3.0059999999999998</v>
      </c>
      <c r="K134" s="12">
        <f t="shared" si="13"/>
        <v>2.3144996596323898E-2</v>
      </c>
      <c r="L134" s="18">
        <v>3.008</v>
      </c>
      <c r="M134" s="12">
        <f t="shared" si="14"/>
        <v>2.3129251700680292E-2</v>
      </c>
    </row>
    <row r="135" spans="1:13" x14ac:dyDescent="0.25">
      <c r="A135" s="11">
        <v>41474</v>
      </c>
      <c r="B135" s="10">
        <v>3.0150000000000001</v>
      </c>
      <c r="C135" s="12">
        <f t="shared" si="10"/>
        <v>2.7257240204429326E-2</v>
      </c>
      <c r="E135" s="20">
        <v>41474</v>
      </c>
      <c r="F135" s="18">
        <v>3.0670000000000002</v>
      </c>
      <c r="G135" s="12">
        <f t="shared" si="11"/>
        <v>2.3015343562374897E-2</v>
      </c>
      <c r="H135" s="18">
        <v>3.0670000000000002</v>
      </c>
      <c r="I135" s="12">
        <f t="shared" si="12"/>
        <v>2.1312021312021329E-2</v>
      </c>
      <c r="J135" s="18">
        <v>3.0649999999999999</v>
      </c>
      <c r="K135" s="12">
        <f t="shared" si="13"/>
        <v>1.9627411842980762E-2</v>
      </c>
      <c r="L135" s="18">
        <v>3.0630000000000002</v>
      </c>
      <c r="M135" s="12">
        <f t="shared" si="14"/>
        <v>1.8284574468085159E-2</v>
      </c>
    </row>
    <row r="136" spans="1:13" x14ac:dyDescent="0.25">
      <c r="A136" s="11">
        <v>41481</v>
      </c>
      <c r="B136" s="10">
        <v>2.9350000000000001</v>
      </c>
      <c r="C136" s="12">
        <f t="shared" si="10"/>
        <v>-2.6533996683250436E-2</v>
      </c>
      <c r="E136" s="20">
        <v>41481</v>
      </c>
      <c r="F136" s="18">
        <v>3.0459999999999998</v>
      </c>
      <c r="G136" s="12">
        <f t="shared" si="11"/>
        <v>-6.847081838930665E-3</v>
      </c>
      <c r="H136" s="18">
        <v>3.0489999999999999</v>
      </c>
      <c r="I136" s="12">
        <f t="shared" si="12"/>
        <v>-5.8689272905119785E-3</v>
      </c>
      <c r="J136" s="18">
        <v>3.05</v>
      </c>
      <c r="K136" s="12">
        <f t="shared" si="13"/>
        <v>-4.8939641109298935E-3</v>
      </c>
      <c r="L136" s="18">
        <v>3.048</v>
      </c>
      <c r="M136" s="12">
        <f t="shared" si="14"/>
        <v>-4.8971596474045457E-3</v>
      </c>
    </row>
    <row r="137" spans="1:13" x14ac:dyDescent="0.25">
      <c r="A137" s="11">
        <v>41488</v>
      </c>
      <c r="B137" s="10">
        <v>2.9630000000000001</v>
      </c>
      <c r="C137" s="12">
        <f t="shared" si="10"/>
        <v>9.5400340715502633E-3</v>
      </c>
      <c r="E137" s="20">
        <v>41488</v>
      </c>
      <c r="F137" s="18">
        <v>3.0470000000000002</v>
      </c>
      <c r="G137" s="12">
        <f t="shared" si="11"/>
        <v>3.2829940906117333E-4</v>
      </c>
      <c r="H137" s="18">
        <v>3.0510000000000002</v>
      </c>
      <c r="I137" s="12">
        <f t="shared" si="12"/>
        <v>6.5595277140053255E-4</v>
      </c>
      <c r="J137" s="18">
        <v>3.052</v>
      </c>
      <c r="K137" s="12">
        <f t="shared" si="13"/>
        <v>6.5573770491810619E-4</v>
      </c>
      <c r="L137" s="18">
        <v>3.0489999999999999</v>
      </c>
      <c r="M137" s="12">
        <f t="shared" si="14"/>
        <v>3.2808398950127617E-4</v>
      </c>
    </row>
    <row r="138" spans="1:13" x14ac:dyDescent="0.25">
      <c r="A138" s="11">
        <v>41495</v>
      </c>
      <c r="B138" s="10">
        <v>2.8660000000000001</v>
      </c>
      <c r="C138" s="12">
        <f t="shared" si="10"/>
        <v>-3.2737090786365164E-2</v>
      </c>
      <c r="E138" s="20">
        <v>41495</v>
      </c>
      <c r="F138" s="18">
        <v>2.9950000000000001</v>
      </c>
      <c r="G138" s="12">
        <f t="shared" si="11"/>
        <v>-1.7065966524450294E-2</v>
      </c>
      <c r="H138" s="18">
        <v>3.0019999999999998</v>
      </c>
      <c r="I138" s="12">
        <f t="shared" si="12"/>
        <v>-1.6060308095706449E-2</v>
      </c>
      <c r="J138" s="18">
        <v>3.0059999999999998</v>
      </c>
      <c r="K138" s="12">
        <f t="shared" si="13"/>
        <v>-1.5072083879423414E-2</v>
      </c>
      <c r="L138" s="18">
        <v>3.0059999999999998</v>
      </c>
      <c r="M138" s="12">
        <f t="shared" si="14"/>
        <v>-1.4102984585109921E-2</v>
      </c>
    </row>
    <row r="139" spans="1:13" x14ac:dyDescent="0.25">
      <c r="A139" s="11">
        <v>41502</v>
      </c>
      <c r="B139" s="10">
        <v>2.927</v>
      </c>
      <c r="C139" s="12">
        <f t="shared" si="10"/>
        <v>2.1284019539427754E-2</v>
      </c>
      <c r="E139" s="20">
        <v>41502</v>
      </c>
      <c r="F139" s="18">
        <v>3.0539999999999998</v>
      </c>
      <c r="G139" s="12">
        <f t="shared" si="11"/>
        <v>1.9699499165275365E-2</v>
      </c>
      <c r="H139" s="18">
        <v>3.0609999999999999</v>
      </c>
      <c r="I139" s="12">
        <f t="shared" si="12"/>
        <v>1.9653564290473075E-2</v>
      </c>
      <c r="J139" s="18">
        <v>3.0640000000000001</v>
      </c>
      <c r="K139" s="12">
        <f t="shared" si="13"/>
        <v>1.9294743845642143E-2</v>
      </c>
      <c r="L139" s="18">
        <v>3.0630000000000002</v>
      </c>
      <c r="M139" s="12">
        <f t="shared" si="14"/>
        <v>1.8962075848303523E-2</v>
      </c>
    </row>
    <row r="140" spans="1:13" x14ac:dyDescent="0.25">
      <c r="A140" s="11">
        <v>41509</v>
      </c>
      <c r="B140" s="10">
        <v>2.9470000000000001</v>
      </c>
      <c r="C140" s="12">
        <f t="shared" si="10"/>
        <v>6.8329347454731864E-3</v>
      </c>
      <c r="E140" s="20">
        <v>41509</v>
      </c>
      <c r="F140" s="18">
        <v>3.0779999999999998</v>
      </c>
      <c r="G140" s="12">
        <f t="shared" si="11"/>
        <v>7.8585461689587507E-3</v>
      </c>
      <c r="H140" s="18">
        <v>3.0840000000000001</v>
      </c>
      <c r="I140" s="12">
        <f t="shared" si="12"/>
        <v>7.5138843515191543E-3</v>
      </c>
      <c r="J140" s="18">
        <v>3.0840000000000001</v>
      </c>
      <c r="K140" s="12">
        <f t="shared" si="13"/>
        <v>6.5274151436031389E-3</v>
      </c>
      <c r="L140" s="18">
        <v>3.08</v>
      </c>
      <c r="M140" s="12">
        <f t="shared" si="14"/>
        <v>5.5501142670584076E-3</v>
      </c>
    </row>
    <row r="141" spans="1:13" x14ac:dyDescent="0.25">
      <c r="A141" s="11">
        <v>41516</v>
      </c>
      <c r="B141" s="10">
        <v>2.9820000000000002</v>
      </c>
      <c r="C141" s="12">
        <f t="shared" si="10"/>
        <v>1.1876484560570119E-2</v>
      </c>
      <c r="E141" s="20">
        <v>41516</v>
      </c>
      <c r="F141" s="18">
        <v>3.1549999999999998</v>
      </c>
      <c r="G141" s="12">
        <f t="shared" si="11"/>
        <v>2.5016244314489917E-2</v>
      </c>
      <c r="H141" s="18">
        <v>3.157</v>
      </c>
      <c r="I141" s="12">
        <f t="shared" si="12"/>
        <v>2.367055771725031E-2</v>
      </c>
      <c r="J141" s="18">
        <v>3.1539999999999999</v>
      </c>
      <c r="K141" s="12">
        <f t="shared" si="13"/>
        <v>2.2697795071335874E-2</v>
      </c>
      <c r="L141" s="18">
        <v>3.1469999999999998</v>
      </c>
      <c r="M141" s="12">
        <f t="shared" si="14"/>
        <v>2.1753246753246663E-2</v>
      </c>
    </row>
    <row r="142" spans="1:13" x14ac:dyDescent="0.25">
      <c r="A142" s="11">
        <v>41523</v>
      </c>
      <c r="B142" s="10">
        <v>2.9329999999999998</v>
      </c>
      <c r="C142" s="12">
        <f t="shared" si="10"/>
        <v>-1.6431924882629234E-2</v>
      </c>
      <c r="E142" s="20">
        <v>41523</v>
      </c>
      <c r="F142" s="18">
        <v>3.1469999999999998</v>
      </c>
      <c r="G142" s="12">
        <f t="shared" si="11"/>
        <v>-2.5356576862123636E-3</v>
      </c>
      <c r="H142" s="18">
        <v>3.1480000000000001</v>
      </c>
      <c r="I142" s="12">
        <f t="shared" si="12"/>
        <v>-2.8508077288564768E-3</v>
      </c>
      <c r="J142" s="18">
        <v>3.1429999999999998</v>
      </c>
      <c r="K142" s="12">
        <f t="shared" si="13"/>
        <v>-3.4876347495244519E-3</v>
      </c>
      <c r="L142" s="18">
        <v>3.137</v>
      </c>
      <c r="M142" s="12">
        <f t="shared" si="14"/>
        <v>-3.1776294884015848E-3</v>
      </c>
    </row>
    <row r="143" spans="1:13" x14ac:dyDescent="0.25">
      <c r="A143" s="11">
        <v>41530</v>
      </c>
      <c r="B143" s="10">
        <v>2.8239999999999998</v>
      </c>
      <c r="C143" s="12">
        <f t="shared" si="10"/>
        <v>-3.7163314012956014E-2</v>
      </c>
      <c r="E143" s="20">
        <v>41530</v>
      </c>
      <c r="F143" s="18">
        <v>3.097</v>
      </c>
      <c r="G143" s="12">
        <f t="shared" si="11"/>
        <v>-1.5888147442008206E-2</v>
      </c>
      <c r="H143" s="18">
        <v>3.097</v>
      </c>
      <c r="I143" s="12">
        <f t="shared" si="12"/>
        <v>-1.6200762388818346E-2</v>
      </c>
      <c r="J143" s="18">
        <v>3.09</v>
      </c>
      <c r="K143" s="12">
        <f t="shared" si="13"/>
        <v>-1.6862869869551364E-2</v>
      </c>
      <c r="L143" s="18">
        <v>3.0830000000000002</v>
      </c>
      <c r="M143" s="12">
        <f t="shared" si="14"/>
        <v>-1.7213898629263574E-2</v>
      </c>
    </row>
    <row r="144" spans="1:13" x14ac:dyDescent="0.25">
      <c r="A144" s="11">
        <v>41537</v>
      </c>
      <c r="B144" s="10">
        <v>2.7690000000000001</v>
      </c>
      <c r="C144" s="12">
        <f t="shared" si="10"/>
        <v>-1.9475920679886585E-2</v>
      </c>
      <c r="E144" s="20">
        <v>41537</v>
      </c>
      <c r="F144" s="18">
        <v>3.0219999999999998</v>
      </c>
      <c r="G144" s="12">
        <f t="shared" si="11"/>
        <v>-2.4216984178237061E-2</v>
      </c>
      <c r="H144" s="18">
        <v>3.0230000000000001</v>
      </c>
      <c r="I144" s="12">
        <f t="shared" si="12"/>
        <v>-2.3894091055860461E-2</v>
      </c>
      <c r="J144" s="18">
        <v>3.0190000000000001</v>
      </c>
      <c r="K144" s="12">
        <f t="shared" si="13"/>
        <v>-2.2977346278317066E-2</v>
      </c>
      <c r="L144" s="18">
        <v>3.0150000000000001</v>
      </c>
      <c r="M144" s="12">
        <f t="shared" si="14"/>
        <v>-2.2056438533895575E-2</v>
      </c>
    </row>
    <row r="145" spans="1:13" x14ac:dyDescent="0.25">
      <c r="A145" s="11">
        <v>41544</v>
      </c>
      <c r="B145" s="10">
        <v>2.7120000000000002</v>
      </c>
      <c r="C145" s="12">
        <f t="shared" si="10"/>
        <v>-2.0585048754062817E-2</v>
      </c>
      <c r="E145" s="20">
        <v>41544</v>
      </c>
      <c r="F145" s="18">
        <v>2.9769999999999999</v>
      </c>
      <c r="G145" s="12">
        <f t="shared" si="11"/>
        <v>-1.4890800794176019E-2</v>
      </c>
      <c r="H145" s="18">
        <v>2.9740000000000002</v>
      </c>
      <c r="I145" s="12">
        <f t="shared" si="12"/>
        <v>-1.620906384386369E-2</v>
      </c>
      <c r="J145" s="18">
        <v>2.9689999999999999</v>
      </c>
      <c r="K145" s="12">
        <f t="shared" si="13"/>
        <v>-1.656177542232536E-2</v>
      </c>
      <c r="L145" s="18">
        <v>2.9660000000000002</v>
      </c>
      <c r="M145" s="12">
        <f t="shared" si="14"/>
        <v>-1.6252072968490856E-2</v>
      </c>
    </row>
    <row r="146" spans="1:13" x14ac:dyDescent="0.25">
      <c r="A146" s="11">
        <v>41551</v>
      </c>
      <c r="B146" s="10">
        <v>2.67</v>
      </c>
      <c r="C146" s="12">
        <f t="shared" si="10"/>
        <v>-1.5486725663716909E-2</v>
      </c>
      <c r="E146" s="20">
        <v>41551</v>
      </c>
      <c r="F146" s="18">
        <v>2.984</v>
      </c>
      <c r="G146" s="12">
        <f t="shared" si="11"/>
        <v>2.3513604299630897E-3</v>
      </c>
      <c r="H146" s="18">
        <v>2.98</v>
      </c>
      <c r="I146" s="12">
        <f t="shared" si="12"/>
        <v>2.0174848688634104E-3</v>
      </c>
      <c r="J146" s="18">
        <v>2.976</v>
      </c>
      <c r="K146" s="12">
        <f t="shared" si="13"/>
        <v>2.3576961940047548E-3</v>
      </c>
      <c r="L146" s="18">
        <v>2.9710000000000001</v>
      </c>
      <c r="M146" s="12">
        <f t="shared" si="14"/>
        <v>1.6857720836142593E-3</v>
      </c>
    </row>
    <row r="147" spans="1:13" x14ac:dyDescent="0.25">
      <c r="A147" s="11">
        <v>41558</v>
      </c>
      <c r="B147" s="10">
        <v>2.706</v>
      </c>
      <c r="C147" s="12">
        <f t="shared" si="10"/>
        <v>1.3483146067415743E-2</v>
      </c>
      <c r="E147" s="20">
        <v>41558</v>
      </c>
      <c r="F147" s="18">
        <v>3.0329999999999999</v>
      </c>
      <c r="G147" s="12">
        <f t="shared" si="11"/>
        <v>1.642091152815011E-2</v>
      </c>
      <c r="H147" s="18">
        <v>3.028</v>
      </c>
      <c r="I147" s="12">
        <f t="shared" si="12"/>
        <v>1.6107382550335586E-2</v>
      </c>
      <c r="J147" s="18">
        <v>3.0249999999999999</v>
      </c>
      <c r="K147" s="12">
        <f t="shared" si="13"/>
        <v>1.6465053763440839E-2</v>
      </c>
      <c r="L147" s="18">
        <v>3.0209999999999999</v>
      </c>
      <c r="M147" s="12">
        <f t="shared" si="14"/>
        <v>1.6829350387074997E-2</v>
      </c>
    </row>
    <row r="148" spans="1:13" x14ac:dyDescent="0.25">
      <c r="A148" s="11">
        <v>41565</v>
      </c>
      <c r="B148" s="10">
        <v>2.722</v>
      </c>
      <c r="C148" s="12">
        <f t="shared" si="10"/>
        <v>5.9127864005912838E-3</v>
      </c>
      <c r="E148" s="20">
        <v>41565</v>
      </c>
      <c r="F148" s="18">
        <v>3.0230000000000001</v>
      </c>
      <c r="G148" s="12">
        <f t="shared" si="11"/>
        <v>-3.2970656116056009E-3</v>
      </c>
      <c r="H148" s="18">
        <v>3.0190000000000001</v>
      </c>
      <c r="I148" s="12">
        <f t="shared" si="12"/>
        <v>-2.9722589167767164E-3</v>
      </c>
      <c r="J148" s="18">
        <v>3.0179999999999998</v>
      </c>
      <c r="K148" s="12">
        <f t="shared" si="13"/>
        <v>-2.3140495867768982E-3</v>
      </c>
      <c r="L148" s="18">
        <v>3.016</v>
      </c>
      <c r="M148" s="12">
        <f t="shared" si="14"/>
        <v>-1.6550810989738145E-3</v>
      </c>
    </row>
    <row r="149" spans="1:13" x14ac:dyDescent="0.25">
      <c r="A149" s="11">
        <v>41572</v>
      </c>
      <c r="B149" s="10">
        <v>2.657</v>
      </c>
      <c r="C149" s="12">
        <f t="shared" si="10"/>
        <v>-2.3879500367376908E-2</v>
      </c>
      <c r="E149" s="20">
        <v>41572</v>
      </c>
      <c r="F149" s="18">
        <v>2.948</v>
      </c>
      <c r="G149" s="12">
        <f t="shared" si="11"/>
        <v>-2.4809791597750635E-2</v>
      </c>
      <c r="H149" s="18">
        <v>2.9470000000000001</v>
      </c>
      <c r="I149" s="12">
        <f t="shared" si="12"/>
        <v>-2.3848956608148415E-2</v>
      </c>
      <c r="J149" s="18">
        <v>2.95</v>
      </c>
      <c r="K149" s="12">
        <f t="shared" si="13"/>
        <v>-2.2531477799867337E-2</v>
      </c>
      <c r="L149" s="18">
        <v>2.9510000000000001</v>
      </c>
      <c r="M149" s="12">
        <f t="shared" si="14"/>
        <v>-2.1551724137931015E-2</v>
      </c>
    </row>
    <row r="150" spans="1:13" x14ac:dyDescent="0.25">
      <c r="A150" s="11">
        <v>41579</v>
      </c>
      <c r="B150" s="10">
        <v>2.6539999999999999</v>
      </c>
      <c r="C150" s="12">
        <f t="shared" si="10"/>
        <v>-1.1290929619872463E-3</v>
      </c>
      <c r="E150" s="20">
        <v>41579</v>
      </c>
      <c r="F150" s="18">
        <v>2.9510000000000001</v>
      </c>
      <c r="G150" s="12">
        <f t="shared" si="11"/>
        <v>1.0176390773406084E-3</v>
      </c>
      <c r="H150" s="18">
        <v>2.9489999999999998</v>
      </c>
      <c r="I150" s="12">
        <f t="shared" si="12"/>
        <v>6.7865626060392931E-4</v>
      </c>
      <c r="J150" s="18">
        <v>2.9510000000000001</v>
      </c>
      <c r="K150" s="12">
        <f t="shared" si="13"/>
        <v>3.389830508474203E-4</v>
      </c>
      <c r="L150" s="18">
        <v>2.95</v>
      </c>
      <c r="M150" s="12">
        <f t="shared" si="14"/>
        <v>-3.3886818027783458E-4</v>
      </c>
    </row>
    <row r="151" spans="1:13" x14ac:dyDescent="0.25">
      <c r="A151" s="11">
        <v>41586</v>
      </c>
      <c r="B151" s="10">
        <v>2.5880000000000001</v>
      </c>
      <c r="C151" s="12">
        <f t="shared" si="10"/>
        <v>-2.4868123587038372E-2</v>
      </c>
      <c r="E151" s="20">
        <v>41586</v>
      </c>
      <c r="F151" s="18">
        <v>2.8639999999999999</v>
      </c>
      <c r="G151" s="12">
        <f t="shared" si="11"/>
        <v>-2.948153168417492E-2</v>
      </c>
      <c r="H151" s="18">
        <v>2.8690000000000002</v>
      </c>
      <c r="I151" s="12">
        <f t="shared" si="12"/>
        <v>-2.7127839945744196E-2</v>
      </c>
      <c r="J151" s="18">
        <v>2.8730000000000002</v>
      </c>
      <c r="K151" s="12">
        <f t="shared" si="13"/>
        <v>-2.6431718061673957E-2</v>
      </c>
      <c r="L151" s="18">
        <v>2.8730000000000002</v>
      </c>
      <c r="M151" s="12">
        <f t="shared" si="14"/>
        <v>-2.6101694915254221E-2</v>
      </c>
    </row>
    <row r="152" spans="1:13" x14ac:dyDescent="0.25">
      <c r="A152" s="11">
        <v>41593</v>
      </c>
      <c r="B152" s="10">
        <v>2.6949999999999998</v>
      </c>
      <c r="C152" s="12">
        <f t="shared" si="10"/>
        <v>4.1344667697063277E-2</v>
      </c>
      <c r="E152" s="20">
        <v>41593</v>
      </c>
      <c r="F152" s="18">
        <v>2.9020000000000001</v>
      </c>
      <c r="G152" s="12">
        <f t="shared" si="11"/>
        <v>1.3268156424581096E-2</v>
      </c>
      <c r="H152" s="18">
        <v>2.9060000000000001</v>
      </c>
      <c r="I152" s="12">
        <f t="shared" si="12"/>
        <v>1.2896479609620048E-2</v>
      </c>
      <c r="J152" s="18">
        <v>2.9079999999999999</v>
      </c>
      <c r="K152" s="12">
        <f t="shared" si="13"/>
        <v>1.2182387747998501E-2</v>
      </c>
      <c r="L152" s="18">
        <v>2.907</v>
      </c>
      <c r="M152" s="12">
        <f t="shared" si="14"/>
        <v>1.1834319526627151E-2</v>
      </c>
    </row>
    <row r="153" spans="1:13" x14ac:dyDescent="0.25">
      <c r="A153" s="11">
        <v>41600</v>
      </c>
      <c r="B153" s="10">
        <v>2.7250000000000001</v>
      </c>
      <c r="C153" s="12">
        <f t="shared" si="10"/>
        <v>1.1131725417439797E-2</v>
      </c>
      <c r="E153" s="20">
        <v>41600</v>
      </c>
      <c r="F153" s="18">
        <v>2.9660000000000002</v>
      </c>
      <c r="G153" s="12">
        <f t="shared" si="11"/>
        <v>2.2053756030323932E-2</v>
      </c>
      <c r="H153" s="18">
        <v>2.9660000000000002</v>
      </c>
      <c r="I153" s="12">
        <f t="shared" si="12"/>
        <v>2.0646937370956658E-2</v>
      </c>
      <c r="J153" s="18">
        <v>2.9649999999999999</v>
      </c>
      <c r="K153" s="12">
        <f t="shared" si="13"/>
        <v>1.9601100412654726E-2</v>
      </c>
      <c r="L153" s="18">
        <v>2.96</v>
      </c>
      <c r="M153" s="12">
        <f t="shared" si="14"/>
        <v>1.8231854145166815E-2</v>
      </c>
    </row>
    <row r="154" spans="1:13" x14ac:dyDescent="0.25">
      <c r="A154" s="11">
        <v>41607</v>
      </c>
      <c r="B154" s="10">
        <v>2.7069999999999999</v>
      </c>
      <c r="C154" s="12">
        <f t="shared" si="10"/>
        <v>-6.6055045871560502E-3</v>
      </c>
      <c r="E154" s="20">
        <v>41607</v>
      </c>
      <c r="F154" s="18">
        <v>3.044</v>
      </c>
      <c r="G154" s="12">
        <f t="shared" si="11"/>
        <v>2.6298044504382955E-2</v>
      </c>
      <c r="H154" s="18">
        <v>3.0379999999999998</v>
      </c>
      <c r="I154" s="12">
        <f t="shared" si="12"/>
        <v>2.4275118004045724E-2</v>
      </c>
      <c r="J154" s="18">
        <v>3.0350000000000001</v>
      </c>
      <c r="K154" s="12">
        <f t="shared" si="13"/>
        <v>2.3608768971332305E-2</v>
      </c>
      <c r="L154" s="18">
        <v>3.03</v>
      </c>
      <c r="M154" s="12">
        <f t="shared" si="14"/>
        <v>2.3648648648648594E-2</v>
      </c>
    </row>
    <row r="155" spans="1:13" x14ac:dyDescent="0.25">
      <c r="A155" s="11">
        <v>41614</v>
      </c>
      <c r="B155" s="10">
        <v>2.7269999999999999</v>
      </c>
      <c r="C155" s="12">
        <f t="shared" si="10"/>
        <v>7.3882526782416032E-3</v>
      </c>
      <c r="E155" s="20">
        <v>41614</v>
      </c>
      <c r="F155" s="18">
        <v>3.056</v>
      </c>
      <c r="G155" s="12">
        <f t="shared" si="11"/>
        <v>3.9421813403416588E-3</v>
      </c>
      <c r="H155" s="18">
        <v>3.056</v>
      </c>
      <c r="I155" s="12">
        <f t="shared" si="12"/>
        <v>5.9249506254115333E-3</v>
      </c>
      <c r="J155" s="18">
        <v>3.052</v>
      </c>
      <c r="K155" s="12">
        <f t="shared" si="13"/>
        <v>5.6013179571663598E-3</v>
      </c>
      <c r="L155" s="18">
        <v>3.0430000000000001</v>
      </c>
      <c r="M155" s="12">
        <f t="shared" si="14"/>
        <v>4.2904290429044041E-3</v>
      </c>
    </row>
    <row r="156" spans="1:13" x14ac:dyDescent="0.25">
      <c r="A156" s="11">
        <v>41621</v>
      </c>
      <c r="B156" s="10">
        <v>2.665</v>
      </c>
      <c r="C156" s="12">
        <f t="shared" si="10"/>
        <v>-2.2735606894022674E-2</v>
      </c>
      <c r="E156" s="20">
        <v>41621</v>
      </c>
      <c r="F156" s="18">
        <v>3.0019999999999998</v>
      </c>
      <c r="G156" s="12">
        <f t="shared" si="11"/>
        <v>-1.7670157068062915E-2</v>
      </c>
      <c r="H156" s="18">
        <v>3.0019999999999998</v>
      </c>
      <c r="I156" s="12">
        <f t="shared" si="12"/>
        <v>-1.7670157068062915E-2</v>
      </c>
      <c r="J156" s="18">
        <v>3</v>
      </c>
      <c r="K156" s="12">
        <f t="shared" si="13"/>
        <v>-1.7038007863695952E-2</v>
      </c>
      <c r="L156" s="18">
        <v>2.9929999999999999</v>
      </c>
      <c r="M156" s="12">
        <f t="shared" si="14"/>
        <v>-1.6431153466973467E-2</v>
      </c>
    </row>
    <row r="157" spans="1:13" x14ac:dyDescent="0.25">
      <c r="A157" s="11">
        <v>41628</v>
      </c>
      <c r="B157" s="10">
        <v>2.714</v>
      </c>
      <c r="C157" s="12">
        <f t="shared" si="10"/>
        <v>1.8386491557223238E-2</v>
      </c>
      <c r="E157" s="20">
        <v>41628</v>
      </c>
      <c r="F157" s="18">
        <v>3.0139999999999998</v>
      </c>
      <c r="G157" s="12">
        <f t="shared" si="11"/>
        <v>3.9973351099267191E-3</v>
      </c>
      <c r="H157" s="18">
        <v>3.0110000000000001</v>
      </c>
      <c r="I157" s="12">
        <f t="shared" si="12"/>
        <v>2.9980013324451505E-3</v>
      </c>
      <c r="J157" s="18">
        <v>3.0049999999999999</v>
      </c>
      <c r="K157" s="12">
        <f t="shared" si="13"/>
        <v>1.6666666666666312E-3</v>
      </c>
      <c r="L157" s="18">
        <v>2.996</v>
      </c>
      <c r="M157" s="12">
        <f t="shared" si="14"/>
        <v>1.0023387905112309E-3</v>
      </c>
    </row>
    <row r="158" spans="1:13" x14ac:dyDescent="0.25">
      <c r="A158" s="11">
        <v>41635</v>
      </c>
      <c r="B158" s="10">
        <v>2.823</v>
      </c>
      <c r="C158" s="12">
        <f t="shared" si="10"/>
        <v>4.0162122328666172E-2</v>
      </c>
      <c r="E158" s="20">
        <v>41635</v>
      </c>
      <c r="F158" s="18">
        <v>3.089</v>
      </c>
      <c r="G158" s="12">
        <f t="shared" si="11"/>
        <v>2.4883875248838814E-2</v>
      </c>
      <c r="H158" s="18">
        <v>3.0720000000000001</v>
      </c>
      <c r="I158" s="12">
        <f t="shared" si="12"/>
        <v>2.025905014945199E-2</v>
      </c>
      <c r="J158" s="18">
        <v>3.0619999999999998</v>
      </c>
      <c r="K158" s="12">
        <f t="shared" si="13"/>
        <v>1.8968386023294488E-2</v>
      </c>
      <c r="L158" s="18">
        <v>3.05</v>
      </c>
      <c r="M158" s="12">
        <f t="shared" si="14"/>
        <v>1.8024032042723574E-2</v>
      </c>
    </row>
    <row r="159" spans="1:13" x14ac:dyDescent="0.25">
      <c r="A159" s="11">
        <v>41642</v>
      </c>
      <c r="B159" s="10">
        <v>2.7530000000000001</v>
      </c>
      <c r="C159" s="12">
        <f t="shared" si="10"/>
        <v>-2.4796315975912094E-2</v>
      </c>
      <c r="E159" s="20">
        <v>41642</v>
      </c>
      <c r="F159" s="18">
        <v>3.02</v>
      </c>
      <c r="G159" s="12">
        <f t="shared" si="11"/>
        <v>-2.2337325995467772E-2</v>
      </c>
      <c r="H159" s="18">
        <v>3.0049999999999999</v>
      </c>
      <c r="I159" s="12">
        <f t="shared" si="12"/>
        <v>-2.1809895833333388E-2</v>
      </c>
      <c r="J159" s="18">
        <v>2.9940000000000002</v>
      </c>
      <c r="K159" s="12">
        <f t="shared" si="13"/>
        <v>-2.2207707380796742E-2</v>
      </c>
      <c r="L159" s="18">
        <v>2.9849999999999999</v>
      </c>
      <c r="M159" s="12">
        <f t="shared" si="14"/>
        <v>-2.131147540983605E-2</v>
      </c>
    </row>
    <row r="160" spans="1:13" x14ac:dyDescent="0.25">
      <c r="A160" s="11">
        <v>41649</v>
      </c>
      <c r="B160" s="10">
        <v>2.6850000000000001</v>
      </c>
      <c r="C160" s="12">
        <f t="shared" si="10"/>
        <v>-2.4700326916091558E-2</v>
      </c>
      <c r="E160" s="20">
        <v>41649</v>
      </c>
      <c r="F160" s="18">
        <v>2.9420000000000002</v>
      </c>
      <c r="G160" s="12">
        <f t="shared" si="11"/>
        <v>-2.5827814569536374E-2</v>
      </c>
      <c r="H160" s="18">
        <v>2.9249999999999998</v>
      </c>
      <c r="I160" s="12">
        <f t="shared" si="12"/>
        <v>-2.662229617304495E-2</v>
      </c>
      <c r="J160" s="18">
        <v>2.9129999999999998</v>
      </c>
      <c r="K160" s="12">
        <f t="shared" si="13"/>
        <v>-2.7054108216433E-2</v>
      </c>
      <c r="L160" s="18">
        <v>2.9049999999999998</v>
      </c>
      <c r="M160" s="12">
        <f t="shared" si="14"/>
        <v>-2.6800670016750443E-2</v>
      </c>
    </row>
    <row r="161" spans="1:13" x14ac:dyDescent="0.25">
      <c r="A161" s="11">
        <v>41656</v>
      </c>
      <c r="B161" s="10">
        <v>2.6360000000000001</v>
      </c>
      <c r="C161" s="12">
        <f t="shared" si="10"/>
        <v>-1.8249534450651743E-2</v>
      </c>
      <c r="E161" s="20">
        <v>41656</v>
      </c>
      <c r="F161" s="18">
        <v>2.9710000000000001</v>
      </c>
      <c r="G161" s="12">
        <f t="shared" si="11"/>
        <v>9.8572399728075848E-3</v>
      </c>
      <c r="H161" s="18">
        <v>2.93</v>
      </c>
      <c r="I161" s="12">
        <f t="shared" si="12"/>
        <v>1.709401709401825E-3</v>
      </c>
      <c r="J161" s="18">
        <v>2.907</v>
      </c>
      <c r="K161" s="12">
        <f t="shared" si="13"/>
        <v>-2.0597322348094005E-3</v>
      </c>
      <c r="L161" s="18">
        <v>2.895</v>
      </c>
      <c r="M161" s="12">
        <f t="shared" si="14"/>
        <v>-3.4423407917383089E-3</v>
      </c>
    </row>
    <row r="162" spans="1:13" x14ac:dyDescent="0.25">
      <c r="A162" s="11">
        <v>41663</v>
      </c>
      <c r="B162" s="10">
        <v>2.6869999999999998</v>
      </c>
      <c r="C162" s="12">
        <f t="shared" si="10"/>
        <v>1.9347496206373181E-2</v>
      </c>
      <c r="E162" s="20">
        <v>41663</v>
      </c>
      <c r="F162" s="18">
        <v>3.0670000000000002</v>
      </c>
      <c r="G162" s="12">
        <f t="shared" si="11"/>
        <v>3.2312352743184142E-2</v>
      </c>
      <c r="H162" s="18">
        <v>2.9849999999999999</v>
      </c>
      <c r="I162" s="12">
        <f t="shared" si="12"/>
        <v>1.8771331058020379E-2</v>
      </c>
      <c r="J162" s="18">
        <v>2.9470000000000001</v>
      </c>
      <c r="K162" s="12">
        <f t="shared" si="13"/>
        <v>1.3759889920880645E-2</v>
      </c>
      <c r="L162" s="18">
        <v>2.9289999999999998</v>
      </c>
      <c r="M162" s="12">
        <f t="shared" si="14"/>
        <v>1.1744386873920487E-2</v>
      </c>
    </row>
    <row r="163" spans="1:13" x14ac:dyDescent="0.25">
      <c r="A163" s="11">
        <v>41670</v>
      </c>
      <c r="B163" s="10">
        <v>2.6749999999999998</v>
      </c>
      <c r="C163" s="12">
        <f t="shared" si="10"/>
        <v>-4.4659471529586939E-3</v>
      </c>
      <c r="E163" s="20">
        <v>41670</v>
      </c>
      <c r="F163" s="18">
        <v>3.1779999999999999</v>
      </c>
      <c r="G163" s="12">
        <f t="shared" si="11"/>
        <v>3.6191718291489976E-2</v>
      </c>
      <c r="H163" s="18">
        <v>3.0009999999999999</v>
      </c>
      <c r="I163" s="12">
        <f t="shared" si="12"/>
        <v>5.3601340033500883E-3</v>
      </c>
      <c r="J163" s="18">
        <v>2.9510000000000001</v>
      </c>
      <c r="K163" s="12">
        <f t="shared" si="13"/>
        <v>1.3573125212080093E-3</v>
      </c>
      <c r="L163" s="18">
        <v>2.931</v>
      </c>
      <c r="M163" s="12">
        <f t="shared" si="14"/>
        <v>6.8282690338006963E-4</v>
      </c>
    </row>
    <row r="164" spans="1:13" x14ac:dyDescent="0.25">
      <c r="A164" s="11">
        <v>41677</v>
      </c>
      <c r="B164" s="10">
        <v>2.6909999999999998</v>
      </c>
      <c r="C164" s="12">
        <f t="shared" si="10"/>
        <v>5.9813084112149591E-3</v>
      </c>
      <c r="E164" s="20">
        <v>41677</v>
      </c>
      <c r="F164" s="18">
        <v>3.0070000000000001</v>
      </c>
      <c r="G164" s="12">
        <f t="shared" si="11"/>
        <v>-5.3807426054122032E-2</v>
      </c>
      <c r="H164" s="18">
        <v>2.944</v>
      </c>
      <c r="I164" s="12">
        <f t="shared" si="12"/>
        <v>-1.8993668777074289E-2</v>
      </c>
      <c r="J164" s="18">
        <v>2.9249999999999998</v>
      </c>
      <c r="K164" s="12">
        <f t="shared" si="13"/>
        <v>-8.810572687224752E-3</v>
      </c>
      <c r="L164" s="18">
        <v>2.9140000000000001</v>
      </c>
      <c r="M164" s="12">
        <f t="shared" si="14"/>
        <v>-5.8000682360968628E-3</v>
      </c>
    </row>
    <row r="165" spans="1:13" x14ac:dyDescent="0.25">
      <c r="A165" s="11">
        <v>41684</v>
      </c>
      <c r="B165" s="10">
        <v>2.798</v>
      </c>
      <c r="C165" s="12">
        <f t="shared" si="10"/>
        <v>3.9762170196952884E-2</v>
      </c>
      <c r="E165" s="20">
        <v>41684</v>
      </c>
      <c r="F165" s="18">
        <v>3.03</v>
      </c>
      <c r="G165" s="12">
        <f t="shared" si="11"/>
        <v>7.6488194213500784E-3</v>
      </c>
      <c r="H165" s="18">
        <v>2.9889999999999999</v>
      </c>
      <c r="I165" s="12">
        <f t="shared" si="12"/>
        <v>1.5285326086956498E-2</v>
      </c>
      <c r="J165" s="18">
        <v>2.9750000000000001</v>
      </c>
      <c r="K165" s="12">
        <f t="shared" si="13"/>
        <v>1.7094017094017186E-2</v>
      </c>
      <c r="L165" s="18">
        <v>2.968</v>
      </c>
      <c r="M165" s="12">
        <f t="shared" si="14"/>
        <v>1.8531228551818744E-2</v>
      </c>
    </row>
    <row r="166" spans="1:13" x14ac:dyDescent="0.25">
      <c r="A166" s="11">
        <v>41691</v>
      </c>
      <c r="B166" s="10">
        <v>2.879</v>
      </c>
      <c r="C166" s="12">
        <f t="shared" si="10"/>
        <v>2.8949249463902774E-2</v>
      </c>
      <c r="E166" s="20">
        <v>41691</v>
      </c>
      <c r="F166" s="18">
        <v>3.1309999999999998</v>
      </c>
      <c r="G166" s="12">
        <f t="shared" si="11"/>
        <v>3.3333333333333326E-2</v>
      </c>
      <c r="H166" s="18">
        <v>3.06</v>
      </c>
      <c r="I166" s="12">
        <f t="shared" si="12"/>
        <v>2.3753763800602266E-2</v>
      </c>
      <c r="J166" s="18">
        <v>3.0329999999999999</v>
      </c>
      <c r="K166" s="12">
        <f t="shared" si="13"/>
        <v>1.9495798319327674E-2</v>
      </c>
      <c r="L166" s="18">
        <v>3.0190000000000001</v>
      </c>
      <c r="M166" s="12">
        <f t="shared" si="14"/>
        <v>1.7183288409703557E-2</v>
      </c>
    </row>
    <row r="167" spans="1:13" x14ac:dyDescent="0.25">
      <c r="A167" s="11">
        <v>41698</v>
      </c>
      <c r="B167" s="10">
        <v>2.831</v>
      </c>
      <c r="C167" s="12">
        <f t="shared" si="10"/>
        <v>-1.6672455713789527E-2</v>
      </c>
      <c r="E167" s="20">
        <v>41698</v>
      </c>
      <c r="F167" s="18">
        <v>3.0990000000000002</v>
      </c>
      <c r="G167" s="12">
        <f t="shared" si="11"/>
        <v>-1.0220376876397185E-2</v>
      </c>
      <c r="H167" s="18">
        <v>3.0289999999999999</v>
      </c>
      <c r="I167" s="12">
        <f t="shared" si="12"/>
        <v>-1.0130718954248412E-2</v>
      </c>
      <c r="J167" s="18">
        <v>3.0030000000000001</v>
      </c>
      <c r="K167" s="12">
        <f t="shared" si="13"/>
        <v>-9.8911968348169479E-3</v>
      </c>
      <c r="L167" s="18">
        <v>2.99</v>
      </c>
      <c r="M167" s="12">
        <f t="shared" si="14"/>
        <v>-9.6058297449486303E-3</v>
      </c>
    </row>
    <row r="168" spans="1:13" x14ac:dyDescent="0.25">
      <c r="A168" s="11">
        <v>41705</v>
      </c>
      <c r="B168" s="10">
        <v>2.8090000000000002</v>
      </c>
      <c r="C168" s="12">
        <f t="shared" si="10"/>
        <v>-7.771105616389897E-3</v>
      </c>
      <c r="E168" s="20">
        <v>41705</v>
      </c>
      <c r="F168" s="18">
        <v>3.0219999999999998</v>
      </c>
      <c r="G168" s="12">
        <f t="shared" si="11"/>
        <v>-2.4846724749919457E-2</v>
      </c>
      <c r="H168" s="18">
        <v>2.9849999999999999</v>
      </c>
      <c r="I168" s="12">
        <f t="shared" si="12"/>
        <v>-1.4526246285902952E-2</v>
      </c>
      <c r="J168" s="18">
        <v>2.968</v>
      </c>
      <c r="K168" s="12">
        <f t="shared" si="13"/>
        <v>-1.1655011655011703E-2</v>
      </c>
      <c r="L168" s="18">
        <v>2.9590000000000001</v>
      </c>
      <c r="M168" s="12">
        <f t="shared" si="14"/>
        <v>-1.0367892976588675E-2</v>
      </c>
    </row>
    <row r="169" spans="1:13" x14ac:dyDescent="0.25">
      <c r="A169" s="11">
        <v>41712</v>
      </c>
      <c r="B169" s="10">
        <v>2.7909999999999999</v>
      </c>
      <c r="C169" s="12">
        <f t="shared" si="10"/>
        <v>-6.4079743681026121E-3</v>
      </c>
      <c r="E169" s="20">
        <v>41712</v>
      </c>
      <c r="F169" s="18">
        <v>2.9430000000000001</v>
      </c>
      <c r="G169" s="12">
        <f t="shared" si="11"/>
        <v>-2.6141628060886744E-2</v>
      </c>
      <c r="H169" s="18">
        <v>2.927</v>
      </c>
      <c r="I169" s="12">
        <f t="shared" si="12"/>
        <v>-1.9430485762143998E-2</v>
      </c>
      <c r="J169" s="18">
        <v>2.919</v>
      </c>
      <c r="K169" s="12">
        <f t="shared" si="13"/>
        <v>-1.650943396226413E-2</v>
      </c>
      <c r="L169" s="18">
        <v>2.9159999999999999</v>
      </c>
      <c r="M169" s="12">
        <f t="shared" si="14"/>
        <v>-1.4531936465022016E-2</v>
      </c>
    </row>
    <row r="170" spans="1:13" x14ac:dyDescent="0.25">
      <c r="A170" s="11">
        <v>41719</v>
      </c>
      <c r="B170" s="10">
        <v>2.722</v>
      </c>
      <c r="C170" s="12">
        <f t="shared" si="10"/>
        <v>-2.472232174847723E-2</v>
      </c>
      <c r="E170" s="20">
        <v>41719</v>
      </c>
      <c r="F170" s="18">
        <v>2.91</v>
      </c>
      <c r="G170" s="12">
        <f t="shared" si="11"/>
        <v>-1.1213047910295589E-2</v>
      </c>
      <c r="H170" s="18">
        <v>2.9</v>
      </c>
      <c r="I170" s="12">
        <f t="shared" si="12"/>
        <v>-9.2244619063888405E-3</v>
      </c>
      <c r="J170" s="18">
        <v>2.8940000000000001</v>
      </c>
      <c r="K170" s="12">
        <f t="shared" si="13"/>
        <v>-8.564576909900621E-3</v>
      </c>
      <c r="L170" s="18">
        <v>2.8919999999999999</v>
      </c>
      <c r="M170" s="12">
        <f t="shared" si="14"/>
        <v>-8.230452674897127E-3</v>
      </c>
    </row>
    <row r="171" spans="1:13" x14ac:dyDescent="0.25">
      <c r="A171" s="11">
        <v>41726</v>
      </c>
      <c r="B171" s="10">
        <v>2.6989999999999998</v>
      </c>
      <c r="C171" s="12">
        <f t="shared" si="10"/>
        <v>-8.4496693607641928E-3</v>
      </c>
      <c r="E171" s="20">
        <v>41726</v>
      </c>
      <c r="F171" s="18">
        <v>2.9319999999999999</v>
      </c>
      <c r="G171" s="12">
        <f t="shared" si="11"/>
        <v>7.5601374570446033E-3</v>
      </c>
      <c r="H171" s="18">
        <v>2.9279999999999999</v>
      </c>
      <c r="I171" s="12">
        <f t="shared" si="12"/>
        <v>9.6551724137931127E-3</v>
      </c>
      <c r="J171" s="18">
        <v>2.9220000000000002</v>
      </c>
      <c r="K171" s="12">
        <f t="shared" si="13"/>
        <v>9.6751900483759579E-3</v>
      </c>
      <c r="L171" s="18">
        <v>2.92</v>
      </c>
      <c r="M171" s="12">
        <f t="shared" si="14"/>
        <v>9.681881051175666E-3</v>
      </c>
    </row>
    <row r="172" spans="1:13" x14ac:dyDescent="0.25">
      <c r="A172" s="11">
        <v>41733</v>
      </c>
      <c r="B172" s="10">
        <v>2.7090000000000001</v>
      </c>
      <c r="C172" s="12">
        <f t="shared" si="10"/>
        <v>3.705075954057144E-3</v>
      </c>
      <c r="E172" s="20">
        <v>41733</v>
      </c>
      <c r="F172" s="18">
        <v>2.9</v>
      </c>
      <c r="G172" s="12">
        <f t="shared" si="11"/>
        <v>-1.0914051841746259E-2</v>
      </c>
      <c r="H172" s="18">
        <v>2.895</v>
      </c>
      <c r="I172" s="12">
        <f t="shared" si="12"/>
        <v>-1.1270491803278661E-2</v>
      </c>
      <c r="J172" s="18">
        <v>2.8919999999999999</v>
      </c>
      <c r="K172" s="12">
        <f t="shared" si="13"/>
        <v>-1.0266940451745464E-2</v>
      </c>
      <c r="L172" s="18">
        <v>2.891</v>
      </c>
      <c r="M172" s="12">
        <f t="shared" si="14"/>
        <v>-9.9315068493150398E-3</v>
      </c>
    </row>
    <row r="173" spans="1:13" x14ac:dyDescent="0.25">
      <c r="A173" s="11">
        <v>41740</v>
      </c>
      <c r="B173" s="10">
        <v>2.8860000000000001</v>
      </c>
      <c r="C173" s="12">
        <f t="shared" si="10"/>
        <v>6.5337763012181638E-2</v>
      </c>
      <c r="E173" s="20">
        <v>41740</v>
      </c>
      <c r="F173" s="18">
        <v>2.93</v>
      </c>
      <c r="G173" s="12">
        <f t="shared" si="11"/>
        <v>1.0344827586206983E-2</v>
      </c>
      <c r="H173" s="18">
        <v>2.9249999999999998</v>
      </c>
      <c r="I173" s="12">
        <f t="shared" si="12"/>
        <v>1.0362694300518067E-2</v>
      </c>
      <c r="J173" s="18">
        <v>2.923</v>
      </c>
      <c r="K173" s="12">
        <f t="shared" si="13"/>
        <v>1.0719225449515955E-2</v>
      </c>
      <c r="L173" s="18">
        <v>2.9209999999999998</v>
      </c>
      <c r="M173" s="12">
        <f t="shared" si="14"/>
        <v>1.0377032168799656E-2</v>
      </c>
    </row>
    <row r="174" spans="1:13" x14ac:dyDescent="0.25">
      <c r="A174" s="11">
        <v>41747</v>
      </c>
      <c r="B174" s="10">
        <v>2.9710000000000001</v>
      </c>
      <c r="C174" s="12">
        <f t="shared" si="10"/>
        <v>2.9452529452529439E-2</v>
      </c>
      <c r="E174" s="20">
        <v>41747</v>
      </c>
      <c r="F174" s="18">
        <v>2.996</v>
      </c>
      <c r="G174" s="12">
        <f t="shared" si="11"/>
        <v>2.2525597269624515E-2</v>
      </c>
      <c r="H174" s="18">
        <v>2.988</v>
      </c>
      <c r="I174" s="12">
        <f t="shared" si="12"/>
        <v>2.1538461538461597E-2</v>
      </c>
      <c r="J174" s="18">
        <v>2.9820000000000002</v>
      </c>
      <c r="K174" s="12">
        <f t="shared" si="13"/>
        <v>2.0184741703729102E-2</v>
      </c>
      <c r="L174" s="18">
        <v>2.9769999999999999</v>
      </c>
      <c r="M174" s="12">
        <f t="shared" si="14"/>
        <v>1.9171516603902792E-2</v>
      </c>
    </row>
    <row r="175" spans="1:13" x14ac:dyDescent="0.25">
      <c r="A175" s="11">
        <v>41754</v>
      </c>
      <c r="B175" s="10">
        <v>3.0009999999999999</v>
      </c>
      <c r="C175" s="12">
        <f t="shared" si="10"/>
        <v>1.009761023224497E-2</v>
      </c>
      <c r="E175" s="20">
        <v>41754</v>
      </c>
      <c r="F175" s="18">
        <v>2.9990000000000001</v>
      </c>
      <c r="G175" s="12">
        <f t="shared" si="11"/>
        <v>1.0013351134846842E-3</v>
      </c>
      <c r="H175" s="18">
        <v>2.9929999999999999</v>
      </c>
      <c r="I175" s="12">
        <f t="shared" si="12"/>
        <v>1.6733601070950113E-3</v>
      </c>
      <c r="J175" s="18">
        <v>2.9870000000000001</v>
      </c>
      <c r="K175" s="12">
        <f t="shared" si="13"/>
        <v>1.676727028839669E-3</v>
      </c>
      <c r="L175" s="18">
        <v>2.9830000000000001</v>
      </c>
      <c r="M175" s="12">
        <f t="shared" si="14"/>
        <v>2.0154517971112621E-3</v>
      </c>
    </row>
    <row r="176" spans="1:13" x14ac:dyDescent="0.25">
      <c r="A176" s="11">
        <v>41761</v>
      </c>
      <c r="B176" s="10">
        <v>2.883</v>
      </c>
      <c r="C176" s="12">
        <f t="shared" si="10"/>
        <v>-3.9320226591136251E-2</v>
      </c>
      <c r="E176" s="20">
        <v>41761</v>
      </c>
      <c r="F176" s="18">
        <v>2.9390000000000001</v>
      </c>
      <c r="G176" s="12">
        <f t="shared" si="11"/>
        <v>-2.0006668889629892E-2</v>
      </c>
      <c r="H176" s="18">
        <v>2.9329999999999998</v>
      </c>
      <c r="I176" s="12">
        <f t="shared" si="12"/>
        <v>-2.0046775810223873E-2</v>
      </c>
      <c r="J176" s="18">
        <v>2.9289999999999998</v>
      </c>
      <c r="K176" s="12">
        <f t="shared" si="13"/>
        <v>-1.9417475728155432E-2</v>
      </c>
      <c r="L176" s="18">
        <v>2.927</v>
      </c>
      <c r="M176" s="12">
        <f t="shared" si="14"/>
        <v>-1.8773047267851173E-2</v>
      </c>
    </row>
    <row r="177" spans="1:13" x14ac:dyDescent="0.25">
      <c r="A177" s="11">
        <v>41768</v>
      </c>
      <c r="B177" s="10">
        <v>2.8319999999999999</v>
      </c>
      <c r="C177" s="12">
        <f t="shared" si="10"/>
        <v>-1.7689906347554685E-2</v>
      </c>
      <c r="E177" s="20">
        <v>41768</v>
      </c>
      <c r="F177" s="18">
        <v>2.91</v>
      </c>
      <c r="G177" s="12">
        <f t="shared" si="11"/>
        <v>-9.8673018033344391E-3</v>
      </c>
      <c r="H177" s="18">
        <v>2.9049999999999998</v>
      </c>
      <c r="I177" s="12">
        <f t="shared" si="12"/>
        <v>-9.5465393794749494E-3</v>
      </c>
      <c r="J177" s="18">
        <v>2.9020000000000001</v>
      </c>
      <c r="K177" s="12">
        <f t="shared" si="13"/>
        <v>-9.218163195629802E-3</v>
      </c>
      <c r="L177" s="18">
        <v>2.9020000000000001</v>
      </c>
      <c r="M177" s="12">
        <f t="shared" si="14"/>
        <v>-8.5411684318414446E-3</v>
      </c>
    </row>
    <row r="178" spans="1:13" x14ac:dyDescent="0.25">
      <c r="A178" s="11">
        <v>41775</v>
      </c>
      <c r="B178" s="10">
        <v>2.8639999999999999</v>
      </c>
      <c r="C178" s="12">
        <f t="shared" si="10"/>
        <v>1.1299435028248598E-2</v>
      </c>
      <c r="E178" s="20">
        <v>41775</v>
      </c>
      <c r="F178" s="18">
        <v>2.9460000000000002</v>
      </c>
      <c r="G178" s="12">
        <f t="shared" si="11"/>
        <v>1.2371134020618567E-2</v>
      </c>
      <c r="H178" s="18">
        <v>2.94</v>
      </c>
      <c r="I178" s="12">
        <f t="shared" si="12"/>
        <v>1.2048192771084387E-2</v>
      </c>
      <c r="J178" s="18">
        <v>2.9369999999999998</v>
      </c>
      <c r="K178" s="12">
        <f t="shared" si="13"/>
        <v>1.2060647829083285E-2</v>
      </c>
      <c r="L178" s="18">
        <v>2.9350000000000001</v>
      </c>
      <c r="M178" s="12">
        <f t="shared" si="14"/>
        <v>1.137146795313574E-2</v>
      </c>
    </row>
    <row r="179" spans="1:13" x14ac:dyDescent="0.25">
      <c r="A179" s="11">
        <v>41782</v>
      </c>
      <c r="B179" s="10">
        <v>2.8959999999999999</v>
      </c>
      <c r="C179" s="12">
        <f t="shared" si="10"/>
        <v>1.117318435754191E-2</v>
      </c>
      <c r="E179" s="20">
        <v>41782</v>
      </c>
      <c r="F179" s="18">
        <v>2.95</v>
      </c>
      <c r="G179" s="12">
        <f t="shared" si="11"/>
        <v>1.3577732518669393E-3</v>
      </c>
      <c r="H179" s="18">
        <v>2.948</v>
      </c>
      <c r="I179" s="12">
        <f t="shared" si="12"/>
        <v>2.7210884353741521E-3</v>
      </c>
      <c r="J179" s="18">
        <v>2.9470000000000001</v>
      </c>
      <c r="K179" s="12">
        <f t="shared" si="13"/>
        <v>3.4048348655091017E-3</v>
      </c>
      <c r="L179" s="18">
        <v>2.948</v>
      </c>
      <c r="M179" s="12">
        <f t="shared" si="14"/>
        <v>4.4293015332197271E-3</v>
      </c>
    </row>
    <row r="180" spans="1:13" x14ac:dyDescent="0.25">
      <c r="A180" s="11">
        <v>41789</v>
      </c>
      <c r="B180" s="10">
        <v>2.8530000000000002</v>
      </c>
      <c r="C180" s="12">
        <f t="shared" si="10"/>
        <v>-1.4848066298342439E-2</v>
      </c>
      <c r="E180" s="20">
        <v>41789</v>
      </c>
      <c r="F180" s="18">
        <v>2.919</v>
      </c>
      <c r="G180" s="12">
        <f t="shared" si="11"/>
        <v>-1.0508474576271232E-2</v>
      </c>
      <c r="H180" s="18">
        <v>2.919</v>
      </c>
      <c r="I180" s="12">
        <f t="shared" si="12"/>
        <v>-9.8371777476254797E-3</v>
      </c>
      <c r="J180" s="18">
        <v>2.9220000000000002</v>
      </c>
      <c r="K180" s="12">
        <f t="shared" si="13"/>
        <v>-8.4832032575500212E-3</v>
      </c>
      <c r="L180" s="18">
        <v>2.9249999999999998</v>
      </c>
      <c r="M180" s="12">
        <f t="shared" si="14"/>
        <v>-7.8018995929444133E-3</v>
      </c>
    </row>
    <row r="181" spans="1:13" x14ac:dyDescent="0.25">
      <c r="A181" s="11">
        <v>41796</v>
      </c>
      <c r="B181" s="10">
        <v>2.819</v>
      </c>
      <c r="C181" s="12">
        <f t="shared" si="10"/>
        <v>-1.1917280056081406E-2</v>
      </c>
      <c r="E181" s="20">
        <v>41796</v>
      </c>
      <c r="F181" s="18">
        <v>2.8679999999999999</v>
      </c>
      <c r="G181" s="12">
        <f t="shared" si="11"/>
        <v>-1.7471736896197382E-2</v>
      </c>
      <c r="H181" s="18">
        <v>2.8759999999999999</v>
      </c>
      <c r="I181" s="12">
        <f t="shared" si="12"/>
        <v>-1.473107228502917E-2</v>
      </c>
      <c r="J181" s="18">
        <v>2.8820000000000001</v>
      </c>
      <c r="K181" s="12">
        <f t="shared" si="13"/>
        <v>-1.3689253935660518E-2</v>
      </c>
      <c r="L181" s="18">
        <v>2.8879999999999999</v>
      </c>
      <c r="M181" s="12">
        <f t="shared" si="14"/>
        <v>-1.2649572649572624E-2</v>
      </c>
    </row>
    <row r="182" spans="1:13" x14ac:dyDescent="0.25">
      <c r="A182" s="11">
        <v>41803</v>
      </c>
      <c r="B182" s="10">
        <v>2.8820000000000001</v>
      </c>
      <c r="C182" s="12">
        <f t="shared" si="10"/>
        <v>2.2348350478893286E-2</v>
      </c>
      <c r="E182" s="20">
        <v>41803</v>
      </c>
      <c r="F182" s="18">
        <v>2.931</v>
      </c>
      <c r="G182" s="12">
        <f t="shared" si="11"/>
        <v>2.196652719665278E-2</v>
      </c>
      <c r="H182" s="18">
        <v>2.9380000000000002</v>
      </c>
      <c r="I182" s="12">
        <f t="shared" si="12"/>
        <v>2.15577190542421E-2</v>
      </c>
      <c r="J182" s="18">
        <v>2.9449999999999998</v>
      </c>
      <c r="K182" s="12">
        <f t="shared" si="13"/>
        <v>2.1859819569743137E-2</v>
      </c>
      <c r="L182" s="18">
        <v>2.95</v>
      </c>
      <c r="M182" s="12">
        <f t="shared" si="14"/>
        <v>2.1468144044321427E-2</v>
      </c>
    </row>
    <row r="183" spans="1:13" x14ac:dyDescent="0.25">
      <c r="A183" s="11">
        <v>41810</v>
      </c>
      <c r="B183" s="10">
        <v>2.952</v>
      </c>
      <c r="C183" s="12">
        <f t="shared" si="10"/>
        <v>2.4288688410825758E-2</v>
      </c>
      <c r="E183" s="20">
        <v>41810</v>
      </c>
      <c r="F183" s="18">
        <v>3.0270000000000001</v>
      </c>
      <c r="G183" s="12">
        <f t="shared" si="11"/>
        <v>3.2753326509723672E-2</v>
      </c>
      <c r="H183" s="18">
        <v>3.0339999999999998</v>
      </c>
      <c r="I183" s="12">
        <f t="shared" si="12"/>
        <v>3.2675289312457327E-2</v>
      </c>
      <c r="J183" s="18">
        <v>3.0419999999999998</v>
      </c>
      <c r="K183" s="12">
        <f t="shared" si="13"/>
        <v>3.2937181663837002E-2</v>
      </c>
      <c r="L183" s="18">
        <v>3.0489999999999999</v>
      </c>
      <c r="M183" s="12">
        <f t="shared" si="14"/>
        <v>3.355932203389822E-2</v>
      </c>
    </row>
    <row r="184" spans="1:13" x14ac:dyDescent="0.25">
      <c r="A184" s="11">
        <v>41817</v>
      </c>
      <c r="B184" s="10">
        <v>2.9319999999999999</v>
      </c>
      <c r="C184" s="12">
        <f t="shared" si="10"/>
        <v>-6.7750677506775133E-3</v>
      </c>
      <c r="E184" s="20">
        <v>41817</v>
      </c>
      <c r="F184" s="18">
        <v>3.0230000000000001</v>
      </c>
      <c r="G184" s="12">
        <f t="shared" si="11"/>
        <v>-1.3214403700033048E-3</v>
      </c>
      <c r="H184" s="18">
        <v>3.03</v>
      </c>
      <c r="I184" s="12">
        <f t="shared" si="12"/>
        <v>-1.3183915622940025E-3</v>
      </c>
      <c r="J184" s="18">
        <v>3.0369999999999999</v>
      </c>
      <c r="K184" s="12">
        <f t="shared" si="13"/>
        <v>-1.6436554898093011E-3</v>
      </c>
      <c r="L184" s="18">
        <v>3.044</v>
      </c>
      <c r="M184" s="12">
        <f t="shared" si="14"/>
        <v>-1.639881928501113E-3</v>
      </c>
    </row>
    <row r="185" spans="1:13" x14ac:dyDescent="0.25">
      <c r="A185" s="11">
        <v>41824</v>
      </c>
      <c r="B185" s="10">
        <v>2.887</v>
      </c>
      <c r="C185" s="12">
        <f t="shared" si="10"/>
        <v>-1.5347885402455639E-2</v>
      </c>
      <c r="E185" s="20">
        <v>41824</v>
      </c>
      <c r="F185" s="18">
        <v>2.956</v>
      </c>
      <c r="G185" s="12">
        <f t="shared" si="11"/>
        <v>-2.2163413827323907E-2</v>
      </c>
      <c r="H185" s="18">
        <v>2.9670000000000001</v>
      </c>
      <c r="I185" s="12">
        <f t="shared" si="12"/>
        <v>-2.0792079207920703E-2</v>
      </c>
      <c r="J185" s="18">
        <v>2.9780000000000002</v>
      </c>
      <c r="K185" s="12">
        <f t="shared" si="13"/>
        <v>-1.9427066183733858E-2</v>
      </c>
      <c r="L185" s="18">
        <v>2.9870000000000001</v>
      </c>
      <c r="M185" s="12">
        <f t="shared" si="14"/>
        <v>-1.8725361366622846E-2</v>
      </c>
    </row>
    <row r="186" spans="1:13" x14ac:dyDescent="0.25">
      <c r="A186" s="11">
        <v>41831</v>
      </c>
      <c r="B186" s="10">
        <v>2.8290000000000002</v>
      </c>
      <c r="C186" s="12">
        <f t="shared" si="10"/>
        <v>-2.0090058884655291E-2</v>
      </c>
      <c r="E186" s="20">
        <v>41831</v>
      </c>
      <c r="F186" s="18">
        <v>2.883</v>
      </c>
      <c r="G186" s="12">
        <f t="shared" si="11"/>
        <v>-2.4695534506089294E-2</v>
      </c>
      <c r="H186" s="18">
        <v>2.8959999999999999</v>
      </c>
      <c r="I186" s="12">
        <f t="shared" si="12"/>
        <v>-2.392989551735766E-2</v>
      </c>
      <c r="J186" s="18">
        <v>2.9079999999999999</v>
      </c>
      <c r="K186" s="12">
        <f t="shared" si="13"/>
        <v>-2.3505708529214332E-2</v>
      </c>
      <c r="L186" s="18">
        <v>2.919</v>
      </c>
      <c r="M186" s="12">
        <f t="shared" si="14"/>
        <v>-2.2765316370940761E-2</v>
      </c>
    </row>
    <row r="187" spans="1:13" x14ac:dyDescent="0.25">
      <c r="A187" s="11">
        <v>41838</v>
      </c>
      <c r="B187" s="10">
        <v>2.786</v>
      </c>
      <c r="C187" s="12">
        <f t="shared" si="10"/>
        <v>-1.5199717214563502E-2</v>
      </c>
      <c r="E187" s="20">
        <v>41838</v>
      </c>
      <c r="F187" s="18">
        <v>2.8580000000000001</v>
      </c>
      <c r="G187" s="12">
        <f t="shared" si="11"/>
        <v>-8.6715227193894934E-3</v>
      </c>
      <c r="H187" s="18">
        <v>2.871</v>
      </c>
      <c r="I187" s="12">
        <f t="shared" si="12"/>
        <v>-8.6325966850828422E-3</v>
      </c>
      <c r="J187" s="18">
        <v>2.8839999999999999</v>
      </c>
      <c r="K187" s="12">
        <f t="shared" si="13"/>
        <v>-8.2530949105914797E-3</v>
      </c>
      <c r="L187" s="18">
        <v>2.8969999999999998</v>
      </c>
      <c r="M187" s="12">
        <f t="shared" si="14"/>
        <v>-7.5368276807126558E-3</v>
      </c>
    </row>
    <row r="188" spans="1:13" x14ac:dyDescent="0.25">
      <c r="A188" s="11">
        <v>41845</v>
      </c>
      <c r="B188" s="10">
        <v>2.782</v>
      </c>
      <c r="C188" s="12">
        <f t="shared" si="10"/>
        <v>-1.4357501794687738E-3</v>
      </c>
      <c r="E188" s="20">
        <v>41845</v>
      </c>
      <c r="F188" s="18">
        <v>2.875</v>
      </c>
      <c r="G188" s="12">
        <f t="shared" si="11"/>
        <v>5.9482155353393646E-3</v>
      </c>
      <c r="H188" s="18">
        <v>2.8849999999999998</v>
      </c>
      <c r="I188" s="12">
        <f t="shared" si="12"/>
        <v>4.8763497039358379E-3</v>
      </c>
      <c r="J188" s="18">
        <v>2.8959999999999999</v>
      </c>
      <c r="K188" s="12">
        <f t="shared" si="13"/>
        <v>4.1608876560332913E-3</v>
      </c>
      <c r="L188" s="18">
        <v>2.9079999999999999</v>
      </c>
      <c r="M188" s="12">
        <f t="shared" si="14"/>
        <v>3.7970314118053578E-3</v>
      </c>
    </row>
    <row r="189" spans="1:13" x14ac:dyDescent="0.25">
      <c r="A189" s="11">
        <v>41852</v>
      </c>
      <c r="B189" s="10">
        <v>2.7349999999999999</v>
      </c>
      <c r="C189" s="12">
        <f t="shared" si="10"/>
        <v>-1.6894320632638446E-2</v>
      </c>
      <c r="E189" s="20">
        <v>41852</v>
      </c>
      <c r="F189" s="18">
        <v>2.8879999999999999</v>
      </c>
      <c r="G189" s="12">
        <f t="shared" si="11"/>
        <v>4.5217391304347484E-3</v>
      </c>
      <c r="H189" s="18">
        <v>2.8940000000000001</v>
      </c>
      <c r="I189" s="12">
        <f t="shared" si="12"/>
        <v>3.1195840554593905E-3</v>
      </c>
      <c r="J189" s="18">
        <v>2.903</v>
      </c>
      <c r="K189" s="12">
        <f t="shared" si="13"/>
        <v>2.4171270718232451E-3</v>
      </c>
      <c r="L189" s="18">
        <v>2.9129999999999998</v>
      </c>
      <c r="M189" s="12">
        <f t="shared" si="14"/>
        <v>1.7193947730398534E-3</v>
      </c>
    </row>
    <row r="190" spans="1:13" x14ac:dyDescent="0.25">
      <c r="A190" s="11">
        <v>41859</v>
      </c>
      <c r="B190" s="10">
        <v>2.6880000000000002</v>
      </c>
      <c r="C190" s="12">
        <f t="shared" si="10"/>
        <v>-1.7184643510054737E-2</v>
      </c>
      <c r="E190" s="20">
        <v>41859</v>
      </c>
      <c r="F190" s="18">
        <v>2.8730000000000002</v>
      </c>
      <c r="G190" s="12">
        <f t="shared" si="11"/>
        <v>-5.1939058171744049E-3</v>
      </c>
      <c r="H190" s="18">
        <v>2.8809999999999998</v>
      </c>
      <c r="I190" s="12">
        <f t="shared" si="12"/>
        <v>-4.4920525224603812E-3</v>
      </c>
      <c r="J190" s="18">
        <v>2.8889999999999998</v>
      </c>
      <c r="K190" s="12">
        <f t="shared" si="13"/>
        <v>-4.8225973131244349E-3</v>
      </c>
      <c r="L190" s="18">
        <v>2.8959999999999999</v>
      </c>
      <c r="M190" s="12">
        <f t="shared" si="14"/>
        <v>-5.8359079986268127E-3</v>
      </c>
    </row>
    <row r="191" spans="1:13" x14ac:dyDescent="0.25">
      <c r="A191" s="11">
        <v>41866</v>
      </c>
      <c r="B191" s="10">
        <v>2.6850000000000001</v>
      </c>
      <c r="C191" s="12">
        <f t="shared" si="10"/>
        <v>-1.1160714285714708E-3</v>
      </c>
      <c r="E191" s="20">
        <v>41866</v>
      </c>
      <c r="F191" s="18">
        <v>2.859</v>
      </c>
      <c r="G191" s="12">
        <f t="shared" si="11"/>
        <v>-4.8729550991995245E-3</v>
      </c>
      <c r="H191" s="18">
        <v>2.8650000000000002</v>
      </c>
      <c r="I191" s="12">
        <f t="shared" si="12"/>
        <v>-5.5536272127731934E-3</v>
      </c>
      <c r="J191" s="18">
        <v>2.8730000000000002</v>
      </c>
      <c r="K191" s="12">
        <f t="shared" si="13"/>
        <v>-5.5382485289025857E-3</v>
      </c>
      <c r="L191" s="18">
        <v>2.8809999999999998</v>
      </c>
      <c r="M191" s="12">
        <f t="shared" si="14"/>
        <v>-5.1795580110497669E-3</v>
      </c>
    </row>
    <row r="192" spans="1:13" x14ac:dyDescent="0.25">
      <c r="A192" s="11">
        <v>41873</v>
      </c>
      <c r="B192" s="10">
        <v>2.7040000000000002</v>
      </c>
      <c r="C192" s="12">
        <f t="shared" si="10"/>
        <v>7.0763500931099168E-3</v>
      </c>
      <c r="E192" s="20">
        <v>41873</v>
      </c>
      <c r="F192" s="18">
        <v>2.823</v>
      </c>
      <c r="G192" s="12">
        <f t="shared" si="11"/>
        <v>-1.2591815320041983E-2</v>
      </c>
      <c r="H192" s="18">
        <v>2.8279999999999998</v>
      </c>
      <c r="I192" s="12">
        <f t="shared" si="12"/>
        <v>-1.2914485165794192E-2</v>
      </c>
      <c r="J192" s="18">
        <v>2.835</v>
      </c>
      <c r="K192" s="12">
        <f t="shared" si="13"/>
        <v>-1.3226592412112862E-2</v>
      </c>
      <c r="L192" s="18">
        <v>2.843</v>
      </c>
      <c r="M192" s="12">
        <f t="shared" si="14"/>
        <v>-1.3189864630336624E-2</v>
      </c>
    </row>
    <row r="193" spans="1:13" x14ac:dyDescent="0.25">
      <c r="A193" s="11">
        <v>41880</v>
      </c>
      <c r="B193" s="10">
        <v>2.75</v>
      </c>
      <c r="C193" s="12">
        <f t="shared" si="10"/>
        <v>1.7011834319526558E-2</v>
      </c>
      <c r="E193" s="20">
        <v>41880</v>
      </c>
      <c r="F193" s="18">
        <v>2.85</v>
      </c>
      <c r="G193" s="12">
        <f t="shared" si="11"/>
        <v>9.5642933049947341E-3</v>
      </c>
      <c r="H193" s="18">
        <v>2.8530000000000002</v>
      </c>
      <c r="I193" s="12">
        <f t="shared" si="12"/>
        <v>8.8401697312589667E-3</v>
      </c>
      <c r="J193" s="18">
        <v>2.86</v>
      </c>
      <c r="K193" s="12">
        <f t="shared" si="13"/>
        <v>8.8183421516754533E-3</v>
      </c>
      <c r="L193" s="18">
        <v>2.8660000000000001</v>
      </c>
      <c r="M193" s="12">
        <f t="shared" si="14"/>
        <v>8.0900457263454566E-3</v>
      </c>
    </row>
    <row r="194" spans="1:13" x14ac:dyDescent="0.25">
      <c r="A194" s="11">
        <v>41887</v>
      </c>
      <c r="B194" s="10">
        <v>2.7480000000000002</v>
      </c>
      <c r="C194" s="12">
        <f t="shared" si="10"/>
        <v>-7.2727272727264721E-4</v>
      </c>
      <c r="E194" s="20">
        <v>41887</v>
      </c>
      <c r="F194" s="18">
        <v>2.83</v>
      </c>
      <c r="G194" s="12">
        <f t="shared" si="11"/>
        <v>-7.017543859649129E-3</v>
      </c>
      <c r="H194" s="18">
        <v>2.8359999999999999</v>
      </c>
      <c r="I194" s="12">
        <f t="shared" si="12"/>
        <v>-5.9586400280407809E-3</v>
      </c>
      <c r="J194" s="18">
        <v>2.8420000000000001</v>
      </c>
      <c r="K194" s="12">
        <f t="shared" si="13"/>
        <v>-6.2937062937062221E-3</v>
      </c>
      <c r="L194" s="18">
        <v>2.8479999999999999</v>
      </c>
      <c r="M194" s="12">
        <f t="shared" si="14"/>
        <v>-6.2805303558968028E-3</v>
      </c>
    </row>
    <row r="195" spans="1:13" x14ac:dyDescent="0.25">
      <c r="A195" s="11">
        <v>41894</v>
      </c>
      <c r="B195" s="10">
        <v>2.6909999999999998</v>
      </c>
      <c r="C195" s="12">
        <f t="shared" si="10"/>
        <v>-2.0742358078602759E-2</v>
      </c>
      <c r="E195" s="20">
        <v>41894</v>
      </c>
      <c r="F195" s="18">
        <v>2.77</v>
      </c>
      <c r="G195" s="12">
        <f t="shared" si="11"/>
        <v>-2.1201413427561856E-2</v>
      </c>
      <c r="H195" s="18">
        <v>2.778</v>
      </c>
      <c r="I195" s="12">
        <f t="shared" si="12"/>
        <v>-2.0451339915373706E-2</v>
      </c>
      <c r="J195" s="18">
        <v>2.7850000000000001</v>
      </c>
      <c r="K195" s="12">
        <f t="shared" si="13"/>
        <v>-2.0056298381421513E-2</v>
      </c>
      <c r="L195" s="18">
        <v>2.7930000000000001</v>
      </c>
      <c r="M195" s="12">
        <f t="shared" si="14"/>
        <v>-1.931179775280889E-2</v>
      </c>
    </row>
    <row r="196" spans="1:13" x14ac:dyDescent="0.25">
      <c r="A196" s="11">
        <v>41901</v>
      </c>
      <c r="B196" s="10">
        <v>2.677</v>
      </c>
      <c r="C196" s="12">
        <f t="shared" si="10"/>
        <v>-5.2025269416572989E-3</v>
      </c>
      <c r="E196" s="20">
        <v>41901</v>
      </c>
      <c r="F196" s="18">
        <v>2.734</v>
      </c>
      <c r="G196" s="12">
        <f t="shared" si="11"/>
        <v>-1.2996389891696762E-2</v>
      </c>
      <c r="H196" s="18">
        <v>2.7410000000000001</v>
      </c>
      <c r="I196" s="12">
        <f t="shared" si="12"/>
        <v>-1.3318934485241152E-2</v>
      </c>
      <c r="J196" s="18">
        <v>2.7490000000000001</v>
      </c>
      <c r="K196" s="12">
        <f t="shared" si="13"/>
        <v>-1.2926391382405755E-2</v>
      </c>
      <c r="L196" s="18">
        <v>2.758</v>
      </c>
      <c r="M196" s="12">
        <f t="shared" si="14"/>
        <v>-1.2531328320802055E-2</v>
      </c>
    </row>
    <row r="197" spans="1:13" x14ac:dyDescent="0.25">
      <c r="A197" s="11">
        <v>41908</v>
      </c>
      <c r="B197" s="10">
        <v>2.762</v>
      </c>
      <c r="C197" s="12">
        <f t="shared" ref="C197:C260" si="15">(B197-B196)/B196</f>
        <v>3.1751961150541637E-2</v>
      </c>
      <c r="E197" s="20">
        <v>41908</v>
      </c>
      <c r="F197" s="18">
        <v>2.6909999999999998</v>
      </c>
      <c r="G197" s="12">
        <f t="shared" ref="G197:G260" si="16">(F197-F196)/F196</f>
        <v>-1.5727871250914467E-2</v>
      </c>
      <c r="H197" s="18">
        <v>2.6949999999999998</v>
      </c>
      <c r="I197" s="12">
        <f t="shared" ref="I197:I260" si="17">(H197-H196)/H196</f>
        <v>-1.6782196278730486E-2</v>
      </c>
      <c r="J197" s="18">
        <v>2.702</v>
      </c>
      <c r="K197" s="12">
        <f t="shared" ref="K197:K260" si="18">(J197-J196)/J196</f>
        <v>-1.7097126227719226E-2</v>
      </c>
      <c r="L197" s="18">
        <v>2.7109999999999999</v>
      </c>
      <c r="M197" s="12">
        <f t="shared" ref="M197:M260" si="19">(L197-L196)/L196</f>
        <v>-1.7041334300217606E-2</v>
      </c>
    </row>
    <row r="198" spans="1:13" x14ac:dyDescent="0.25">
      <c r="A198" s="11">
        <v>41915</v>
      </c>
      <c r="B198" s="10">
        <v>2.6669999999999998</v>
      </c>
      <c r="C198" s="12">
        <f t="shared" si="15"/>
        <v>-3.4395365677045688E-2</v>
      </c>
      <c r="E198" s="20">
        <v>41915</v>
      </c>
      <c r="F198" s="18">
        <v>2.6520000000000001</v>
      </c>
      <c r="G198" s="12">
        <f t="shared" si="16"/>
        <v>-1.4492753623188295E-2</v>
      </c>
      <c r="H198" s="18">
        <v>2.6560000000000001</v>
      </c>
      <c r="I198" s="12">
        <f t="shared" si="17"/>
        <v>-1.4471243042671503E-2</v>
      </c>
      <c r="J198" s="18">
        <v>2.661</v>
      </c>
      <c r="K198" s="12">
        <f t="shared" si="18"/>
        <v>-1.517394522575867E-2</v>
      </c>
      <c r="L198" s="18">
        <v>2.6640000000000001</v>
      </c>
      <c r="M198" s="12">
        <f t="shared" si="19"/>
        <v>-1.7336776097380935E-2</v>
      </c>
    </row>
    <row r="199" spans="1:13" x14ac:dyDescent="0.25">
      <c r="A199" s="11">
        <v>41922</v>
      </c>
      <c r="B199" s="10">
        <v>2.4830000000000001</v>
      </c>
      <c r="C199" s="12">
        <f t="shared" si="15"/>
        <v>-6.8991376077990149E-2</v>
      </c>
      <c r="E199" s="20">
        <v>41922</v>
      </c>
      <c r="F199" s="18">
        <v>2.58</v>
      </c>
      <c r="G199" s="12">
        <f t="shared" si="16"/>
        <v>-2.7149321266968347E-2</v>
      </c>
      <c r="H199" s="18">
        <v>2.5840000000000001</v>
      </c>
      <c r="I199" s="12">
        <f t="shared" si="17"/>
        <v>-2.710843373493978E-2</v>
      </c>
      <c r="J199" s="18">
        <v>2.589</v>
      </c>
      <c r="K199" s="12">
        <f t="shared" si="18"/>
        <v>-2.7057497181510733E-2</v>
      </c>
      <c r="L199" s="18">
        <v>2.589</v>
      </c>
      <c r="M199" s="12">
        <f t="shared" si="19"/>
        <v>-2.8153153153153219E-2</v>
      </c>
    </row>
    <row r="200" spans="1:13" x14ac:dyDescent="0.25">
      <c r="A200" s="11">
        <v>41929</v>
      </c>
      <c r="B200" s="10">
        <v>2.331</v>
      </c>
      <c r="C200" s="12">
        <f t="shared" si="15"/>
        <v>-6.121627064035446E-2</v>
      </c>
      <c r="E200" s="20">
        <v>41929</v>
      </c>
      <c r="F200" s="18">
        <v>2.4910000000000001</v>
      </c>
      <c r="G200" s="12">
        <f t="shared" si="16"/>
        <v>-3.4496124031007741E-2</v>
      </c>
      <c r="H200" s="18">
        <v>2.4860000000000002</v>
      </c>
      <c r="I200" s="12">
        <f t="shared" si="17"/>
        <v>-3.792569659442719E-2</v>
      </c>
      <c r="J200" s="18">
        <v>2.4860000000000002</v>
      </c>
      <c r="K200" s="12">
        <f t="shared" si="18"/>
        <v>-3.9783700270374568E-2</v>
      </c>
      <c r="L200" s="18">
        <v>2.4849999999999999</v>
      </c>
      <c r="M200" s="12">
        <f t="shared" si="19"/>
        <v>-4.0169949787562803E-2</v>
      </c>
    </row>
    <row r="201" spans="1:13" x14ac:dyDescent="0.25">
      <c r="A201" s="11">
        <v>41936</v>
      </c>
      <c r="B201" s="10">
        <v>2.347</v>
      </c>
      <c r="C201" s="12">
        <f t="shared" si="15"/>
        <v>6.8640068640068701E-3</v>
      </c>
      <c r="E201" s="20">
        <v>41936</v>
      </c>
      <c r="F201" s="18">
        <v>2.4910000000000001</v>
      </c>
      <c r="G201" s="12">
        <f t="shared" si="16"/>
        <v>0</v>
      </c>
      <c r="H201" s="18">
        <v>2.4769999999999999</v>
      </c>
      <c r="I201" s="12">
        <f t="shared" si="17"/>
        <v>-3.6202735317780936E-3</v>
      </c>
      <c r="J201" s="18">
        <v>2.476</v>
      </c>
      <c r="K201" s="12">
        <f t="shared" si="18"/>
        <v>-4.0225261464200439E-3</v>
      </c>
      <c r="L201" s="18">
        <v>2.4750000000000001</v>
      </c>
      <c r="M201" s="12">
        <f t="shared" si="19"/>
        <v>-4.0241448692152062E-3</v>
      </c>
    </row>
    <row r="202" spans="1:13" x14ac:dyDescent="0.25">
      <c r="A202" s="11">
        <v>41943</v>
      </c>
      <c r="B202" s="10">
        <v>2.302</v>
      </c>
      <c r="C202" s="12">
        <f t="shared" si="15"/>
        <v>-1.9173412867490382E-2</v>
      </c>
      <c r="E202" s="20">
        <v>41943</v>
      </c>
      <c r="F202" s="18">
        <v>2.5059999999999998</v>
      </c>
      <c r="G202" s="12">
        <f t="shared" si="16"/>
        <v>6.0216780409472819E-3</v>
      </c>
      <c r="H202" s="18">
        <v>2.4969999999999999</v>
      </c>
      <c r="I202" s="12">
        <f t="shared" si="17"/>
        <v>8.0742834073476051E-3</v>
      </c>
      <c r="J202" s="18">
        <v>2.4969999999999999</v>
      </c>
      <c r="K202" s="12">
        <f t="shared" si="18"/>
        <v>8.4814216478190253E-3</v>
      </c>
      <c r="L202" s="18">
        <v>2.4969999999999999</v>
      </c>
      <c r="M202" s="12">
        <f t="shared" si="19"/>
        <v>8.8888888888888073E-3</v>
      </c>
    </row>
    <row r="203" spans="1:13" x14ac:dyDescent="0.25">
      <c r="A203" s="11">
        <v>41950</v>
      </c>
      <c r="B203" s="10">
        <v>2.2130000000000001</v>
      </c>
      <c r="C203" s="12">
        <f t="shared" si="15"/>
        <v>-3.8662033014769753E-2</v>
      </c>
      <c r="E203" s="20">
        <v>41950</v>
      </c>
      <c r="F203" s="18">
        <v>2.4660000000000002</v>
      </c>
      <c r="G203" s="12">
        <f t="shared" si="16"/>
        <v>-1.5961691939345411E-2</v>
      </c>
      <c r="H203" s="18">
        <v>2.46</v>
      </c>
      <c r="I203" s="12">
        <f t="shared" si="17"/>
        <v>-1.4817781337605095E-2</v>
      </c>
      <c r="J203" s="18">
        <v>2.4529999999999998</v>
      </c>
      <c r="K203" s="12">
        <f t="shared" si="18"/>
        <v>-1.7621145374449355E-2</v>
      </c>
      <c r="L203" s="18">
        <v>2.4430000000000001</v>
      </c>
      <c r="M203" s="12">
        <f t="shared" si="19"/>
        <v>-2.1625951141369573E-2</v>
      </c>
    </row>
    <row r="204" spans="1:13" x14ac:dyDescent="0.25">
      <c r="A204" s="11">
        <v>41957</v>
      </c>
      <c r="B204" s="10">
        <v>2.1829999999999998</v>
      </c>
      <c r="C204" s="12">
        <f t="shared" si="15"/>
        <v>-1.3556258472661658E-2</v>
      </c>
      <c r="E204" s="20">
        <v>41957</v>
      </c>
      <c r="F204" s="18">
        <v>2.4329999999999998</v>
      </c>
      <c r="G204" s="12">
        <f t="shared" si="16"/>
        <v>-1.3381995133820098E-2</v>
      </c>
      <c r="H204" s="18">
        <v>2.4140000000000001</v>
      </c>
      <c r="I204" s="12">
        <f t="shared" si="17"/>
        <v>-1.8699186991869846E-2</v>
      </c>
      <c r="J204" s="18">
        <v>2.403</v>
      </c>
      <c r="K204" s="12">
        <f t="shared" si="18"/>
        <v>-2.0383204239706409E-2</v>
      </c>
      <c r="L204" s="18">
        <v>2.391</v>
      </c>
      <c r="M204" s="12">
        <f t="shared" si="19"/>
        <v>-2.1285304952926749E-2</v>
      </c>
    </row>
    <row r="205" spans="1:13" x14ac:dyDescent="0.25">
      <c r="A205" s="11">
        <v>41964</v>
      </c>
      <c r="B205" s="10">
        <v>2.1509999999999998</v>
      </c>
      <c r="C205" s="12">
        <f t="shared" si="15"/>
        <v>-1.4658726523133317E-2</v>
      </c>
      <c r="E205" s="20">
        <v>41964</v>
      </c>
      <c r="F205" s="18">
        <v>2.3860000000000001</v>
      </c>
      <c r="G205" s="12">
        <f t="shared" si="16"/>
        <v>-1.9317714755445834E-2</v>
      </c>
      <c r="H205" s="18">
        <v>2.3650000000000002</v>
      </c>
      <c r="I205" s="12">
        <f t="shared" si="17"/>
        <v>-2.0298260149130044E-2</v>
      </c>
      <c r="J205" s="18">
        <v>2.3540000000000001</v>
      </c>
      <c r="K205" s="12">
        <f t="shared" si="18"/>
        <v>-2.0391177694548453E-2</v>
      </c>
      <c r="L205" s="18">
        <v>2.343</v>
      </c>
      <c r="M205" s="12">
        <f t="shared" si="19"/>
        <v>-2.0075282308657485E-2</v>
      </c>
    </row>
    <row r="206" spans="1:13" x14ac:dyDescent="0.25">
      <c r="A206" s="11">
        <v>41971</v>
      </c>
      <c r="B206" s="10">
        <v>2.1019999999999999</v>
      </c>
      <c r="C206" s="12">
        <f t="shared" si="15"/>
        <v>-2.2780102278010198E-2</v>
      </c>
      <c r="E206" s="20">
        <v>41971</v>
      </c>
      <c r="F206" s="18">
        <v>2.3540000000000001</v>
      </c>
      <c r="G206" s="12">
        <f t="shared" si="16"/>
        <v>-1.3411567476948879E-2</v>
      </c>
      <c r="H206" s="18">
        <v>2.3010000000000002</v>
      </c>
      <c r="I206" s="12">
        <f t="shared" si="17"/>
        <v>-2.7061310782241037E-2</v>
      </c>
      <c r="J206" s="18">
        <v>2.2869999999999999</v>
      </c>
      <c r="K206" s="12">
        <f t="shared" si="18"/>
        <v>-2.8462192013593953E-2</v>
      </c>
      <c r="L206" s="18">
        <v>2.2749999999999999</v>
      </c>
      <c r="M206" s="12">
        <f t="shared" si="19"/>
        <v>-2.9022620571916374E-2</v>
      </c>
    </row>
    <row r="207" spans="1:13" x14ac:dyDescent="0.25">
      <c r="A207" s="11">
        <v>41978</v>
      </c>
      <c r="B207" s="10">
        <v>1.9019999999999999</v>
      </c>
      <c r="C207" s="12">
        <f t="shared" si="15"/>
        <v>-9.5147478591817297E-2</v>
      </c>
      <c r="E207" s="20">
        <v>41978</v>
      </c>
      <c r="F207" s="18">
        <v>2.145</v>
      </c>
      <c r="G207" s="12">
        <f t="shared" si="16"/>
        <v>-8.8785046728971986E-2</v>
      </c>
      <c r="H207" s="18">
        <v>2.137</v>
      </c>
      <c r="I207" s="12">
        <f t="shared" si="17"/>
        <v>-7.1273359408952686E-2</v>
      </c>
      <c r="J207" s="18">
        <v>2.129</v>
      </c>
      <c r="K207" s="12">
        <f t="shared" si="18"/>
        <v>-6.9086139046786149E-2</v>
      </c>
      <c r="L207" s="18">
        <v>2.12</v>
      </c>
      <c r="M207" s="12">
        <f t="shared" si="19"/>
        <v>-6.8131868131868042E-2</v>
      </c>
    </row>
    <row r="208" spans="1:13" x14ac:dyDescent="0.25">
      <c r="A208" s="11">
        <v>41985</v>
      </c>
      <c r="B208" s="10">
        <v>1.712</v>
      </c>
      <c r="C208" s="12">
        <f t="shared" si="15"/>
        <v>-9.9894847528916905E-2</v>
      </c>
      <c r="E208" s="20">
        <v>41985</v>
      </c>
      <c r="F208" s="18">
        <v>2.0529999999999999</v>
      </c>
      <c r="G208" s="12">
        <f t="shared" si="16"/>
        <v>-4.2890442890442929E-2</v>
      </c>
      <c r="H208" s="18">
        <v>2.0169999999999999</v>
      </c>
      <c r="I208" s="12">
        <f t="shared" si="17"/>
        <v>-5.6153486195601357E-2</v>
      </c>
      <c r="J208" s="18">
        <v>1.998</v>
      </c>
      <c r="K208" s="12">
        <f t="shared" si="18"/>
        <v>-6.1531235321747299E-2</v>
      </c>
      <c r="L208" s="18">
        <v>1.9810000000000001</v>
      </c>
      <c r="M208" s="12">
        <f t="shared" si="19"/>
        <v>-6.5566037735849056E-2</v>
      </c>
    </row>
    <row r="209" spans="1:13" x14ac:dyDescent="0.25">
      <c r="A209" s="11">
        <v>41992</v>
      </c>
      <c r="B209" s="10">
        <v>1.607</v>
      </c>
      <c r="C209" s="12">
        <f t="shared" si="15"/>
        <v>-6.1331775700934572E-2</v>
      </c>
      <c r="E209" s="20">
        <v>41992</v>
      </c>
      <c r="F209" s="18">
        <v>1.974</v>
      </c>
      <c r="G209" s="12">
        <f t="shared" si="16"/>
        <v>-3.8480272771553803E-2</v>
      </c>
      <c r="H209" s="18">
        <v>1.9179999999999999</v>
      </c>
      <c r="I209" s="12">
        <f t="shared" si="17"/>
        <v>-4.9082796232027756E-2</v>
      </c>
      <c r="J209" s="18">
        <v>1.891</v>
      </c>
      <c r="K209" s="12">
        <f t="shared" si="18"/>
        <v>-5.3553553553553547E-2</v>
      </c>
      <c r="L209" s="18">
        <v>1.871</v>
      </c>
      <c r="M209" s="12">
        <f t="shared" si="19"/>
        <v>-5.55275113579001E-2</v>
      </c>
    </row>
    <row r="210" spans="1:13" x14ac:dyDescent="0.25">
      <c r="A210" s="11">
        <v>41999</v>
      </c>
      <c r="B210" s="10">
        <v>1.59</v>
      </c>
      <c r="C210" s="12">
        <f t="shared" si="15"/>
        <v>-1.0578718108276231E-2</v>
      </c>
      <c r="E210" s="20">
        <v>41999</v>
      </c>
      <c r="F210" s="18">
        <v>1.9430000000000001</v>
      </c>
      <c r="G210" s="12">
        <f t="shared" si="16"/>
        <v>-1.5704154002026301E-2</v>
      </c>
      <c r="H210" s="18">
        <v>1.909</v>
      </c>
      <c r="I210" s="12">
        <f t="shared" si="17"/>
        <v>-4.6923879040666827E-3</v>
      </c>
      <c r="J210" s="18">
        <v>1.8839999999999999</v>
      </c>
      <c r="K210" s="12">
        <f t="shared" si="18"/>
        <v>-3.7017451084083116E-3</v>
      </c>
      <c r="L210" s="18">
        <v>1.867</v>
      </c>
      <c r="M210" s="12">
        <f t="shared" si="19"/>
        <v>-2.1378941742383772E-3</v>
      </c>
    </row>
    <row r="211" spans="1:13" x14ac:dyDescent="0.25">
      <c r="A211" s="11">
        <v>42006</v>
      </c>
      <c r="B211" s="10">
        <v>1.514</v>
      </c>
      <c r="C211" s="12">
        <f t="shared" si="15"/>
        <v>-4.7798742138364818E-2</v>
      </c>
      <c r="E211" s="20">
        <v>42006</v>
      </c>
      <c r="F211" s="18">
        <v>1.84</v>
      </c>
      <c r="G211" s="12">
        <f t="shared" si="16"/>
        <v>-5.3010808028821396E-2</v>
      </c>
      <c r="H211" s="18">
        <v>1.82</v>
      </c>
      <c r="I211" s="12">
        <f t="shared" si="17"/>
        <v>-4.662126767941329E-2</v>
      </c>
      <c r="J211" s="18">
        <v>1.8049999999999999</v>
      </c>
      <c r="K211" s="12">
        <f t="shared" si="18"/>
        <v>-4.1932059447982999E-2</v>
      </c>
      <c r="L211" s="18">
        <v>1.7949999999999999</v>
      </c>
      <c r="M211" s="12">
        <f t="shared" si="19"/>
        <v>-3.8564542046063237E-2</v>
      </c>
    </row>
    <row r="212" spans="1:13" x14ac:dyDescent="0.25">
      <c r="A212" s="11">
        <v>42013</v>
      </c>
      <c r="B212" s="10">
        <v>1.3759999999999999</v>
      </c>
      <c r="C212" s="12">
        <f t="shared" si="15"/>
        <v>-9.1149273447820423E-2</v>
      </c>
      <c r="E212" s="20">
        <v>42013</v>
      </c>
      <c r="F212" s="18">
        <v>1.718</v>
      </c>
      <c r="G212" s="12">
        <f t="shared" si="16"/>
        <v>-6.6304347826087018E-2</v>
      </c>
      <c r="H212" s="18">
        <v>1.69</v>
      </c>
      <c r="I212" s="12">
        <f t="shared" si="17"/>
        <v>-7.1428571428571494E-2</v>
      </c>
      <c r="J212" s="18">
        <v>1.673</v>
      </c>
      <c r="K212" s="12">
        <f t="shared" si="18"/>
        <v>-7.3130193905817126E-2</v>
      </c>
      <c r="L212" s="18">
        <v>1.675</v>
      </c>
      <c r="M212" s="12">
        <f t="shared" si="19"/>
        <v>-6.6852367688022218E-2</v>
      </c>
    </row>
    <row r="213" spans="1:13" x14ac:dyDescent="0.25">
      <c r="A213" s="11">
        <v>42020</v>
      </c>
      <c r="B213" s="10">
        <v>1.325</v>
      </c>
      <c r="C213" s="12">
        <f t="shared" si="15"/>
        <v>-3.7063953488372048E-2</v>
      </c>
      <c r="E213" s="20">
        <v>42020</v>
      </c>
      <c r="F213" s="18">
        <v>1.6459999999999999</v>
      </c>
      <c r="G213" s="12">
        <f t="shared" si="16"/>
        <v>-4.1909196740395845E-2</v>
      </c>
      <c r="H213" s="18">
        <v>1.6160000000000001</v>
      </c>
      <c r="I213" s="12">
        <f t="shared" si="17"/>
        <v>-4.3786982248520616E-2</v>
      </c>
      <c r="J213" s="18">
        <v>1.5980000000000001</v>
      </c>
      <c r="K213" s="12">
        <f t="shared" si="18"/>
        <v>-4.482964734010756E-2</v>
      </c>
      <c r="L213" s="18">
        <v>1.6020000000000001</v>
      </c>
      <c r="M213" s="12">
        <f t="shared" si="19"/>
        <v>-4.358208955223878E-2</v>
      </c>
    </row>
    <row r="214" spans="1:13" x14ac:dyDescent="0.25">
      <c r="A214" s="11">
        <v>42027</v>
      </c>
      <c r="B214" s="10">
        <v>1.35</v>
      </c>
      <c r="C214" s="12">
        <f t="shared" si="15"/>
        <v>1.8867924528301987E-2</v>
      </c>
      <c r="E214" s="20">
        <v>42027</v>
      </c>
      <c r="F214" s="18">
        <v>1.639</v>
      </c>
      <c r="G214" s="12">
        <f t="shared" si="16"/>
        <v>-4.2527339003644565E-3</v>
      </c>
      <c r="H214" s="18">
        <v>1.61</v>
      </c>
      <c r="I214" s="12">
        <f t="shared" si="17"/>
        <v>-3.7128712871287157E-3</v>
      </c>
      <c r="J214" s="18">
        <v>1.5860000000000001</v>
      </c>
      <c r="K214" s="12">
        <f t="shared" si="18"/>
        <v>-7.5093867334167768E-3</v>
      </c>
      <c r="L214" s="18">
        <v>1.587</v>
      </c>
      <c r="M214" s="12">
        <f t="shared" si="19"/>
        <v>-9.3632958801498894E-3</v>
      </c>
    </row>
    <row r="215" spans="1:13" x14ac:dyDescent="0.25">
      <c r="A215" s="11">
        <v>42034</v>
      </c>
      <c r="B215" s="10">
        <v>1.377</v>
      </c>
      <c r="C215" s="12">
        <f t="shared" si="15"/>
        <v>1.9999999999999934E-2</v>
      </c>
      <c r="E215" s="20">
        <v>42034</v>
      </c>
      <c r="F215" s="18">
        <v>1.6479999999999999</v>
      </c>
      <c r="G215" s="12">
        <f t="shared" si="16"/>
        <v>5.4911531421597904E-3</v>
      </c>
      <c r="H215" s="18">
        <v>1.6339999999999999</v>
      </c>
      <c r="I215" s="12">
        <f t="shared" si="17"/>
        <v>1.4906832298136521E-2</v>
      </c>
      <c r="J215" s="18">
        <v>1.6120000000000001</v>
      </c>
      <c r="K215" s="12">
        <f t="shared" si="18"/>
        <v>1.6393442622950834E-2</v>
      </c>
      <c r="L215" s="18">
        <v>1.613</v>
      </c>
      <c r="M215" s="12">
        <f t="shared" si="19"/>
        <v>1.6383112791430388E-2</v>
      </c>
    </row>
    <row r="216" spans="1:13" x14ac:dyDescent="0.25">
      <c r="A216" s="11">
        <v>42041</v>
      </c>
      <c r="B216" s="10">
        <v>1.5309999999999999</v>
      </c>
      <c r="C216" s="12">
        <f t="shared" si="15"/>
        <v>0.11183732752360197</v>
      </c>
      <c r="E216" s="20">
        <v>42041</v>
      </c>
      <c r="F216" s="18">
        <v>1.8029999999999999</v>
      </c>
      <c r="G216" s="12">
        <f t="shared" si="16"/>
        <v>9.4053398058252455E-2</v>
      </c>
      <c r="H216" s="18">
        <v>1.7769999999999999</v>
      </c>
      <c r="I216" s="12">
        <f t="shared" si="17"/>
        <v>8.7515299877600997E-2</v>
      </c>
      <c r="J216" s="18">
        <v>1.776</v>
      </c>
      <c r="K216" s="12">
        <f t="shared" si="18"/>
        <v>0.10173697270471459</v>
      </c>
      <c r="L216" s="18">
        <v>1.784</v>
      </c>
      <c r="M216" s="12">
        <f t="shared" si="19"/>
        <v>0.10601363918164913</v>
      </c>
    </row>
    <row r="217" spans="1:13" x14ac:dyDescent="0.25">
      <c r="A217" s="11">
        <v>42048</v>
      </c>
      <c r="B217" s="10">
        <v>1.575</v>
      </c>
      <c r="C217" s="12">
        <f t="shared" si="15"/>
        <v>2.8739386022207734E-2</v>
      </c>
      <c r="E217" s="20">
        <v>42048</v>
      </c>
      <c r="F217" s="18">
        <v>1.881</v>
      </c>
      <c r="G217" s="12">
        <f t="shared" si="16"/>
        <v>4.3261231281198041E-2</v>
      </c>
      <c r="H217" s="18">
        <v>1.847</v>
      </c>
      <c r="I217" s="12">
        <f t="shared" si="17"/>
        <v>3.9392234102419849E-2</v>
      </c>
      <c r="J217" s="18">
        <v>1.843</v>
      </c>
      <c r="K217" s="12">
        <f t="shared" si="18"/>
        <v>3.7725225225225194E-2</v>
      </c>
      <c r="L217" s="18">
        <v>1.847</v>
      </c>
      <c r="M217" s="12">
        <f t="shared" si="19"/>
        <v>3.531390134529145E-2</v>
      </c>
    </row>
    <row r="218" spans="1:13" x14ac:dyDescent="0.25">
      <c r="A218" s="11">
        <v>42055</v>
      </c>
      <c r="B218" s="10">
        <v>1.6040000000000001</v>
      </c>
      <c r="C218" s="12">
        <f t="shared" si="15"/>
        <v>1.8412698412698499E-2</v>
      </c>
      <c r="E218" s="20">
        <v>42055</v>
      </c>
      <c r="F218" s="18">
        <v>2.0110000000000001</v>
      </c>
      <c r="G218" s="12">
        <f t="shared" si="16"/>
        <v>6.9112174375332333E-2</v>
      </c>
      <c r="H218" s="18">
        <v>1.9</v>
      </c>
      <c r="I218" s="12">
        <f t="shared" si="17"/>
        <v>2.8695181375202997E-2</v>
      </c>
      <c r="J218" s="18">
        <v>1.883</v>
      </c>
      <c r="K218" s="12">
        <f t="shared" si="18"/>
        <v>2.170374389582205E-2</v>
      </c>
      <c r="L218" s="18">
        <v>1.883</v>
      </c>
      <c r="M218" s="12">
        <f t="shared" si="19"/>
        <v>1.9491066594477548E-2</v>
      </c>
    </row>
    <row r="219" spans="1:13" x14ac:dyDescent="0.25">
      <c r="A219" s="11">
        <v>42062</v>
      </c>
      <c r="B219" s="10">
        <v>1.718</v>
      </c>
      <c r="C219" s="12">
        <f t="shared" si="15"/>
        <v>7.107231920199493E-2</v>
      </c>
      <c r="E219" s="20">
        <v>42062</v>
      </c>
      <c r="F219" s="18">
        <v>2.157</v>
      </c>
      <c r="G219" s="12">
        <f t="shared" si="16"/>
        <v>7.2600696171059118E-2</v>
      </c>
      <c r="H219" s="18">
        <v>1.915</v>
      </c>
      <c r="I219" s="12">
        <f t="shared" si="17"/>
        <v>7.8947368421053293E-3</v>
      </c>
      <c r="J219" s="18">
        <v>1.881</v>
      </c>
      <c r="K219" s="12">
        <f t="shared" si="18"/>
        <v>-1.0621348911311747E-3</v>
      </c>
      <c r="L219" s="18">
        <v>1.88</v>
      </c>
      <c r="M219" s="12">
        <f t="shared" si="19"/>
        <v>-1.5932023366968208E-3</v>
      </c>
    </row>
    <row r="220" spans="1:13" x14ac:dyDescent="0.25">
      <c r="A220" s="11">
        <v>42069</v>
      </c>
      <c r="B220" s="10">
        <v>1.726</v>
      </c>
      <c r="C220" s="12">
        <f t="shared" si="15"/>
        <v>4.6565774155995386E-3</v>
      </c>
      <c r="E220" s="20">
        <v>42069</v>
      </c>
      <c r="F220" s="18">
        <v>1.895</v>
      </c>
      <c r="G220" s="12">
        <f t="shared" si="16"/>
        <v>-0.1214649976819657</v>
      </c>
      <c r="H220" s="18">
        <v>1.869</v>
      </c>
      <c r="I220" s="12">
        <f t="shared" si="17"/>
        <v>-2.4020887728459551E-2</v>
      </c>
      <c r="J220" s="18">
        <v>1.87</v>
      </c>
      <c r="K220" s="12">
        <f t="shared" si="18"/>
        <v>-5.8479532163742149E-3</v>
      </c>
      <c r="L220" s="18">
        <v>1.879</v>
      </c>
      <c r="M220" s="12">
        <f t="shared" si="19"/>
        <v>-5.3191489361696274E-4</v>
      </c>
    </row>
    <row r="221" spans="1:13" x14ac:dyDescent="0.25">
      <c r="A221" s="11">
        <v>42076</v>
      </c>
      <c r="B221" s="10">
        <v>1.6279999999999999</v>
      </c>
      <c r="C221" s="12">
        <f t="shared" si="15"/>
        <v>-5.677867902665127E-2</v>
      </c>
      <c r="E221" s="20">
        <v>42076</v>
      </c>
      <c r="F221" s="18">
        <v>1.7929999999999999</v>
      </c>
      <c r="G221" s="12">
        <f t="shared" si="16"/>
        <v>-5.3825857519788967E-2</v>
      </c>
      <c r="H221" s="18">
        <v>1.7689999999999999</v>
      </c>
      <c r="I221" s="12">
        <f t="shared" si="17"/>
        <v>-5.3504547886570407E-2</v>
      </c>
      <c r="J221" s="18">
        <v>1.7709999999999999</v>
      </c>
      <c r="K221" s="12">
        <f t="shared" si="18"/>
        <v>-5.2941176470588339E-2</v>
      </c>
      <c r="L221" s="18">
        <v>1.7809999999999999</v>
      </c>
      <c r="M221" s="12">
        <f t="shared" si="19"/>
        <v>-5.2155401809473173E-2</v>
      </c>
    </row>
    <row r="222" spans="1:13" x14ac:dyDescent="0.25">
      <c r="A222" s="11">
        <v>42083</v>
      </c>
      <c r="B222" s="10">
        <v>1.575</v>
      </c>
      <c r="C222" s="12">
        <f t="shared" si="15"/>
        <v>-3.2555282555282519E-2</v>
      </c>
      <c r="E222" s="20">
        <v>42083</v>
      </c>
      <c r="F222" s="18">
        <v>1.724</v>
      </c>
      <c r="G222" s="12">
        <f t="shared" si="16"/>
        <v>-3.8482989403234774E-2</v>
      </c>
      <c r="H222" s="18">
        <v>1.7050000000000001</v>
      </c>
      <c r="I222" s="12">
        <f t="shared" si="17"/>
        <v>-3.6178631995477578E-2</v>
      </c>
      <c r="J222" s="18">
        <v>1.7090000000000001</v>
      </c>
      <c r="K222" s="12">
        <f t="shared" si="18"/>
        <v>-3.5008469791078398E-2</v>
      </c>
      <c r="L222" s="18">
        <v>1.72</v>
      </c>
      <c r="M222" s="12">
        <f t="shared" si="19"/>
        <v>-3.4250421111734951E-2</v>
      </c>
    </row>
    <row r="223" spans="1:13" x14ac:dyDescent="0.25">
      <c r="A223" s="11">
        <v>42090</v>
      </c>
      <c r="B223" s="10">
        <v>1.6539999999999999</v>
      </c>
      <c r="C223" s="12">
        <f t="shared" si="15"/>
        <v>5.0158730158730132E-2</v>
      </c>
      <c r="E223" s="20">
        <v>42090</v>
      </c>
      <c r="F223" s="18">
        <v>1.736</v>
      </c>
      <c r="G223" s="12">
        <f t="shared" si="16"/>
        <v>6.9605568445475705E-3</v>
      </c>
      <c r="H223" s="18">
        <v>1.73</v>
      </c>
      <c r="I223" s="12">
        <f t="shared" si="17"/>
        <v>1.4662756598240416E-2</v>
      </c>
      <c r="J223" s="18">
        <v>1.738</v>
      </c>
      <c r="K223" s="12">
        <f t="shared" si="18"/>
        <v>1.6968987712112294E-2</v>
      </c>
      <c r="L223" s="18">
        <v>1.752</v>
      </c>
      <c r="M223" s="12">
        <f t="shared" si="19"/>
        <v>1.8604651162790715E-2</v>
      </c>
    </row>
    <row r="224" spans="1:13" x14ac:dyDescent="0.25">
      <c r="A224" s="11">
        <v>42097</v>
      </c>
      <c r="B224" s="10">
        <v>1.633</v>
      </c>
      <c r="C224" s="12">
        <f t="shared" si="15"/>
        <v>-1.2696493349455809E-2</v>
      </c>
      <c r="E224" s="20">
        <v>42097</v>
      </c>
      <c r="F224" s="18">
        <v>1.72</v>
      </c>
      <c r="G224" s="12">
        <f t="shared" si="16"/>
        <v>-9.2165898617511607E-3</v>
      </c>
      <c r="H224" s="18">
        <v>1.7210000000000001</v>
      </c>
      <c r="I224" s="12">
        <f t="shared" si="17"/>
        <v>-5.2023121387282639E-3</v>
      </c>
      <c r="J224" s="18">
        <v>1.7330000000000001</v>
      </c>
      <c r="K224" s="12">
        <f t="shared" si="18"/>
        <v>-2.8768699654774989E-3</v>
      </c>
      <c r="L224" s="18">
        <v>1.75</v>
      </c>
      <c r="M224" s="12">
        <f t="shared" si="19"/>
        <v>-1.1415525114155261E-3</v>
      </c>
    </row>
    <row r="225" spans="1:13" x14ac:dyDescent="0.25">
      <c r="A225" s="11">
        <v>42104</v>
      </c>
      <c r="B225" s="10">
        <v>1.716</v>
      </c>
      <c r="C225" s="12">
        <f t="shared" si="15"/>
        <v>5.0826699326393117E-2</v>
      </c>
      <c r="E225" s="20">
        <v>42104</v>
      </c>
      <c r="F225" s="18">
        <v>1.748</v>
      </c>
      <c r="G225" s="12">
        <f t="shared" si="16"/>
        <v>1.6279069767441874E-2</v>
      </c>
      <c r="H225" s="18">
        <v>1.7549999999999999</v>
      </c>
      <c r="I225" s="12">
        <f t="shared" si="17"/>
        <v>1.9755955839628012E-2</v>
      </c>
      <c r="J225" s="18">
        <v>1.7689999999999999</v>
      </c>
      <c r="K225" s="12">
        <f t="shared" si="18"/>
        <v>2.0773225620311489E-2</v>
      </c>
      <c r="L225" s="18">
        <v>1.7869999999999999</v>
      </c>
      <c r="M225" s="12">
        <f t="shared" si="19"/>
        <v>2.1142857142857099E-2</v>
      </c>
    </row>
    <row r="226" spans="1:13" x14ac:dyDescent="0.25">
      <c r="A226" s="11">
        <v>42111</v>
      </c>
      <c r="B226" s="10">
        <v>1.7769999999999999</v>
      </c>
      <c r="C226" s="12">
        <f t="shared" si="15"/>
        <v>3.5547785547785517E-2</v>
      </c>
      <c r="E226" s="20">
        <v>42111</v>
      </c>
      <c r="F226" s="18">
        <v>1.853</v>
      </c>
      <c r="G226" s="12">
        <f t="shared" si="16"/>
        <v>6.0068649885583511E-2</v>
      </c>
      <c r="H226" s="18">
        <v>1.8560000000000001</v>
      </c>
      <c r="I226" s="12">
        <f t="shared" si="17"/>
        <v>5.7549857549857669E-2</v>
      </c>
      <c r="J226" s="18">
        <v>1.865</v>
      </c>
      <c r="K226" s="12">
        <f t="shared" si="18"/>
        <v>5.4267947993216555E-2</v>
      </c>
      <c r="L226" s="18">
        <v>1.8779999999999999</v>
      </c>
      <c r="M226" s="12">
        <f t="shared" si="19"/>
        <v>5.0923335198656952E-2</v>
      </c>
    </row>
    <row r="227" spans="1:13" x14ac:dyDescent="0.25">
      <c r="A227" s="11">
        <v>42118</v>
      </c>
      <c r="B227" s="10">
        <v>1.847</v>
      </c>
      <c r="C227" s="12">
        <f t="shared" si="15"/>
        <v>3.9392234102419849E-2</v>
      </c>
      <c r="E227" s="20">
        <v>42118</v>
      </c>
      <c r="F227" s="18">
        <v>1.891</v>
      </c>
      <c r="G227" s="12">
        <f t="shared" si="16"/>
        <v>2.050728548300056E-2</v>
      </c>
      <c r="H227" s="18">
        <v>1.8939999999999999</v>
      </c>
      <c r="I227" s="12">
        <f t="shared" si="17"/>
        <v>2.0474137931034381E-2</v>
      </c>
      <c r="J227" s="18">
        <v>1.9019999999999999</v>
      </c>
      <c r="K227" s="12">
        <f t="shared" si="18"/>
        <v>1.9839142091152773E-2</v>
      </c>
      <c r="L227" s="18">
        <v>1.9139999999999999</v>
      </c>
      <c r="M227" s="12">
        <f t="shared" si="19"/>
        <v>1.9169329073482445E-2</v>
      </c>
    </row>
    <row r="228" spans="1:13" x14ac:dyDescent="0.25">
      <c r="A228" s="11">
        <v>42125</v>
      </c>
      <c r="B228" s="10">
        <v>1.9239999999999999</v>
      </c>
      <c r="C228" s="12">
        <f t="shared" si="15"/>
        <v>4.1689225771521364E-2</v>
      </c>
      <c r="E228" s="20">
        <v>42125</v>
      </c>
      <c r="F228" s="18">
        <v>1.9490000000000001</v>
      </c>
      <c r="G228" s="12">
        <f t="shared" si="16"/>
        <v>3.0671602326811237E-2</v>
      </c>
      <c r="H228" s="18">
        <v>1.9530000000000001</v>
      </c>
      <c r="I228" s="12">
        <f t="shared" si="17"/>
        <v>3.1151003167898716E-2</v>
      </c>
      <c r="J228" s="18">
        <v>1.96</v>
      </c>
      <c r="K228" s="12">
        <f t="shared" si="18"/>
        <v>3.049421661409046E-2</v>
      </c>
      <c r="L228" s="18">
        <v>1.97</v>
      </c>
      <c r="M228" s="12">
        <f t="shared" si="19"/>
        <v>2.925809822361549E-2</v>
      </c>
    </row>
    <row r="229" spans="1:13" x14ac:dyDescent="0.25">
      <c r="A229" s="11">
        <v>42132</v>
      </c>
      <c r="B229" s="10">
        <v>1.9219999999999999</v>
      </c>
      <c r="C229" s="12">
        <f t="shared" si="15"/>
        <v>-1.0395010395010404E-3</v>
      </c>
      <c r="E229" s="20">
        <v>42132</v>
      </c>
      <c r="F229" s="18">
        <v>1.9850000000000001</v>
      </c>
      <c r="G229" s="12">
        <f t="shared" si="16"/>
        <v>1.84710107747563E-2</v>
      </c>
      <c r="H229" s="18">
        <v>1.9910000000000001</v>
      </c>
      <c r="I229" s="12">
        <f t="shared" si="17"/>
        <v>1.9457245263696892E-2</v>
      </c>
      <c r="J229" s="18">
        <v>1.998</v>
      </c>
      <c r="K229" s="12">
        <f t="shared" si="18"/>
        <v>1.9387755102040834E-2</v>
      </c>
      <c r="L229" s="18">
        <v>2.0110000000000001</v>
      </c>
      <c r="M229" s="12">
        <f t="shared" si="19"/>
        <v>2.0812182741116826E-2</v>
      </c>
    </row>
    <row r="230" spans="1:13" x14ac:dyDescent="0.25">
      <c r="A230" s="11">
        <v>42139</v>
      </c>
      <c r="B230" s="10">
        <v>1.9370000000000001</v>
      </c>
      <c r="C230" s="12">
        <f t="shared" si="15"/>
        <v>7.804370447450637E-3</v>
      </c>
      <c r="E230" s="20">
        <v>42139</v>
      </c>
      <c r="F230" s="18">
        <v>1.992</v>
      </c>
      <c r="G230" s="12">
        <f t="shared" si="16"/>
        <v>3.52644836272035E-3</v>
      </c>
      <c r="H230" s="18">
        <v>1.996</v>
      </c>
      <c r="I230" s="12">
        <f t="shared" si="17"/>
        <v>2.5113008538422367E-3</v>
      </c>
      <c r="J230" s="18">
        <v>2.0019999999999998</v>
      </c>
      <c r="K230" s="12">
        <f t="shared" si="18"/>
        <v>2.0020020020018927E-3</v>
      </c>
      <c r="L230" s="18">
        <v>2.0139999999999998</v>
      </c>
      <c r="M230" s="12">
        <f t="shared" si="19"/>
        <v>1.4917951268024214E-3</v>
      </c>
    </row>
    <row r="231" spans="1:13" x14ac:dyDescent="0.25">
      <c r="A231" s="11">
        <v>42146</v>
      </c>
      <c r="B231" s="10">
        <v>1.96</v>
      </c>
      <c r="C231" s="12">
        <f t="shared" si="15"/>
        <v>1.1874032008260149E-2</v>
      </c>
      <c r="E231" s="20">
        <v>42146</v>
      </c>
      <c r="F231" s="18">
        <v>1.96</v>
      </c>
      <c r="G231" s="12">
        <f t="shared" si="16"/>
        <v>-1.6064257028112466E-2</v>
      </c>
      <c r="H231" s="18">
        <v>1.964</v>
      </c>
      <c r="I231" s="12">
        <f t="shared" si="17"/>
        <v>-1.6032064128256526E-2</v>
      </c>
      <c r="J231" s="18">
        <v>1.9710000000000001</v>
      </c>
      <c r="K231" s="12">
        <f t="shared" si="18"/>
        <v>-1.5484515484515333E-2</v>
      </c>
      <c r="L231" s="18">
        <v>1.9830000000000001</v>
      </c>
      <c r="M231" s="12">
        <f t="shared" si="19"/>
        <v>-1.5392254220456652E-2</v>
      </c>
    </row>
    <row r="232" spans="1:13" x14ac:dyDescent="0.25">
      <c r="A232" s="11">
        <v>42153</v>
      </c>
      <c r="B232" s="10">
        <v>1.93</v>
      </c>
      <c r="C232" s="12">
        <f t="shared" si="15"/>
        <v>-1.5306122448979605E-2</v>
      </c>
      <c r="E232" s="20">
        <v>42153</v>
      </c>
      <c r="F232" s="18">
        <v>1.8959999999999999</v>
      </c>
      <c r="G232" s="12">
        <f t="shared" si="16"/>
        <v>-3.2653061224489827E-2</v>
      </c>
      <c r="H232" s="18">
        <v>1.897</v>
      </c>
      <c r="I232" s="12">
        <f t="shared" si="17"/>
        <v>-3.4114052953156795E-2</v>
      </c>
      <c r="J232" s="18">
        <v>1.9039999999999999</v>
      </c>
      <c r="K232" s="12">
        <f t="shared" si="18"/>
        <v>-3.3992897006595725E-2</v>
      </c>
      <c r="L232" s="18">
        <v>1.9179999999999999</v>
      </c>
      <c r="M232" s="12">
        <f t="shared" si="19"/>
        <v>-3.277861825516902E-2</v>
      </c>
    </row>
    <row r="233" spans="1:13" x14ac:dyDescent="0.25">
      <c r="A233" s="11">
        <v>42160</v>
      </c>
      <c r="B233" s="10">
        <v>1.9750000000000001</v>
      </c>
      <c r="C233" s="12">
        <f t="shared" si="15"/>
        <v>2.3316062176165882E-2</v>
      </c>
      <c r="E233" s="20">
        <v>42160</v>
      </c>
      <c r="F233" s="18">
        <v>1.895</v>
      </c>
      <c r="G233" s="12">
        <f t="shared" si="16"/>
        <v>-5.2742616033749469E-4</v>
      </c>
      <c r="H233" s="18">
        <v>1.9039999999999999</v>
      </c>
      <c r="I233" s="12">
        <f t="shared" si="17"/>
        <v>3.6900369003689485E-3</v>
      </c>
      <c r="J233" s="18">
        <v>1.9179999999999999</v>
      </c>
      <c r="K233" s="12">
        <f t="shared" si="18"/>
        <v>7.3529411764705951E-3</v>
      </c>
      <c r="L233" s="18">
        <v>1.9339999999999999</v>
      </c>
      <c r="M233" s="12">
        <f t="shared" si="19"/>
        <v>8.3420229405630937E-3</v>
      </c>
    </row>
    <row r="234" spans="1:13" x14ac:dyDescent="0.25">
      <c r="A234" s="11">
        <v>42167</v>
      </c>
      <c r="B234" s="10">
        <v>2.0409999999999999</v>
      </c>
      <c r="C234" s="12">
        <f t="shared" si="15"/>
        <v>3.341772151898726E-2</v>
      </c>
      <c r="E234" s="20">
        <v>42167</v>
      </c>
      <c r="F234" s="18">
        <v>1.9059999999999999</v>
      </c>
      <c r="G234" s="12">
        <f t="shared" si="16"/>
        <v>5.80474934036934E-3</v>
      </c>
      <c r="H234" s="18">
        <v>1.9139999999999999</v>
      </c>
      <c r="I234" s="12">
        <f t="shared" si="17"/>
        <v>5.2521008403361392E-3</v>
      </c>
      <c r="J234" s="18">
        <v>1.929</v>
      </c>
      <c r="K234" s="12">
        <f t="shared" si="18"/>
        <v>5.7351407716371853E-3</v>
      </c>
      <c r="L234" s="18">
        <v>1.9470000000000001</v>
      </c>
      <c r="M234" s="12">
        <f t="shared" si="19"/>
        <v>6.7218200620476334E-3</v>
      </c>
    </row>
    <row r="235" spans="1:13" x14ac:dyDescent="0.25">
      <c r="A235" s="11">
        <v>42174</v>
      </c>
      <c r="B235" s="10">
        <v>2.0489999999999999</v>
      </c>
      <c r="C235" s="12">
        <f t="shared" si="15"/>
        <v>3.919647231749146E-3</v>
      </c>
      <c r="E235" s="20">
        <v>42174</v>
      </c>
      <c r="F235" s="18">
        <v>1.889</v>
      </c>
      <c r="G235" s="12">
        <f t="shared" si="16"/>
        <v>-8.9192025183630133E-3</v>
      </c>
      <c r="H235" s="18">
        <v>1.8959999999999999</v>
      </c>
      <c r="I235" s="12">
        <f t="shared" si="17"/>
        <v>-9.4043887147335515E-3</v>
      </c>
      <c r="J235" s="18">
        <v>1.91</v>
      </c>
      <c r="K235" s="12">
        <f t="shared" si="18"/>
        <v>-9.8496630378435077E-3</v>
      </c>
      <c r="L235" s="18">
        <v>1.9279999999999999</v>
      </c>
      <c r="M235" s="12">
        <f t="shared" si="19"/>
        <v>-9.758602978942028E-3</v>
      </c>
    </row>
    <row r="236" spans="1:13" x14ac:dyDescent="0.25">
      <c r="A236" s="11">
        <v>42181</v>
      </c>
      <c r="B236" s="10">
        <v>1.976</v>
      </c>
      <c r="C236" s="12">
        <f t="shared" si="15"/>
        <v>-3.5627135187896515E-2</v>
      </c>
      <c r="E236" s="20">
        <v>42181</v>
      </c>
      <c r="F236" s="18">
        <v>1.8759999999999999</v>
      </c>
      <c r="G236" s="12">
        <f t="shared" si="16"/>
        <v>-6.8819481206988473E-3</v>
      </c>
      <c r="H236" s="18">
        <v>1.883</v>
      </c>
      <c r="I236" s="12">
        <f t="shared" si="17"/>
        <v>-6.8565400843881331E-3</v>
      </c>
      <c r="J236" s="18">
        <v>1.897</v>
      </c>
      <c r="K236" s="12">
        <f t="shared" si="18"/>
        <v>-6.8062827225130376E-3</v>
      </c>
      <c r="L236" s="18">
        <v>1.917</v>
      </c>
      <c r="M236" s="12">
        <f t="shared" si="19"/>
        <v>-5.7053941908713169E-3</v>
      </c>
    </row>
    <row r="237" spans="1:13" x14ac:dyDescent="0.25">
      <c r="A237" s="11">
        <v>42188</v>
      </c>
      <c r="B237" s="10">
        <v>1.958</v>
      </c>
      <c r="C237" s="12">
        <f t="shared" si="15"/>
        <v>-9.1093117408906962E-3</v>
      </c>
      <c r="E237" s="20">
        <v>42188</v>
      </c>
      <c r="F237" s="18">
        <v>1.851</v>
      </c>
      <c r="G237" s="12">
        <f t="shared" si="16"/>
        <v>-1.3326226012793131E-2</v>
      </c>
      <c r="H237" s="18">
        <v>1.861</v>
      </c>
      <c r="I237" s="12">
        <f t="shared" si="17"/>
        <v>-1.1683483802442921E-2</v>
      </c>
      <c r="J237" s="18">
        <v>1.877</v>
      </c>
      <c r="K237" s="12">
        <f t="shared" si="18"/>
        <v>-1.0542962572482877E-2</v>
      </c>
      <c r="L237" s="18">
        <v>1.8959999999999999</v>
      </c>
      <c r="M237" s="12">
        <f t="shared" si="19"/>
        <v>-1.0954616588419473E-2</v>
      </c>
    </row>
    <row r="238" spans="1:13" x14ac:dyDescent="0.25">
      <c r="A238" s="11">
        <v>42195</v>
      </c>
      <c r="B238" s="10">
        <v>1.952</v>
      </c>
      <c r="C238" s="12">
        <f t="shared" si="15"/>
        <v>-3.0643513789581234E-3</v>
      </c>
      <c r="E238" s="20">
        <v>42195</v>
      </c>
      <c r="F238" s="18">
        <v>1.722</v>
      </c>
      <c r="G238" s="12">
        <f t="shared" si="16"/>
        <v>-6.9692058346839544E-2</v>
      </c>
      <c r="H238" s="18">
        <v>1.7390000000000001</v>
      </c>
      <c r="I238" s="12">
        <f t="shared" si="17"/>
        <v>-6.5556152606125684E-2</v>
      </c>
      <c r="J238" s="18">
        <v>1.7569999999999999</v>
      </c>
      <c r="K238" s="12">
        <f t="shared" si="18"/>
        <v>-6.3931806073521627E-2</v>
      </c>
      <c r="L238" s="18">
        <v>1.776</v>
      </c>
      <c r="M238" s="12">
        <f t="shared" si="19"/>
        <v>-6.3291139240506278E-2</v>
      </c>
    </row>
    <row r="239" spans="1:13" x14ac:dyDescent="0.25">
      <c r="A239" s="11">
        <v>42202</v>
      </c>
      <c r="B239" s="10">
        <v>1.8560000000000001</v>
      </c>
      <c r="C239" s="12">
        <f t="shared" si="15"/>
        <v>-4.9180327868852389E-2</v>
      </c>
      <c r="E239" s="20">
        <v>42202</v>
      </c>
      <c r="F239" s="18">
        <v>1.6890000000000001</v>
      </c>
      <c r="G239" s="12">
        <f t="shared" si="16"/>
        <v>-1.9163763066202044E-2</v>
      </c>
      <c r="H239" s="18">
        <v>1.704</v>
      </c>
      <c r="I239" s="12">
        <f t="shared" si="17"/>
        <v>-2.0126509488211698E-2</v>
      </c>
      <c r="J239" s="18">
        <v>1.7250000000000001</v>
      </c>
      <c r="K239" s="12">
        <f t="shared" si="18"/>
        <v>-1.8212862834376668E-2</v>
      </c>
      <c r="L239" s="18">
        <v>1.7470000000000001</v>
      </c>
      <c r="M239" s="12">
        <f t="shared" si="19"/>
        <v>-1.632882882882878E-2</v>
      </c>
    </row>
    <row r="240" spans="1:13" x14ac:dyDescent="0.25">
      <c r="A240" s="11">
        <v>42209</v>
      </c>
      <c r="B240" s="10">
        <v>1.823</v>
      </c>
      <c r="C240" s="12">
        <f t="shared" si="15"/>
        <v>-1.7780172413793177E-2</v>
      </c>
      <c r="E240" s="20">
        <v>42209</v>
      </c>
      <c r="F240" s="18">
        <v>1.659</v>
      </c>
      <c r="G240" s="12">
        <f t="shared" si="16"/>
        <v>-1.7761989342806411E-2</v>
      </c>
      <c r="H240" s="18">
        <v>1.6679999999999999</v>
      </c>
      <c r="I240" s="12">
        <f t="shared" si="17"/>
        <v>-2.1126760563380302E-2</v>
      </c>
      <c r="J240" s="18">
        <v>1.6839999999999999</v>
      </c>
      <c r="K240" s="12">
        <f t="shared" si="18"/>
        <v>-2.3768115942029069E-2</v>
      </c>
      <c r="L240" s="18">
        <v>1.702</v>
      </c>
      <c r="M240" s="12">
        <f t="shared" si="19"/>
        <v>-2.5758443045220462E-2</v>
      </c>
    </row>
    <row r="241" spans="1:13" x14ac:dyDescent="0.25">
      <c r="A241" s="11">
        <v>42216</v>
      </c>
      <c r="B241" s="10">
        <v>1.7470000000000001</v>
      </c>
      <c r="C241" s="12">
        <f t="shared" si="15"/>
        <v>-4.1689522764673533E-2</v>
      </c>
      <c r="E241" s="20">
        <v>42216</v>
      </c>
      <c r="F241" s="18">
        <v>1.5960000000000001</v>
      </c>
      <c r="G241" s="12">
        <f t="shared" si="16"/>
        <v>-3.7974683544303764E-2</v>
      </c>
      <c r="H241" s="18">
        <v>1.6040000000000001</v>
      </c>
      <c r="I241" s="12">
        <f t="shared" si="17"/>
        <v>-3.8369304556354816E-2</v>
      </c>
      <c r="J241" s="18">
        <v>1.621</v>
      </c>
      <c r="K241" s="12">
        <f t="shared" si="18"/>
        <v>-3.7410926365795696E-2</v>
      </c>
      <c r="L241" s="18">
        <v>1.641</v>
      </c>
      <c r="M241" s="12">
        <f t="shared" si="19"/>
        <v>-3.5840188014101028E-2</v>
      </c>
    </row>
    <row r="242" spans="1:13" x14ac:dyDescent="0.25">
      <c r="A242" s="11">
        <v>42223</v>
      </c>
      <c r="B242" s="10">
        <v>1.6950000000000001</v>
      </c>
      <c r="C242" s="12">
        <f t="shared" si="15"/>
        <v>-2.9765311963365796E-2</v>
      </c>
      <c r="E242" s="20">
        <v>42223</v>
      </c>
      <c r="F242" s="18">
        <v>1.542</v>
      </c>
      <c r="G242" s="12">
        <f t="shared" si="16"/>
        <v>-3.3834586466165439E-2</v>
      </c>
      <c r="H242" s="18">
        <v>1.5580000000000001</v>
      </c>
      <c r="I242" s="12">
        <f t="shared" si="17"/>
        <v>-2.8678304239401521E-2</v>
      </c>
      <c r="J242" s="18">
        <v>1.575</v>
      </c>
      <c r="K242" s="12">
        <f t="shared" si="18"/>
        <v>-2.8377544725478127E-2</v>
      </c>
      <c r="L242" s="18">
        <v>1.593</v>
      </c>
      <c r="M242" s="12">
        <f t="shared" si="19"/>
        <v>-2.9250457038391249E-2</v>
      </c>
    </row>
    <row r="243" spans="1:13" x14ac:dyDescent="0.25">
      <c r="A243" s="11">
        <v>42230</v>
      </c>
      <c r="B243" s="10">
        <v>1.724</v>
      </c>
      <c r="C243" s="12">
        <f t="shared" si="15"/>
        <v>1.7109144542772809E-2</v>
      </c>
      <c r="E243" s="20">
        <v>42230</v>
      </c>
      <c r="F243" s="18">
        <v>1.5740000000000001</v>
      </c>
      <c r="G243" s="12">
        <f t="shared" si="16"/>
        <v>2.075226977950715E-2</v>
      </c>
      <c r="H243" s="18">
        <v>1.5840000000000001</v>
      </c>
      <c r="I243" s="12">
        <f t="shared" si="17"/>
        <v>1.6688061617458293E-2</v>
      </c>
      <c r="J243" s="18">
        <v>1.5980000000000001</v>
      </c>
      <c r="K243" s="12">
        <f t="shared" si="18"/>
        <v>1.4603174603174687E-2</v>
      </c>
      <c r="L243" s="18">
        <v>1.6120000000000001</v>
      </c>
      <c r="M243" s="12">
        <f t="shared" si="19"/>
        <v>1.1927181418706924E-2</v>
      </c>
    </row>
    <row r="244" spans="1:13" x14ac:dyDescent="0.25">
      <c r="A244" s="11">
        <v>42237</v>
      </c>
      <c r="B244" s="10">
        <v>1.593</v>
      </c>
      <c r="C244" s="12">
        <f t="shared" si="15"/>
        <v>-7.5986078886310912E-2</v>
      </c>
      <c r="E244" s="20">
        <v>42237</v>
      </c>
      <c r="F244" s="18">
        <v>1.518</v>
      </c>
      <c r="G244" s="12">
        <f t="shared" si="16"/>
        <v>-3.5578144853875504E-2</v>
      </c>
      <c r="H244" s="18">
        <v>1.5289999999999999</v>
      </c>
      <c r="I244" s="12">
        <f t="shared" si="17"/>
        <v>-3.4722222222222321E-2</v>
      </c>
      <c r="J244" s="18">
        <v>1.5429999999999999</v>
      </c>
      <c r="K244" s="12">
        <f t="shared" si="18"/>
        <v>-3.44180225281603E-2</v>
      </c>
      <c r="L244" s="18">
        <v>1.5580000000000001</v>
      </c>
      <c r="M244" s="12">
        <f t="shared" si="19"/>
        <v>-3.3498759305210943E-2</v>
      </c>
    </row>
    <row r="245" spans="1:13" x14ac:dyDescent="0.25">
      <c r="A245" s="11">
        <v>42244</v>
      </c>
      <c r="B245" s="10">
        <v>1.4630000000000001</v>
      </c>
      <c r="C245" s="12">
        <f t="shared" si="15"/>
        <v>-8.1607030759573068E-2</v>
      </c>
      <c r="E245" s="20">
        <v>42244</v>
      </c>
      <c r="F245" s="18">
        <v>1.448</v>
      </c>
      <c r="G245" s="12">
        <f t="shared" si="16"/>
        <v>-4.6113306982872242E-2</v>
      </c>
      <c r="H245" s="18">
        <v>1.464</v>
      </c>
      <c r="I245" s="12">
        <f t="shared" si="17"/>
        <v>-4.2511445389143199E-2</v>
      </c>
      <c r="J245" s="18">
        <v>1.482</v>
      </c>
      <c r="K245" s="12">
        <f t="shared" si="18"/>
        <v>-3.9533376539209297E-2</v>
      </c>
      <c r="L245" s="18">
        <v>1.5</v>
      </c>
      <c r="M245" s="12">
        <f t="shared" si="19"/>
        <v>-3.7227214377406961E-2</v>
      </c>
    </row>
    <row r="246" spans="1:13" x14ac:dyDescent="0.25">
      <c r="A246" s="11">
        <v>42251</v>
      </c>
      <c r="B246" s="10">
        <v>1.538</v>
      </c>
      <c r="C246" s="12">
        <f t="shared" si="15"/>
        <v>5.1264524948735443E-2</v>
      </c>
      <c r="E246" s="20">
        <v>42251</v>
      </c>
      <c r="F246" s="18">
        <v>1.615</v>
      </c>
      <c r="G246" s="12">
        <f t="shared" si="16"/>
        <v>0.11533149171270721</v>
      </c>
      <c r="H246" s="18">
        <v>1.6339999999999999</v>
      </c>
      <c r="I246" s="12">
        <f t="shared" si="17"/>
        <v>0.11612021857923492</v>
      </c>
      <c r="J246" s="18">
        <v>1.651</v>
      </c>
      <c r="K246" s="12">
        <f t="shared" si="18"/>
        <v>0.11403508771929827</v>
      </c>
      <c r="L246" s="18">
        <v>1.6679999999999999</v>
      </c>
      <c r="M246" s="12">
        <f t="shared" si="19"/>
        <v>0.11199999999999995</v>
      </c>
    </row>
    <row r="247" spans="1:13" x14ac:dyDescent="0.25">
      <c r="A247" s="11">
        <v>42258</v>
      </c>
      <c r="B247" s="10">
        <v>1.49</v>
      </c>
      <c r="C247" s="12">
        <f t="shared" si="15"/>
        <v>-3.1209362808842681E-2</v>
      </c>
      <c r="E247" s="20">
        <v>42258</v>
      </c>
      <c r="F247" s="18">
        <v>1.5640000000000001</v>
      </c>
      <c r="G247" s="12">
        <f t="shared" si="16"/>
        <v>-3.1578947368421012E-2</v>
      </c>
      <c r="H247" s="18">
        <v>1.5820000000000001</v>
      </c>
      <c r="I247" s="12">
        <f t="shared" si="17"/>
        <v>-3.1823745410036616E-2</v>
      </c>
      <c r="J247" s="18">
        <v>1.6</v>
      </c>
      <c r="K247" s="12">
        <f t="shared" si="18"/>
        <v>-3.0890369473046599E-2</v>
      </c>
      <c r="L247" s="18">
        <v>1.6180000000000001</v>
      </c>
      <c r="M247" s="12">
        <f t="shared" si="19"/>
        <v>-2.9976019184652172E-2</v>
      </c>
    </row>
    <row r="248" spans="1:13" x14ac:dyDescent="0.25">
      <c r="A248" s="11">
        <v>42265</v>
      </c>
      <c r="B248" s="10">
        <v>1.431</v>
      </c>
      <c r="C248" s="12">
        <f t="shared" si="15"/>
        <v>-3.9597315436241572E-2</v>
      </c>
      <c r="E248" s="20">
        <v>42265</v>
      </c>
      <c r="F248" s="18">
        <v>1.5129999999999999</v>
      </c>
      <c r="G248" s="12">
        <f t="shared" si="16"/>
        <v>-3.2608695652174009E-2</v>
      </c>
      <c r="H248" s="18">
        <v>1.5349999999999999</v>
      </c>
      <c r="I248" s="12">
        <f t="shared" si="17"/>
        <v>-2.9709228824273168E-2</v>
      </c>
      <c r="J248" s="18">
        <v>1.5549999999999999</v>
      </c>
      <c r="K248" s="12">
        <f t="shared" si="18"/>
        <v>-2.8125000000000094E-2</v>
      </c>
      <c r="L248" s="18">
        <v>1.5760000000000001</v>
      </c>
      <c r="M248" s="12">
        <f t="shared" si="19"/>
        <v>-2.5957972805933271E-2</v>
      </c>
    </row>
    <row r="249" spans="1:13" x14ac:dyDescent="0.25">
      <c r="A249" s="11">
        <v>42272</v>
      </c>
      <c r="B249" s="10">
        <v>1.446</v>
      </c>
      <c r="C249" s="12">
        <f t="shared" si="15"/>
        <v>1.0482180293500979E-2</v>
      </c>
      <c r="E249" s="20">
        <v>42272</v>
      </c>
      <c r="F249" s="18">
        <v>1.52</v>
      </c>
      <c r="G249" s="12">
        <f t="shared" si="16"/>
        <v>4.6265697290152792E-3</v>
      </c>
      <c r="H249" s="18">
        <v>1.5429999999999999</v>
      </c>
      <c r="I249" s="12">
        <f t="shared" si="17"/>
        <v>5.2117263843648254E-3</v>
      </c>
      <c r="J249" s="18">
        <v>1.5629999999999999</v>
      </c>
      <c r="K249" s="12">
        <f t="shared" si="18"/>
        <v>5.1446945337620623E-3</v>
      </c>
      <c r="L249" s="18">
        <v>1.5840000000000001</v>
      </c>
      <c r="M249" s="12">
        <f t="shared" si="19"/>
        <v>5.0761421319796994E-3</v>
      </c>
    </row>
    <row r="250" spans="1:13" x14ac:dyDescent="0.25">
      <c r="A250" s="11">
        <v>42279</v>
      </c>
      <c r="B250" s="10">
        <v>1.4179999999999999</v>
      </c>
      <c r="C250" s="12">
        <f t="shared" si="15"/>
        <v>-1.9363762102351332E-2</v>
      </c>
      <c r="E250" s="20">
        <v>42279</v>
      </c>
      <c r="F250" s="18">
        <v>1.5049999999999999</v>
      </c>
      <c r="G250" s="12">
        <f t="shared" si="16"/>
        <v>-9.8684210526316599E-3</v>
      </c>
      <c r="H250" s="18">
        <v>1.53</v>
      </c>
      <c r="I250" s="12">
        <f t="shared" si="17"/>
        <v>-8.4251458198314338E-3</v>
      </c>
      <c r="J250" s="18">
        <v>1.5509999999999999</v>
      </c>
      <c r="K250" s="12">
        <f t="shared" si="18"/>
        <v>-7.6775431861804289E-3</v>
      </c>
      <c r="L250" s="18">
        <v>1.569</v>
      </c>
      <c r="M250" s="12">
        <f t="shared" si="19"/>
        <v>-9.469696969697048E-3</v>
      </c>
    </row>
    <row r="251" spans="1:13" x14ac:dyDescent="0.25">
      <c r="A251" s="11">
        <v>42286</v>
      </c>
      <c r="B251" s="10">
        <v>1.4770000000000001</v>
      </c>
      <c r="C251" s="12">
        <f t="shared" si="15"/>
        <v>4.1607898448519157E-2</v>
      </c>
      <c r="E251" s="20">
        <v>42286</v>
      </c>
      <c r="F251" s="18">
        <v>1.5860000000000001</v>
      </c>
      <c r="G251" s="12">
        <f t="shared" si="16"/>
        <v>5.382059800664464E-2</v>
      </c>
      <c r="H251" s="18">
        <v>1.613</v>
      </c>
      <c r="I251" s="12">
        <f t="shared" si="17"/>
        <v>5.4248366013071869E-2</v>
      </c>
      <c r="J251" s="18">
        <v>1.6359999999999999</v>
      </c>
      <c r="K251" s="12">
        <f t="shared" si="18"/>
        <v>5.4803352675693078E-2</v>
      </c>
      <c r="L251" s="18">
        <v>1.6519999999999999</v>
      </c>
      <c r="M251" s="12">
        <f t="shared" si="19"/>
        <v>5.2899936265137011E-2</v>
      </c>
    </row>
    <row r="252" spans="1:13" x14ac:dyDescent="0.25">
      <c r="A252" s="11">
        <v>42293</v>
      </c>
      <c r="B252" s="10">
        <v>1.3819999999999999</v>
      </c>
      <c r="C252" s="12">
        <f t="shared" si="15"/>
        <v>-6.4319566689235066E-2</v>
      </c>
      <c r="E252" s="20">
        <v>42293</v>
      </c>
      <c r="F252" s="18">
        <v>1.484</v>
      </c>
      <c r="G252" s="12">
        <f t="shared" si="16"/>
        <v>-6.4312736443884036E-2</v>
      </c>
      <c r="H252" s="18">
        <v>1.516</v>
      </c>
      <c r="I252" s="12">
        <f t="shared" si="17"/>
        <v>-6.0136391816490997E-2</v>
      </c>
      <c r="J252" s="18">
        <v>1.548</v>
      </c>
      <c r="K252" s="12">
        <f t="shared" si="18"/>
        <v>-5.3789731051344658E-2</v>
      </c>
      <c r="L252" s="18">
        <v>1.57</v>
      </c>
      <c r="M252" s="12">
        <f t="shared" si="19"/>
        <v>-4.9636803874091924E-2</v>
      </c>
    </row>
    <row r="253" spans="1:13" x14ac:dyDescent="0.25">
      <c r="A253" s="11">
        <v>42300</v>
      </c>
      <c r="B253" s="10">
        <v>1.337</v>
      </c>
      <c r="C253" s="12">
        <f t="shared" si="15"/>
        <v>-3.256150506512296E-2</v>
      </c>
      <c r="E253" s="20">
        <v>42300</v>
      </c>
      <c r="F253" s="18">
        <v>1.4530000000000001</v>
      </c>
      <c r="G253" s="12">
        <f t="shared" si="16"/>
        <v>-2.088948787061989E-2</v>
      </c>
      <c r="H253" s="18">
        <v>1.4790000000000001</v>
      </c>
      <c r="I253" s="12">
        <f t="shared" si="17"/>
        <v>-2.4406332453825806E-2</v>
      </c>
      <c r="J253" s="18">
        <v>1.5069999999999999</v>
      </c>
      <c r="K253" s="12">
        <f t="shared" si="18"/>
        <v>-2.6485788113695185E-2</v>
      </c>
      <c r="L253" s="18">
        <v>1.528</v>
      </c>
      <c r="M253" s="12">
        <f t="shared" si="19"/>
        <v>-2.675159235668792E-2</v>
      </c>
    </row>
    <row r="254" spans="1:13" x14ac:dyDescent="0.25">
      <c r="A254" s="11">
        <v>42307</v>
      </c>
      <c r="B254" s="10">
        <v>1.381</v>
      </c>
      <c r="C254" s="12">
        <f t="shared" si="15"/>
        <v>3.2909498878085294E-2</v>
      </c>
      <c r="E254" s="20">
        <v>42307</v>
      </c>
      <c r="F254" s="18">
        <v>1.462</v>
      </c>
      <c r="G254" s="12">
        <f t="shared" si="16"/>
        <v>6.1940812112869208E-3</v>
      </c>
      <c r="H254" s="18">
        <v>1.4830000000000001</v>
      </c>
      <c r="I254" s="12">
        <f t="shared" si="17"/>
        <v>2.70453008789723E-3</v>
      </c>
      <c r="J254" s="18">
        <v>1.51</v>
      </c>
      <c r="K254" s="12">
        <f t="shared" si="18"/>
        <v>1.9907100199071759E-3</v>
      </c>
      <c r="L254" s="18">
        <v>1.53</v>
      </c>
      <c r="M254" s="12">
        <f t="shared" si="19"/>
        <v>1.3089005235602106E-3</v>
      </c>
    </row>
    <row r="255" spans="1:13" x14ac:dyDescent="0.25">
      <c r="A255" s="11">
        <v>42314</v>
      </c>
      <c r="B255" s="10">
        <v>1.4490000000000001</v>
      </c>
      <c r="C255" s="12">
        <f t="shared" si="15"/>
        <v>4.9239681390296927E-2</v>
      </c>
      <c r="E255" s="20">
        <v>42314</v>
      </c>
      <c r="F255" s="18">
        <v>1.5109999999999999</v>
      </c>
      <c r="G255" s="12">
        <f t="shared" si="16"/>
        <v>3.3515731874144965E-2</v>
      </c>
      <c r="H255" s="18">
        <v>1.534</v>
      </c>
      <c r="I255" s="12">
        <f t="shared" si="17"/>
        <v>3.4389750505731578E-2</v>
      </c>
      <c r="J255" s="18">
        <v>1.552</v>
      </c>
      <c r="K255" s="12">
        <f t="shared" si="18"/>
        <v>2.7814569536423864E-2</v>
      </c>
      <c r="L255" s="18">
        <v>1.56</v>
      </c>
      <c r="M255" s="12">
        <f t="shared" si="19"/>
        <v>1.9607843137254919E-2</v>
      </c>
    </row>
    <row r="256" spans="1:13" x14ac:dyDescent="0.25">
      <c r="A256" s="11">
        <v>42321</v>
      </c>
      <c r="B256" s="10">
        <v>1.3720000000000001</v>
      </c>
      <c r="C256" s="12">
        <f t="shared" si="15"/>
        <v>-5.3140096618357453E-2</v>
      </c>
      <c r="E256" s="20">
        <v>42321</v>
      </c>
      <c r="F256" s="18">
        <v>1.4379999999999999</v>
      </c>
      <c r="G256" s="12">
        <f t="shared" si="16"/>
        <v>-4.8312375909993356E-2</v>
      </c>
      <c r="H256" s="18">
        <v>1.46</v>
      </c>
      <c r="I256" s="12">
        <f t="shared" si="17"/>
        <v>-4.8239895697522857E-2</v>
      </c>
      <c r="J256" s="18">
        <v>1.4790000000000001</v>
      </c>
      <c r="K256" s="12">
        <f t="shared" si="18"/>
        <v>-4.7036082474226776E-2</v>
      </c>
      <c r="L256" s="18">
        <v>1.49</v>
      </c>
      <c r="M256" s="12">
        <f t="shared" si="19"/>
        <v>-4.4871794871794907E-2</v>
      </c>
    </row>
    <row r="257" spans="1:13" x14ac:dyDescent="0.25">
      <c r="A257" s="11">
        <v>42328</v>
      </c>
      <c r="B257" s="10">
        <v>1.3160000000000001</v>
      </c>
      <c r="C257" s="12">
        <f t="shared" si="15"/>
        <v>-4.0816326530612276E-2</v>
      </c>
      <c r="E257" s="20">
        <v>42328</v>
      </c>
      <c r="F257" s="18">
        <v>1.375</v>
      </c>
      <c r="G257" s="12">
        <f t="shared" si="16"/>
        <v>-4.3810848400556289E-2</v>
      </c>
      <c r="H257" s="18">
        <v>1.3979999999999999</v>
      </c>
      <c r="I257" s="12">
        <f t="shared" si="17"/>
        <v>-4.2465753424657575E-2</v>
      </c>
      <c r="J257" s="18">
        <v>1.419</v>
      </c>
      <c r="K257" s="12">
        <f t="shared" si="18"/>
        <v>-4.0567951318458452E-2</v>
      </c>
      <c r="L257" s="18">
        <v>1.4330000000000001</v>
      </c>
      <c r="M257" s="12">
        <f t="shared" si="19"/>
        <v>-3.8255033557046937E-2</v>
      </c>
    </row>
    <row r="258" spans="1:13" x14ac:dyDescent="0.25">
      <c r="A258" s="11">
        <v>42335</v>
      </c>
      <c r="B258" s="10">
        <v>1.371</v>
      </c>
      <c r="C258" s="12">
        <f t="shared" si="15"/>
        <v>4.1793313069908765E-2</v>
      </c>
      <c r="E258" s="20">
        <v>42335</v>
      </c>
      <c r="F258" s="18">
        <v>1.3819999999999999</v>
      </c>
      <c r="G258" s="12">
        <f t="shared" si="16"/>
        <v>5.0909090909090149E-3</v>
      </c>
      <c r="H258" s="18">
        <v>1.4079999999999999</v>
      </c>
      <c r="I258" s="12">
        <f t="shared" si="17"/>
        <v>7.1530758226037265E-3</v>
      </c>
      <c r="J258" s="18">
        <v>1.43</v>
      </c>
      <c r="K258" s="12">
        <f t="shared" si="18"/>
        <v>7.7519379844960528E-3</v>
      </c>
      <c r="L258" s="18">
        <v>1.448</v>
      </c>
      <c r="M258" s="12">
        <f t="shared" si="19"/>
        <v>1.0467550593161132E-2</v>
      </c>
    </row>
    <row r="259" spans="1:13" x14ac:dyDescent="0.25">
      <c r="A259" s="11">
        <v>42342</v>
      </c>
      <c r="B259" s="10">
        <v>1.365</v>
      </c>
      <c r="C259" s="12">
        <f t="shared" si="15"/>
        <v>-4.3763676148796541E-3</v>
      </c>
      <c r="E259" s="20">
        <v>42342</v>
      </c>
      <c r="F259" s="18">
        <v>1.3420000000000001</v>
      </c>
      <c r="G259" s="12">
        <f t="shared" si="16"/>
        <v>-2.8943560057886987E-2</v>
      </c>
      <c r="H259" s="18">
        <v>1.3680000000000001</v>
      </c>
      <c r="I259" s="12">
        <f t="shared" si="17"/>
        <v>-2.840909090909078E-2</v>
      </c>
      <c r="J259" s="18">
        <v>1.39</v>
      </c>
      <c r="K259" s="12">
        <f t="shared" si="18"/>
        <v>-2.7972027972028E-2</v>
      </c>
      <c r="L259" s="18">
        <v>1.403</v>
      </c>
      <c r="M259" s="12">
        <f t="shared" si="19"/>
        <v>-3.1077348066298294E-2</v>
      </c>
    </row>
    <row r="260" spans="1:13" x14ac:dyDescent="0.25">
      <c r="A260" s="11">
        <v>42349</v>
      </c>
      <c r="B260" s="10">
        <v>1.2490000000000001</v>
      </c>
      <c r="C260" s="12">
        <f t="shared" si="15"/>
        <v>-8.4981684981684902E-2</v>
      </c>
      <c r="E260" s="20">
        <v>42349</v>
      </c>
      <c r="F260" s="18">
        <v>1.23</v>
      </c>
      <c r="G260" s="12">
        <f t="shared" si="16"/>
        <v>-8.3457526080476963E-2</v>
      </c>
      <c r="H260" s="18">
        <v>1.258</v>
      </c>
      <c r="I260" s="12">
        <f t="shared" si="17"/>
        <v>-8.0409356725146264E-2</v>
      </c>
      <c r="J260" s="18">
        <v>1.284</v>
      </c>
      <c r="K260" s="12">
        <f t="shared" si="18"/>
        <v>-7.6258992805755307E-2</v>
      </c>
      <c r="L260" s="18">
        <v>1.302</v>
      </c>
      <c r="M260" s="12">
        <f t="shared" si="19"/>
        <v>-7.1988595866001412E-2</v>
      </c>
    </row>
    <row r="261" spans="1:13" x14ac:dyDescent="0.25">
      <c r="A261" s="11">
        <v>42356</v>
      </c>
      <c r="B261" s="10">
        <v>1.2649999999999999</v>
      </c>
      <c r="C261" s="12">
        <f t="shared" ref="C261:C324" si="20">(B261-B260)/B260</f>
        <v>1.281024819855868E-2</v>
      </c>
      <c r="E261" s="20">
        <v>42356</v>
      </c>
      <c r="F261" s="18">
        <v>1.1200000000000001</v>
      </c>
      <c r="G261" s="12">
        <f t="shared" ref="G261:G324" si="21">(F261-F260)/F260</f>
        <v>-8.9430894308942993E-2</v>
      </c>
      <c r="H261" s="18">
        <v>1.1559999999999999</v>
      </c>
      <c r="I261" s="12">
        <f t="shared" ref="I261:I324" si="22">(H261-H260)/H260</f>
        <v>-8.1081081081081155E-2</v>
      </c>
      <c r="J261" s="18">
        <v>1.19</v>
      </c>
      <c r="K261" s="12">
        <f t="shared" ref="K261:K324" si="23">(J261-J260)/J260</f>
        <v>-7.3208722741433085E-2</v>
      </c>
      <c r="L261" s="18">
        <v>1.2150000000000001</v>
      </c>
      <c r="M261" s="12">
        <f t="shared" ref="M261:M324" si="24">(L261-L260)/L260</f>
        <v>-6.6820276497695827E-2</v>
      </c>
    </row>
    <row r="262" spans="1:13" x14ac:dyDescent="0.25">
      <c r="A262" s="11">
        <v>42363</v>
      </c>
      <c r="B262" s="10">
        <v>1.2450000000000001</v>
      </c>
      <c r="C262" s="12">
        <f t="shared" si="20"/>
        <v>-1.5810276679841737E-2</v>
      </c>
      <c r="E262" s="20">
        <v>42363</v>
      </c>
      <c r="F262" s="18">
        <v>1.1020000000000001</v>
      </c>
      <c r="G262" s="12">
        <f t="shared" si="21"/>
        <v>-1.6071428571428584E-2</v>
      </c>
      <c r="H262" s="18">
        <v>1.133</v>
      </c>
      <c r="I262" s="12">
        <f t="shared" si="22"/>
        <v>-1.9896193771626221E-2</v>
      </c>
      <c r="J262" s="18">
        <v>1.161</v>
      </c>
      <c r="K262" s="12">
        <f t="shared" si="23"/>
        <v>-2.4369747899159595E-2</v>
      </c>
      <c r="L262" s="18">
        <v>1.1830000000000001</v>
      </c>
      <c r="M262" s="12">
        <f t="shared" si="24"/>
        <v>-2.6337448559670802E-2</v>
      </c>
    </row>
    <row r="263" spans="1:13" x14ac:dyDescent="0.25">
      <c r="A263" s="11">
        <v>42370</v>
      </c>
      <c r="B263" s="10">
        <v>1.2769999999999999</v>
      </c>
      <c r="C263" s="12">
        <f t="shared" si="20"/>
        <v>2.5702811244979761E-2</v>
      </c>
      <c r="E263" s="20">
        <v>42370</v>
      </c>
      <c r="F263" s="18">
        <v>1.1000000000000001</v>
      </c>
      <c r="G263" s="12">
        <f t="shared" si="21"/>
        <v>-1.814882032667878E-3</v>
      </c>
      <c r="H263" s="18">
        <v>1.129</v>
      </c>
      <c r="I263" s="12">
        <f t="shared" si="22"/>
        <v>-3.5304501323918831E-3</v>
      </c>
      <c r="J263" s="18">
        <v>1.1539999999999999</v>
      </c>
      <c r="K263" s="12">
        <f t="shared" si="23"/>
        <v>-6.0292850990526416E-3</v>
      </c>
      <c r="L263" s="18">
        <v>1.173</v>
      </c>
      <c r="M263" s="12">
        <f t="shared" si="24"/>
        <v>-8.453085376162307E-3</v>
      </c>
    </row>
    <row r="264" spans="1:13" x14ac:dyDescent="0.25">
      <c r="A264" s="11">
        <v>42377</v>
      </c>
      <c r="B264" s="10">
        <v>1.2030000000000001</v>
      </c>
      <c r="C264" s="12">
        <f t="shared" si="20"/>
        <v>-5.7948316366483829E-2</v>
      </c>
      <c r="E264" s="20">
        <v>42377</v>
      </c>
      <c r="F264" s="18">
        <v>1.0900000000000001</v>
      </c>
      <c r="G264" s="12">
        <f t="shared" si="21"/>
        <v>-9.0909090909090974E-3</v>
      </c>
      <c r="H264" s="18">
        <v>1.1100000000000001</v>
      </c>
      <c r="I264" s="12">
        <f t="shared" si="22"/>
        <v>-1.6829052258635877E-2</v>
      </c>
      <c r="J264" s="18">
        <v>1.125</v>
      </c>
      <c r="K264" s="12">
        <f t="shared" si="23"/>
        <v>-2.5129982668977396E-2</v>
      </c>
      <c r="L264" s="18">
        <v>1.143</v>
      </c>
      <c r="M264" s="12">
        <f t="shared" si="24"/>
        <v>-2.5575447570332501E-2</v>
      </c>
    </row>
    <row r="265" spans="1:13" x14ac:dyDescent="0.25">
      <c r="A265" s="11">
        <v>42384</v>
      </c>
      <c r="B265" s="10">
        <v>1.083</v>
      </c>
      <c r="C265" s="12">
        <f t="shared" si="20"/>
        <v>-9.9750623441396596E-2</v>
      </c>
      <c r="E265" s="20">
        <v>42384</v>
      </c>
      <c r="F265" s="18">
        <v>0.97799999999999998</v>
      </c>
      <c r="G265" s="12">
        <f t="shared" si="21"/>
        <v>-0.10275229357798174</v>
      </c>
      <c r="H265" s="18">
        <v>0.995</v>
      </c>
      <c r="I265" s="12">
        <f t="shared" si="22"/>
        <v>-0.10360360360360368</v>
      </c>
      <c r="J265" s="18">
        <v>1.0109999999999999</v>
      </c>
      <c r="K265" s="12">
        <f t="shared" si="23"/>
        <v>-0.10133333333333343</v>
      </c>
      <c r="L265" s="18">
        <v>1.03</v>
      </c>
      <c r="M265" s="12">
        <f t="shared" si="24"/>
        <v>-9.8862642169728773E-2</v>
      </c>
    </row>
    <row r="266" spans="1:13" x14ac:dyDescent="0.25">
      <c r="A266" s="11">
        <v>42391</v>
      </c>
      <c r="B266" s="10">
        <v>1.0649999999999999</v>
      </c>
      <c r="C266" s="12">
        <f t="shared" si="20"/>
        <v>-1.6620498614958464E-2</v>
      </c>
      <c r="E266" s="20">
        <v>42391</v>
      </c>
      <c r="F266" s="18">
        <v>0.91700000000000004</v>
      </c>
      <c r="G266" s="12">
        <f t="shared" si="21"/>
        <v>-6.2372188139059245E-2</v>
      </c>
      <c r="H266" s="18">
        <v>0.93</v>
      </c>
      <c r="I266" s="12">
        <f t="shared" si="22"/>
        <v>-6.5326633165829096E-2</v>
      </c>
      <c r="J266" s="18">
        <v>0.94399999999999995</v>
      </c>
      <c r="K266" s="12">
        <f t="shared" si="23"/>
        <v>-6.6271018793273948E-2</v>
      </c>
      <c r="L266" s="18">
        <v>0.96299999999999997</v>
      </c>
      <c r="M266" s="12">
        <f t="shared" si="24"/>
        <v>-6.5048543689320448E-2</v>
      </c>
    </row>
    <row r="267" spans="1:13" x14ac:dyDescent="0.25">
      <c r="A267" s="11">
        <v>42398</v>
      </c>
      <c r="B267" s="10">
        <v>1.0980000000000001</v>
      </c>
      <c r="C267" s="12">
        <f t="shared" si="20"/>
        <v>3.0985915492957879E-2</v>
      </c>
      <c r="E267" s="20">
        <v>42398</v>
      </c>
      <c r="F267" s="18">
        <v>1.0029999999999999</v>
      </c>
      <c r="G267" s="12">
        <f t="shared" si="21"/>
        <v>9.3784078516902777E-2</v>
      </c>
      <c r="H267" s="18">
        <v>1.018</v>
      </c>
      <c r="I267" s="12">
        <f t="shared" si="22"/>
        <v>9.4623655913978449E-2</v>
      </c>
      <c r="J267" s="18">
        <v>1.0329999999999999</v>
      </c>
      <c r="K267" s="12">
        <f t="shared" si="23"/>
        <v>9.4279661016949123E-2</v>
      </c>
      <c r="L267" s="18">
        <v>1.052</v>
      </c>
      <c r="M267" s="12">
        <f t="shared" si="24"/>
        <v>9.2419522326064471E-2</v>
      </c>
    </row>
    <row r="268" spans="1:13" x14ac:dyDescent="0.25">
      <c r="A268" s="11">
        <v>42405</v>
      </c>
      <c r="B268" s="10">
        <v>1.0580000000000001</v>
      </c>
      <c r="C268" s="12">
        <f t="shared" si="20"/>
        <v>-3.6429872495446297E-2</v>
      </c>
      <c r="E268" s="20">
        <v>42405</v>
      </c>
      <c r="F268" s="18">
        <v>1.0529999999999999</v>
      </c>
      <c r="G268" s="12">
        <f t="shared" si="21"/>
        <v>4.9850448654037934E-2</v>
      </c>
      <c r="H268" s="18">
        <v>1.0649999999999999</v>
      </c>
      <c r="I268" s="12">
        <f t="shared" si="22"/>
        <v>4.6168958742632542E-2</v>
      </c>
      <c r="J268" s="18">
        <v>1.081</v>
      </c>
      <c r="K268" s="12">
        <f t="shared" si="23"/>
        <v>4.6466602129719307E-2</v>
      </c>
      <c r="L268" s="18">
        <v>1.1000000000000001</v>
      </c>
      <c r="M268" s="12">
        <f t="shared" si="24"/>
        <v>4.5627376425855549E-2</v>
      </c>
    </row>
    <row r="269" spans="1:13" x14ac:dyDescent="0.25">
      <c r="A269" s="11">
        <v>42412</v>
      </c>
      <c r="B269" s="10">
        <v>0.99399999999999999</v>
      </c>
      <c r="C269" s="12">
        <f t="shared" si="20"/>
        <v>-6.0491493383742961E-2</v>
      </c>
      <c r="E269" s="20">
        <v>42412</v>
      </c>
      <c r="F269" s="18">
        <v>1.0089999999999999</v>
      </c>
      <c r="G269" s="12">
        <f t="shared" si="21"/>
        <v>-4.1785375118708494E-2</v>
      </c>
      <c r="H269" s="18">
        <v>1.0189999999999999</v>
      </c>
      <c r="I269" s="12">
        <f t="shared" si="22"/>
        <v>-4.319248826291084E-2</v>
      </c>
      <c r="J269" s="18">
        <v>1.034</v>
      </c>
      <c r="K269" s="12">
        <f t="shared" si="23"/>
        <v>-4.3478260869565154E-2</v>
      </c>
      <c r="L269" s="18">
        <v>1.0509999999999999</v>
      </c>
      <c r="M269" s="12">
        <f t="shared" si="24"/>
        <v>-4.454545454545468E-2</v>
      </c>
    </row>
    <row r="270" spans="1:13" x14ac:dyDescent="0.25">
      <c r="A270" s="11">
        <v>42419</v>
      </c>
      <c r="B270" s="10">
        <v>1.109</v>
      </c>
      <c r="C270" s="12">
        <f t="shared" si="20"/>
        <v>0.11569416498993963</v>
      </c>
      <c r="E270" s="20">
        <v>42419</v>
      </c>
      <c r="F270" s="18">
        <v>1.0549999999999999</v>
      </c>
      <c r="G270" s="12">
        <f t="shared" si="21"/>
        <v>4.5589692765114022E-2</v>
      </c>
      <c r="H270" s="18">
        <v>1.069</v>
      </c>
      <c r="I270" s="12">
        <f t="shared" si="22"/>
        <v>4.9067713444553532E-2</v>
      </c>
      <c r="J270" s="18">
        <v>1.0860000000000001</v>
      </c>
      <c r="K270" s="12">
        <f t="shared" si="23"/>
        <v>5.0290135396518415E-2</v>
      </c>
      <c r="L270" s="18">
        <v>1.105</v>
      </c>
      <c r="M270" s="12">
        <f t="shared" si="24"/>
        <v>5.1379638439581397E-2</v>
      </c>
    </row>
    <row r="271" spans="1:13" x14ac:dyDescent="0.25">
      <c r="A271" s="11">
        <v>42426</v>
      </c>
      <c r="B271" s="10">
        <v>1.073</v>
      </c>
      <c r="C271" s="12">
        <f t="shared" si="20"/>
        <v>-3.2461677186654672E-2</v>
      </c>
      <c r="E271" s="20">
        <v>42426</v>
      </c>
      <c r="F271" s="18">
        <v>1.052</v>
      </c>
      <c r="G271" s="12">
        <f t="shared" si="21"/>
        <v>-2.8436018957344947E-3</v>
      </c>
      <c r="H271" s="18">
        <v>1.0669999999999999</v>
      </c>
      <c r="I271" s="12">
        <f t="shared" si="22"/>
        <v>-1.8709073900841926E-3</v>
      </c>
      <c r="J271" s="18">
        <v>1.087</v>
      </c>
      <c r="K271" s="12">
        <f t="shared" si="23"/>
        <v>9.20810313075405E-4</v>
      </c>
      <c r="L271" s="18">
        <v>1.1080000000000001</v>
      </c>
      <c r="M271" s="12">
        <f t="shared" si="24"/>
        <v>2.7149321266969357E-3</v>
      </c>
    </row>
    <row r="272" spans="1:13" x14ac:dyDescent="0.25">
      <c r="A272" s="11">
        <v>42433</v>
      </c>
      <c r="B272" s="10">
        <v>1.0469999999999999</v>
      </c>
      <c r="C272" s="12">
        <f t="shared" si="20"/>
        <v>-2.4231127679403563E-2</v>
      </c>
      <c r="E272" s="20">
        <v>42433</v>
      </c>
      <c r="F272" s="18">
        <v>1.113</v>
      </c>
      <c r="G272" s="12">
        <f t="shared" si="21"/>
        <v>5.7984790874524655E-2</v>
      </c>
      <c r="H272" s="18">
        <v>1.1299999999999999</v>
      </c>
      <c r="I272" s="12">
        <f t="shared" si="22"/>
        <v>5.9044048734770337E-2</v>
      </c>
      <c r="J272" s="18">
        <v>1.1479999999999999</v>
      </c>
      <c r="K272" s="12">
        <f t="shared" si="23"/>
        <v>5.6117755289788358E-2</v>
      </c>
      <c r="L272" s="18">
        <v>1.169</v>
      </c>
      <c r="M272" s="12">
        <f t="shared" si="24"/>
        <v>5.5054151624548679E-2</v>
      </c>
    </row>
    <row r="273" spans="1:13" x14ac:dyDescent="0.25">
      <c r="A273" s="11">
        <v>42440</v>
      </c>
      <c r="B273" s="10">
        <v>1.147</v>
      </c>
      <c r="C273" s="12">
        <f t="shared" si="20"/>
        <v>9.5510983763132856E-2</v>
      </c>
      <c r="E273" s="20">
        <v>42440</v>
      </c>
      <c r="F273" s="18">
        <v>1.218</v>
      </c>
      <c r="G273" s="12">
        <f t="shared" si="21"/>
        <v>9.4339622641509413E-2</v>
      </c>
      <c r="H273" s="18">
        <v>1.2290000000000001</v>
      </c>
      <c r="I273" s="12">
        <f t="shared" si="22"/>
        <v>8.7610619469026735E-2</v>
      </c>
      <c r="J273" s="18">
        <v>1.2430000000000001</v>
      </c>
      <c r="K273" s="12">
        <f t="shared" si="23"/>
        <v>8.2752613240418299E-2</v>
      </c>
      <c r="L273" s="18">
        <v>1.2609999999999999</v>
      </c>
      <c r="M273" s="12">
        <f t="shared" si="24"/>
        <v>7.8699743370401934E-2</v>
      </c>
    </row>
    <row r="274" spans="1:13" x14ac:dyDescent="0.25">
      <c r="A274" s="11">
        <v>42447</v>
      </c>
      <c r="B274" s="10">
        <v>1.181</v>
      </c>
      <c r="C274" s="12">
        <f t="shared" si="20"/>
        <v>2.9642545771578054E-2</v>
      </c>
      <c r="E274" s="20">
        <v>42447</v>
      </c>
      <c r="F274" s="18">
        <v>1.22</v>
      </c>
      <c r="G274" s="12">
        <f t="shared" si="21"/>
        <v>1.6420361247947469E-3</v>
      </c>
      <c r="H274" s="18">
        <v>1.2290000000000001</v>
      </c>
      <c r="I274" s="12">
        <f t="shared" si="22"/>
        <v>0</v>
      </c>
      <c r="J274" s="18">
        <v>1.2410000000000001</v>
      </c>
      <c r="K274" s="12">
        <f t="shared" si="23"/>
        <v>-1.6090104585679819E-3</v>
      </c>
      <c r="L274" s="18">
        <v>1.2569999999999999</v>
      </c>
      <c r="M274" s="12">
        <f t="shared" si="24"/>
        <v>-3.1720856463124535E-3</v>
      </c>
    </row>
    <row r="275" spans="1:13" x14ac:dyDescent="0.25">
      <c r="A275" s="11">
        <v>42454</v>
      </c>
      <c r="B275" s="10">
        <v>1.286</v>
      </c>
      <c r="C275" s="12">
        <f t="shared" si="20"/>
        <v>8.8907705334462295E-2</v>
      </c>
      <c r="E275" s="20">
        <v>42454</v>
      </c>
      <c r="F275" s="18">
        <v>1.2230000000000001</v>
      </c>
      <c r="G275" s="12">
        <f t="shared" si="21"/>
        <v>2.4590163934427164E-3</v>
      </c>
      <c r="H275" s="18">
        <v>1.234</v>
      </c>
      <c r="I275" s="12">
        <f t="shared" si="22"/>
        <v>4.0683482506101648E-3</v>
      </c>
      <c r="J275" s="18">
        <v>1.2490000000000001</v>
      </c>
      <c r="K275" s="12">
        <f t="shared" si="23"/>
        <v>6.4464141821112056E-3</v>
      </c>
      <c r="L275" s="18">
        <v>1.2669999999999999</v>
      </c>
      <c r="M275" s="12">
        <f t="shared" si="24"/>
        <v>7.9554494828957909E-3</v>
      </c>
    </row>
    <row r="276" spans="1:13" x14ac:dyDescent="0.25">
      <c r="A276" s="11">
        <v>42461</v>
      </c>
      <c r="B276" s="10">
        <v>1.3380000000000001</v>
      </c>
      <c r="C276" s="12">
        <f t="shared" si="20"/>
        <v>4.0435458786936274E-2</v>
      </c>
      <c r="E276" s="20">
        <v>42461</v>
      </c>
      <c r="F276" s="18">
        <v>1.1619999999999999</v>
      </c>
      <c r="G276" s="12">
        <f t="shared" si="21"/>
        <v>-4.9877350776778545E-2</v>
      </c>
      <c r="H276" s="18">
        <v>1.173</v>
      </c>
      <c r="I276" s="12">
        <f t="shared" si="22"/>
        <v>-4.9432739059967541E-2</v>
      </c>
      <c r="J276" s="18">
        <v>1.1910000000000001</v>
      </c>
      <c r="K276" s="12">
        <f t="shared" si="23"/>
        <v>-4.6437149719775861E-2</v>
      </c>
      <c r="L276" s="18">
        <v>1.2110000000000001</v>
      </c>
      <c r="M276" s="12">
        <f t="shared" si="24"/>
        <v>-4.4198895027624176E-2</v>
      </c>
    </row>
    <row r="277" spans="1:13" x14ac:dyDescent="0.25">
      <c r="A277" s="11">
        <v>42468</v>
      </c>
      <c r="B277" s="10">
        <v>1.3460000000000001</v>
      </c>
      <c r="C277" s="12">
        <f t="shared" si="20"/>
        <v>5.9790732436472392E-3</v>
      </c>
      <c r="E277" s="20">
        <v>42468</v>
      </c>
      <c r="F277" s="18">
        <v>1.1259999999999999</v>
      </c>
      <c r="G277" s="12">
        <f t="shared" si="21"/>
        <v>-3.0981067125645467E-2</v>
      </c>
      <c r="H277" s="18">
        <v>1.141</v>
      </c>
      <c r="I277" s="12">
        <f t="shared" si="22"/>
        <v>-2.728047740835467E-2</v>
      </c>
      <c r="J277" s="18">
        <v>1.1599999999999999</v>
      </c>
      <c r="K277" s="12">
        <f t="shared" si="23"/>
        <v>-2.6028547439126901E-2</v>
      </c>
      <c r="L277" s="18">
        <v>1.18</v>
      </c>
      <c r="M277" s="12">
        <f t="shared" si="24"/>
        <v>-2.5598678777869643E-2</v>
      </c>
    </row>
    <row r="278" spans="1:13" x14ac:dyDescent="0.25">
      <c r="A278" s="11">
        <v>42475</v>
      </c>
      <c r="B278" s="10">
        <v>1.466</v>
      </c>
      <c r="C278" s="12">
        <f t="shared" si="20"/>
        <v>8.9153046062407038E-2</v>
      </c>
      <c r="E278" s="20">
        <v>42475</v>
      </c>
      <c r="F278" s="18">
        <v>1.2490000000000001</v>
      </c>
      <c r="G278" s="12">
        <f t="shared" si="21"/>
        <v>0.10923623445825953</v>
      </c>
      <c r="H278" s="18">
        <v>1.2589999999999999</v>
      </c>
      <c r="I278" s="12">
        <f t="shared" si="22"/>
        <v>0.10341805433829963</v>
      </c>
      <c r="J278" s="18">
        <v>1.2729999999999999</v>
      </c>
      <c r="K278" s="12">
        <f t="shared" si="23"/>
        <v>9.7413793103448276E-2</v>
      </c>
      <c r="L278" s="18">
        <v>1.29</v>
      </c>
      <c r="M278" s="12">
        <f t="shared" si="24"/>
        <v>9.3220338983050932E-2</v>
      </c>
    </row>
    <row r="279" spans="1:13" x14ac:dyDescent="0.25">
      <c r="A279" s="11">
        <v>42482</v>
      </c>
      <c r="B279" s="10">
        <v>1.462</v>
      </c>
      <c r="C279" s="12">
        <f t="shared" si="20"/>
        <v>-2.7285129604365647E-3</v>
      </c>
      <c r="E279" s="20">
        <v>42482</v>
      </c>
      <c r="F279" s="18">
        <v>1.288</v>
      </c>
      <c r="G279" s="12">
        <f t="shared" si="21"/>
        <v>3.1224979983987124E-2</v>
      </c>
      <c r="H279" s="18">
        <v>1.296</v>
      </c>
      <c r="I279" s="12">
        <f t="shared" si="22"/>
        <v>2.938840349483729E-2</v>
      </c>
      <c r="J279" s="18">
        <v>1.3069999999999999</v>
      </c>
      <c r="K279" s="12">
        <f t="shared" si="23"/>
        <v>2.6708562450903403E-2</v>
      </c>
      <c r="L279" s="18">
        <v>1.321</v>
      </c>
      <c r="M279" s="12">
        <f t="shared" si="24"/>
        <v>2.4031007751937918E-2</v>
      </c>
    </row>
    <row r="280" spans="1:13" x14ac:dyDescent="0.25">
      <c r="A280" s="11">
        <v>42489</v>
      </c>
      <c r="B280" s="10">
        <v>1.5449999999999999</v>
      </c>
      <c r="C280" s="12">
        <f t="shared" si="20"/>
        <v>5.6771545827633357E-2</v>
      </c>
      <c r="E280" s="20">
        <v>42489</v>
      </c>
      <c r="F280" s="18">
        <v>1.357</v>
      </c>
      <c r="G280" s="12">
        <f t="shared" si="21"/>
        <v>5.3571428571428534E-2</v>
      </c>
      <c r="H280" s="18">
        <v>1.363</v>
      </c>
      <c r="I280" s="12">
        <f t="shared" si="22"/>
        <v>5.169753086419749E-2</v>
      </c>
      <c r="J280" s="18">
        <v>1.373</v>
      </c>
      <c r="K280" s="12">
        <f t="shared" si="23"/>
        <v>5.0497322111706246E-2</v>
      </c>
      <c r="L280" s="18">
        <v>1.3859999999999999</v>
      </c>
      <c r="M280" s="12">
        <f t="shared" si="24"/>
        <v>4.9205147615442806E-2</v>
      </c>
    </row>
    <row r="281" spans="1:13" x14ac:dyDescent="0.25">
      <c r="A281" s="11">
        <v>42496</v>
      </c>
      <c r="B281" s="10">
        <v>1.492</v>
      </c>
      <c r="C281" s="12">
        <f t="shared" si="20"/>
        <v>-3.4304207119741061E-2</v>
      </c>
      <c r="E281" s="20">
        <v>42496</v>
      </c>
      <c r="F281" s="18">
        <v>1.337</v>
      </c>
      <c r="G281" s="12">
        <f t="shared" si="21"/>
        <v>-1.4738393515106866E-2</v>
      </c>
      <c r="H281" s="18">
        <v>1.3460000000000001</v>
      </c>
      <c r="I281" s="12">
        <f t="shared" si="22"/>
        <v>-1.2472487160674912E-2</v>
      </c>
      <c r="J281" s="18">
        <v>1.359</v>
      </c>
      <c r="K281" s="12">
        <f t="shared" si="23"/>
        <v>-1.0196649672250556E-2</v>
      </c>
      <c r="L281" s="18">
        <v>1.3759999999999999</v>
      </c>
      <c r="M281" s="12">
        <f t="shared" si="24"/>
        <v>-7.2150072150072219E-3</v>
      </c>
    </row>
    <row r="282" spans="1:13" x14ac:dyDescent="0.25">
      <c r="A282" s="11">
        <v>42503</v>
      </c>
      <c r="B282" s="10">
        <v>1.5049999999999999</v>
      </c>
      <c r="C282" s="12">
        <f t="shared" si="20"/>
        <v>8.7131367292224531E-3</v>
      </c>
      <c r="E282" s="20">
        <v>42503</v>
      </c>
      <c r="F282" s="18">
        <v>1.3640000000000001</v>
      </c>
      <c r="G282" s="12">
        <f t="shared" si="21"/>
        <v>2.0194465220643332E-2</v>
      </c>
      <c r="H282" s="18">
        <v>1.3740000000000001</v>
      </c>
      <c r="I282" s="12">
        <f t="shared" si="22"/>
        <v>2.080237741456168E-2</v>
      </c>
      <c r="J282" s="18">
        <v>1.3879999999999999</v>
      </c>
      <c r="K282" s="12">
        <f t="shared" si="23"/>
        <v>2.133922001471664E-2</v>
      </c>
      <c r="L282" s="18">
        <v>1.4059999999999999</v>
      </c>
      <c r="M282" s="12">
        <f t="shared" si="24"/>
        <v>2.180232558139537E-2</v>
      </c>
    </row>
    <row r="283" spans="1:13" x14ac:dyDescent="0.25">
      <c r="A283" s="11">
        <v>42510</v>
      </c>
      <c r="B283" s="10">
        <v>1.6220000000000001</v>
      </c>
      <c r="C283" s="12">
        <f t="shared" si="20"/>
        <v>7.7740863787375561E-2</v>
      </c>
      <c r="E283" s="20">
        <v>42510</v>
      </c>
      <c r="F283" s="18">
        <v>1.472</v>
      </c>
      <c r="G283" s="12">
        <f t="shared" si="21"/>
        <v>7.9178885630498436E-2</v>
      </c>
      <c r="H283" s="18">
        <v>1.4770000000000001</v>
      </c>
      <c r="I283" s="12">
        <f t="shared" si="22"/>
        <v>7.49636098981077E-2</v>
      </c>
      <c r="J283" s="18">
        <v>1.484</v>
      </c>
      <c r="K283" s="12">
        <f t="shared" si="23"/>
        <v>6.9164265129683059E-2</v>
      </c>
      <c r="L283" s="18">
        <v>1.496</v>
      </c>
      <c r="M283" s="12">
        <f t="shared" si="24"/>
        <v>6.4011379800853543E-2</v>
      </c>
    </row>
    <row r="284" spans="1:13" x14ac:dyDescent="0.25">
      <c r="A284" s="11">
        <v>42517</v>
      </c>
      <c r="B284" s="10">
        <v>1.6259999999999999</v>
      </c>
      <c r="C284" s="12">
        <f t="shared" si="20"/>
        <v>2.4660912453759441E-3</v>
      </c>
      <c r="E284" s="20">
        <v>42517</v>
      </c>
      <c r="F284" s="18">
        <v>1.4950000000000001</v>
      </c>
      <c r="G284" s="12">
        <f t="shared" si="21"/>
        <v>1.562500000000009E-2</v>
      </c>
      <c r="H284" s="18">
        <v>1.5</v>
      </c>
      <c r="I284" s="12">
        <f t="shared" si="22"/>
        <v>1.5572105619498922E-2</v>
      </c>
      <c r="J284" s="18">
        <v>1.506</v>
      </c>
      <c r="K284" s="12">
        <f t="shared" si="23"/>
        <v>1.4824797843665782E-2</v>
      </c>
      <c r="L284" s="18">
        <v>1.5169999999999999</v>
      </c>
      <c r="M284" s="12">
        <f t="shared" si="24"/>
        <v>1.4037433155080152E-2</v>
      </c>
    </row>
    <row r="285" spans="1:13" x14ac:dyDescent="0.25">
      <c r="A285" s="11">
        <v>42524</v>
      </c>
      <c r="B285" s="10">
        <v>1.6060000000000001</v>
      </c>
      <c r="C285" s="12">
        <f t="shared" si="20"/>
        <v>-1.2300123001229887E-2</v>
      </c>
      <c r="E285" s="20">
        <v>42524</v>
      </c>
      <c r="F285" s="18">
        <v>1.4950000000000001</v>
      </c>
      <c r="G285" s="12">
        <f t="shared" si="21"/>
        <v>0</v>
      </c>
      <c r="H285" s="18">
        <v>1.5</v>
      </c>
      <c r="I285" s="12">
        <f t="shared" si="22"/>
        <v>0</v>
      </c>
      <c r="J285" s="18">
        <v>1.5109999999999999</v>
      </c>
      <c r="K285" s="12">
        <f t="shared" si="23"/>
        <v>3.320053120849863E-3</v>
      </c>
      <c r="L285" s="18">
        <v>1.524</v>
      </c>
      <c r="M285" s="12">
        <f t="shared" si="24"/>
        <v>4.6143704680290821E-3</v>
      </c>
    </row>
    <row r="286" spans="1:13" x14ac:dyDescent="0.25">
      <c r="A286" s="11">
        <v>42531</v>
      </c>
      <c r="B286" s="10">
        <v>1.573</v>
      </c>
      <c r="C286" s="12">
        <f t="shared" si="20"/>
        <v>-2.0547945205479538E-2</v>
      </c>
      <c r="E286" s="20">
        <v>42531</v>
      </c>
      <c r="F286" s="18">
        <v>1.536</v>
      </c>
      <c r="G286" s="12">
        <f t="shared" si="21"/>
        <v>2.7424749163879547E-2</v>
      </c>
      <c r="H286" s="18">
        <v>1.544</v>
      </c>
      <c r="I286" s="12">
        <f t="shared" si="22"/>
        <v>2.9333333333333361E-2</v>
      </c>
      <c r="J286" s="18">
        <v>1.5549999999999999</v>
      </c>
      <c r="K286" s="12">
        <f t="shared" si="23"/>
        <v>2.9119788219722068E-2</v>
      </c>
      <c r="L286" s="18">
        <v>1.5669999999999999</v>
      </c>
      <c r="M286" s="12">
        <f t="shared" si="24"/>
        <v>2.8215223097112812E-2</v>
      </c>
    </row>
    <row r="287" spans="1:13" x14ac:dyDescent="0.25">
      <c r="A287" s="11">
        <v>42538</v>
      </c>
      <c r="B287" s="10">
        <v>1.45</v>
      </c>
      <c r="C287" s="12">
        <f t="shared" si="20"/>
        <v>-7.8194532739987291E-2</v>
      </c>
      <c r="E287" s="20">
        <v>42538</v>
      </c>
      <c r="F287" s="18">
        <v>1.48</v>
      </c>
      <c r="G287" s="12">
        <f t="shared" si="21"/>
        <v>-3.6458333333333363E-2</v>
      </c>
      <c r="H287" s="18">
        <v>1.4870000000000001</v>
      </c>
      <c r="I287" s="12">
        <f t="shared" si="22"/>
        <v>-3.6917098445595813E-2</v>
      </c>
      <c r="J287" s="18">
        <v>1.5</v>
      </c>
      <c r="K287" s="12">
        <f t="shared" si="23"/>
        <v>-3.5369774919614107E-2</v>
      </c>
      <c r="L287" s="18">
        <v>1.514</v>
      </c>
      <c r="M287" s="12">
        <f t="shared" si="24"/>
        <v>-3.3822590938098238E-2</v>
      </c>
    </row>
    <row r="288" spans="1:13" x14ac:dyDescent="0.25">
      <c r="A288" s="11">
        <v>42545</v>
      </c>
      <c r="B288" s="10">
        <v>1.4910000000000001</v>
      </c>
      <c r="C288" s="12">
        <f t="shared" si="20"/>
        <v>2.827586206896562E-2</v>
      </c>
      <c r="E288" s="20">
        <v>42545</v>
      </c>
      <c r="F288" s="18">
        <v>1.5049999999999999</v>
      </c>
      <c r="G288" s="12">
        <f t="shared" si="21"/>
        <v>1.689189189189183E-2</v>
      </c>
      <c r="H288" s="18">
        <v>1.5149999999999999</v>
      </c>
      <c r="I288" s="12">
        <f t="shared" si="22"/>
        <v>1.8829858776059045E-2</v>
      </c>
      <c r="J288" s="18">
        <v>1.53</v>
      </c>
      <c r="K288" s="12">
        <f t="shared" si="23"/>
        <v>2.0000000000000018E-2</v>
      </c>
      <c r="L288" s="18">
        <v>1.546</v>
      </c>
      <c r="M288" s="12">
        <f t="shared" si="24"/>
        <v>2.1136063408190242E-2</v>
      </c>
    </row>
    <row r="289" spans="1:13" x14ac:dyDescent="0.25">
      <c r="A289" s="11">
        <v>42552</v>
      </c>
      <c r="B289" s="10">
        <v>1.4419999999999999</v>
      </c>
      <c r="C289" s="12">
        <f t="shared" si="20"/>
        <v>-3.2863849765258316E-2</v>
      </c>
      <c r="E289" s="20">
        <v>42552</v>
      </c>
      <c r="F289" s="18">
        <v>1.486</v>
      </c>
      <c r="G289" s="12">
        <f t="shared" si="21"/>
        <v>-1.2624584717607912E-2</v>
      </c>
      <c r="H289" s="18">
        <v>1.498</v>
      </c>
      <c r="I289" s="12">
        <f t="shared" si="22"/>
        <v>-1.1221122112211159E-2</v>
      </c>
      <c r="J289" s="18">
        <v>1.516</v>
      </c>
      <c r="K289" s="12">
        <f t="shared" si="23"/>
        <v>-9.1503267973856283E-3</v>
      </c>
      <c r="L289" s="18">
        <v>1.5329999999999999</v>
      </c>
      <c r="M289" s="12">
        <f t="shared" si="24"/>
        <v>-8.4087968952135331E-3</v>
      </c>
    </row>
    <row r="290" spans="1:13" x14ac:dyDescent="0.25">
      <c r="A290" s="11">
        <v>42559</v>
      </c>
      <c r="B290" s="10">
        <v>1.373</v>
      </c>
      <c r="C290" s="12">
        <f t="shared" si="20"/>
        <v>-4.7850208044382767E-2</v>
      </c>
      <c r="E290" s="20">
        <v>42559</v>
      </c>
      <c r="F290" s="18">
        <v>1.4350000000000001</v>
      </c>
      <c r="G290" s="12">
        <f t="shared" si="21"/>
        <v>-3.4320323014804803E-2</v>
      </c>
      <c r="H290" s="18">
        <v>1.458</v>
      </c>
      <c r="I290" s="12">
        <f t="shared" si="22"/>
        <v>-2.6702269692923924E-2</v>
      </c>
      <c r="J290" s="18">
        <v>1.4790000000000001</v>
      </c>
      <c r="K290" s="12">
        <f t="shared" si="23"/>
        <v>-2.4406332453825806E-2</v>
      </c>
      <c r="L290" s="18">
        <v>1.4990000000000001</v>
      </c>
      <c r="M290" s="12">
        <f t="shared" si="24"/>
        <v>-2.2178734507501508E-2</v>
      </c>
    </row>
    <row r="291" spans="1:13" x14ac:dyDescent="0.25">
      <c r="A291" s="11">
        <v>42566</v>
      </c>
      <c r="B291" s="10">
        <v>1.3680000000000001</v>
      </c>
      <c r="C291" s="12">
        <f t="shared" si="20"/>
        <v>-3.6416605972322603E-3</v>
      </c>
      <c r="E291" s="20">
        <v>42566</v>
      </c>
      <c r="F291" s="18">
        <v>1.413</v>
      </c>
      <c r="G291" s="12">
        <f t="shared" si="21"/>
        <v>-1.5331010452961686E-2</v>
      </c>
      <c r="H291" s="18">
        <v>1.4359999999999999</v>
      </c>
      <c r="I291" s="12">
        <f t="shared" si="22"/>
        <v>-1.5089163237311399E-2</v>
      </c>
      <c r="J291" s="18">
        <v>1.46</v>
      </c>
      <c r="K291" s="12">
        <f t="shared" si="23"/>
        <v>-1.2846517917511917E-2</v>
      </c>
      <c r="L291" s="18">
        <v>1.482</v>
      </c>
      <c r="M291" s="12">
        <f t="shared" si="24"/>
        <v>-1.1340893929286274E-2</v>
      </c>
    </row>
    <row r="292" spans="1:13" x14ac:dyDescent="0.25">
      <c r="A292" s="11">
        <v>42573</v>
      </c>
      <c r="B292" s="10">
        <v>1.3340000000000001</v>
      </c>
      <c r="C292" s="12">
        <f t="shared" si="20"/>
        <v>-2.4853801169590663E-2</v>
      </c>
      <c r="E292" s="20">
        <v>42573</v>
      </c>
      <c r="F292" s="18">
        <v>1.379</v>
      </c>
      <c r="G292" s="12">
        <f t="shared" si="21"/>
        <v>-2.4062278839348923E-2</v>
      </c>
      <c r="H292" s="18">
        <v>1.405</v>
      </c>
      <c r="I292" s="12">
        <f t="shared" si="22"/>
        <v>-2.158774373259047E-2</v>
      </c>
      <c r="J292" s="18">
        <v>1.429</v>
      </c>
      <c r="K292" s="12">
        <f t="shared" si="23"/>
        <v>-2.1232876712328711E-2</v>
      </c>
      <c r="L292" s="18">
        <v>1.4510000000000001</v>
      </c>
      <c r="M292" s="12">
        <f t="shared" si="24"/>
        <v>-2.0917678812415599E-2</v>
      </c>
    </row>
    <row r="293" spans="1:13" x14ac:dyDescent="0.25">
      <c r="A293" s="11">
        <v>42580</v>
      </c>
      <c r="B293" s="10">
        <v>1.32</v>
      </c>
      <c r="C293" s="12">
        <f t="shared" si="20"/>
        <v>-1.0494752623688165E-2</v>
      </c>
      <c r="E293" s="20">
        <v>42580</v>
      </c>
      <c r="F293" s="18">
        <v>1.298</v>
      </c>
      <c r="G293" s="12">
        <f t="shared" si="21"/>
        <v>-5.8738216098622162E-2</v>
      </c>
      <c r="H293" s="18">
        <v>1.327</v>
      </c>
      <c r="I293" s="12">
        <f t="shared" si="22"/>
        <v>-5.5516014234875496E-2</v>
      </c>
      <c r="J293" s="18">
        <v>1.3520000000000001</v>
      </c>
      <c r="K293" s="12">
        <f t="shared" si="23"/>
        <v>-5.3883834849545106E-2</v>
      </c>
      <c r="L293" s="18">
        <v>1.373</v>
      </c>
      <c r="M293" s="12">
        <f t="shared" si="24"/>
        <v>-5.3756030323914586E-2</v>
      </c>
    </row>
    <row r="294" spans="1:13" x14ac:dyDescent="0.25">
      <c r="A294" s="11">
        <v>42587</v>
      </c>
      <c r="B294" s="10">
        <v>1.331</v>
      </c>
      <c r="C294" s="12">
        <f t="shared" si="20"/>
        <v>8.3333333333332569E-3</v>
      </c>
      <c r="E294" s="20">
        <v>42587</v>
      </c>
      <c r="F294" s="18">
        <v>1.2889999999999999</v>
      </c>
      <c r="G294" s="12">
        <f t="shared" si="21"/>
        <v>-6.9337442218799063E-3</v>
      </c>
      <c r="H294" s="18">
        <v>1.3129999999999999</v>
      </c>
      <c r="I294" s="12">
        <f t="shared" si="22"/>
        <v>-1.0550113036925405E-2</v>
      </c>
      <c r="J294" s="18">
        <v>1.3340000000000001</v>
      </c>
      <c r="K294" s="12">
        <f t="shared" si="23"/>
        <v>-1.3313609467455632E-2</v>
      </c>
      <c r="L294" s="18">
        <v>1.3520000000000001</v>
      </c>
      <c r="M294" s="12">
        <f t="shared" si="24"/>
        <v>-1.5294974508375752E-2</v>
      </c>
    </row>
    <row r="295" spans="1:13" x14ac:dyDescent="0.25">
      <c r="A295" s="11">
        <v>42594</v>
      </c>
      <c r="B295" s="10">
        <v>1.325</v>
      </c>
      <c r="C295" s="12">
        <f t="shared" si="20"/>
        <v>-4.5078888054094707E-3</v>
      </c>
      <c r="E295" s="20">
        <v>42594</v>
      </c>
      <c r="F295" s="18">
        <v>1.357</v>
      </c>
      <c r="G295" s="12">
        <f t="shared" si="21"/>
        <v>5.2754072924747916E-2</v>
      </c>
      <c r="H295" s="18">
        <v>1.379</v>
      </c>
      <c r="I295" s="12">
        <f t="shared" si="22"/>
        <v>5.0266565118050312E-2</v>
      </c>
      <c r="J295" s="18">
        <v>1.4</v>
      </c>
      <c r="K295" s="12">
        <f t="shared" si="23"/>
        <v>4.947526236881547E-2</v>
      </c>
      <c r="L295" s="18">
        <v>1.417</v>
      </c>
      <c r="M295" s="12">
        <f t="shared" si="24"/>
        <v>4.8076923076923031E-2</v>
      </c>
    </row>
    <row r="296" spans="1:13" x14ac:dyDescent="0.25">
      <c r="A296" s="11">
        <v>42601</v>
      </c>
      <c r="B296" s="10">
        <v>1.4410000000000001</v>
      </c>
      <c r="C296" s="12">
        <f t="shared" si="20"/>
        <v>8.7547169811320838E-2</v>
      </c>
      <c r="E296" s="20">
        <v>42601</v>
      </c>
      <c r="F296" s="18">
        <v>1.4890000000000001</v>
      </c>
      <c r="G296" s="12">
        <f t="shared" si="21"/>
        <v>9.7273397199705319E-2</v>
      </c>
      <c r="H296" s="18">
        <v>1.508</v>
      </c>
      <c r="I296" s="12">
        <f t="shared" si="22"/>
        <v>9.3546047860768672E-2</v>
      </c>
      <c r="J296" s="18">
        <v>1.526</v>
      </c>
      <c r="K296" s="12">
        <f t="shared" si="23"/>
        <v>9.000000000000008E-2</v>
      </c>
      <c r="L296" s="18">
        <v>1.54</v>
      </c>
      <c r="M296" s="12">
        <f t="shared" si="24"/>
        <v>8.6803105151728996E-2</v>
      </c>
    </row>
    <row r="297" spans="1:13" x14ac:dyDescent="0.25">
      <c r="A297" s="11">
        <v>42608</v>
      </c>
      <c r="B297" s="10">
        <v>1.4239999999999999</v>
      </c>
      <c r="C297" s="12">
        <f t="shared" si="20"/>
        <v>-1.1797362942401197E-2</v>
      </c>
      <c r="E297" s="20">
        <v>42608</v>
      </c>
      <c r="F297" s="18">
        <v>1.498</v>
      </c>
      <c r="G297" s="12">
        <f t="shared" si="21"/>
        <v>6.0443250503693056E-3</v>
      </c>
      <c r="H297" s="18">
        <v>1.514</v>
      </c>
      <c r="I297" s="12">
        <f t="shared" si="22"/>
        <v>3.9787798408488098E-3</v>
      </c>
      <c r="J297" s="18">
        <v>1.5289999999999999</v>
      </c>
      <c r="K297" s="12">
        <f t="shared" si="23"/>
        <v>1.9659239842725372E-3</v>
      </c>
      <c r="L297" s="18">
        <v>1.5429999999999999</v>
      </c>
      <c r="M297" s="12">
        <f t="shared" si="24"/>
        <v>1.9480519480518776E-3</v>
      </c>
    </row>
    <row r="298" spans="1:13" x14ac:dyDescent="0.25">
      <c r="A298" s="11">
        <v>42615</v>
      </c>
      <c r="B298" s="10">
        <v>1.371</v>
      </c>
      <c r="C298" s="12">
        <f t="shared" si="20"/>
        <v>-3.7219101123595465E-2</v>
      </c>
      <c r="E298" s="20">
        <v>42615</v>
      </c>
      <c r="F298" s="18">
        <v>1.4319999999999999</v>
      </c>
      <c r="G298" s="12">
        <f t="shared" si="21"/>
        <v>-4.4058744993324475E-2</v>
      </c>
      <c r="H298" s="18">
        <v>1.448</v>
      </c>
      <c r="I298" s="12">
        <f t="shared" si="22"/>
        <v>-4.3593130779392378E-2</v>
      </c>
      <c r="J298" s="18">
        <v>1.464</v>
      </c>
      <c r="K298" s="12">
        <f t="shared" si="23"/>
        <v>-4.2511445389143199E-2</v>
      </c>
      <c r="L298" s="18">
        <v>1.4810000000000001</v>
      </c>
      <c r="M298" s="12">
        <f t="shared" si="24"/>
        <v>-4.0181464679196262E-2</v>
      </c>
    </row>
    <row r="299" spans="1:13" x14ac:dyDescent="0.25">
      <c r="A299" s="11">
        <v>42622</v>
      </c>
      <c r="B299" s="10">
        <v>1.413</v>
      </c>
      <c r="C299" s="12">
        <f t="shared" si="20"/>
        <v>3.0634573304157576E-2</v>
      </c>
      <c r="E299" s="20">
        <v>42622</v>
      </c>
      <c r="F299" s="18">
        <v>1.4370000000000001</v>
      </c>
      <c r="G299" s="12">
        <f t="shared" si="21"/>
        <v>3.4916201117319245E-3</v>
      </c>
      <c r="H299" s="18">
        <v>1.4570000000000001</v>
      </c>
      <c r="I299" s="12">
        <f t="shared" si="22"/>
        <v>6.2154696132597506E-3</v>
      </c>
      <c r="J299" s="18">
        <v>1.4750000000000001</v>
      </c>
      <c r="K299" s="12">
        <f t="shared" si="23"/>
        <v>7.5136612021858753E-3</v>
      </c>
      <c r="L299" s="18">
        <v>1.4950000000000001</v>
      </c>
      <c r="M299" s="12">
        <f t="shared" si="24"/>
        <v>9.4530722484807636E-3</v>
      </c>
    </row>
    <row r="300" spans="1:13" x14ac:dyDescent="0.25">
      <c r="A300" s="11">
        <v>42629</v>
      </c>
      <c r="B300" s="10">
        <v>1.4390000000000001</v>
      </c>
      <c r="C300" s="12">
        <f t="shared" si="20"/>
        <v>1.8400566171266824E-2</v>
      </c>
      <c r="E300" s="20">
        <v>42629</v>
      </c>
      <c r="F300" s="18">
        <v>1.413</v>
      </c>
      <c r="G300" s="12">
        <f t="shared" si="21"/>
        <v>-1.6701461377870579E-2</v>
      </c>
      <c r="H300" s="18">
        <v>1.43</v>
      </c>
      <c r="I300" s="12">
        <f t="shared" si="22"/>
        <v>-1.8531228551818896E-2</v>
      </c>
      <c r="J300" s="18">
        <v>1.448</v>
      </c>
      <c r="K300" s="12">
        <f t="shared" si="23"/>
        <v>-1.8305084745762801E-2</v>
      </c>
      <c r="L300" s="18">
        <v>1.466</v>
      </c>
      <c r="M300" s="12">
        <f t="shared" si="24"/>
        <v>-1.9397993311036879E-2</v>
      </c>
    </row>
    <row r="301" spans="1:13" x14ac:dyDescent="0.25">
      <c r="A301" s="11">
        <v>42636</v>
      </c>
      <c r="B301" s="10">
        <v>1.44</v>
      </c>
      <c r="C301" s="12">
        <f t="shared" si="20"/>
        <v>6.9492703266149398E-4</v>
      </c>
      <c r="E301" s="20">
        <v>42636</v>
      </c>
      <c r="F301" s="18">
        <v>1.4179999999999999</v>
      </c>
      <c r="G301" s="12">
        <f t="shared" si="21"/>
        <v>3.5385704175512336E-3</v>
      </c>
      <c r="H301" s="18">
        <v>1.43</v>
      </c>
      <c r="I301" s="12">
        <f t="shared" si="22"/>
        <v>0</v>
      </c>
      <c r="J301" s="18">
        <v>1.444</v>
      </c>
      <c r="K301" s="12">
        <f t="shared" si="23"/>
        <v>-2.7624309392265218E-3</v>
      </c>
      <c r="L301" s="18">
        <v>1.46</v>
      </c>
      <c r="M301" s="12">
        <f t="shared" si="24"/>
        <v>-4.0927694406548473E-3</v>
      </c>
    </row>
    <row r="302" spans="1:13" x14ac:dyDescent="0.25">
      <c r="A302" s="11">
        <v>42643</v>
      </c>
      <c r="B302" s="10">
        <v>1.486</v>
      </c>
      <c r="C302" s="12">
        <f t="shared" si="20"/>
        <v>3.1944444444444477E-2</v>
      </c>
      <c r="E302" s="20">
        <v>42643</v>
      </c>
      <c r="F302" s="18">
        <v>1.478</v>
      </c>
      <c r="G302" s="12">
        <f t="shared" si="21"/>
        <v>4.2313117066290588E-2</v>
      </c>
      <c r="H302" s="18">
        <v>1.4850000000000001</v>
      </c>
      <c r="I302" s="12">
        <f t="shared" si="22"/>
        <v>3.8461538461538575E-2</v>
      </c>
      <c r="J302" s="18">
        <v>1.496</v>
      </c>
      <c r="K302" s="12">
        <f t="shared" si="23"/>
        <v>3.6011080332410003E-2</v>
      </c>
      <c r="L302" s="18">
        <v>1.51</v>
      </c>
      <c r="M302" s="12">
        <f t="shared" si="24"/>
        <v>3.4246575342465786E-2</v>
      </c>
    </row>
    <row r="303" spans="1:13" x14ac:dyDescent="0.25">
      <c r="A303" s="11">
        <v>42650</v>
      </c>
      <c r="B303" s="10">
        <v>1.506</v>
      </c>
      <c r="C303" s="12">
        <f t="shared" si="20"/>
        <v>1.3458950201884265E-2</v>
      </c>
      <c r="E303" s="20">
        <v>42650</v>
      </c>
      <c r="F303" s="18">
        <v>1.573</v>
      </c>
      <c r="G303" s="12">
        <f t="shared" si="21"/>
        <v>6.4276048714479006E-2</v>
      </c>
      <c r="H303" s="18">
        <v>1.585</v>
      </c>
      <c r="I303" s="12">
        <f t="shared" si="22"/>
        <v>6.7340067340067242E-2</v>
      </c>
      <c r="J303" s="18">
        <v>1.6</v>
      </c>
      <c r="K303" s="12">
        <f t="shared" si="23"/>
        <v>6.9518716577540163E-2</v>
      </c>
      <c r="L303" s="18">
        <v>1.6120000000000001</v>
      </c>
      <c r="M303" s="12">
        <f t="shared" si="24"/>
        <v>6.7549668874172242E-2</v>
      </c>
    </row>
    <row r="304" spans="1:13" x14ac:dyDescent="0.25">
      <c r="A304" s="11">
        <v>42657</v>
      </c>
      <c r="B304" s="10">
        <v>1.5029999999999999</v>
      </c>
      <c r="C304" s="12">
        <f t="shared" si="20"/>
        <v>-1.9920318725100356E-3</v>
      </c>
      <c r="E304" s="20">
        <v>42657</v>
      </c>
      <c r="F304" s="18">
        <v>1.575</v>
      </c>
      <c r="G304" s="12">
        <f t="shared" si="21"/>
        <v>1.2714558169103635E-3</v>
      </c>
      <c r="H304" s="18">
        <v>1.5940000000000001</v>
      </c>
      <c r="I304" s="12">
        <f t="shared" si="22"/>
        <v>5.67823343848588E-3</v>
      </c>
      <c r="J304" s="18">
        <v>1.615</v>
      </c>
      <c r="K304" s="12">
        <f t="shared" si="23"/>
        <v>9.3749999999999389E-3</v>
      </c>
      <c r="L304" s="18">
        <v>1.631</v>
      </c>
      <c r="M304" s="12">
        <f t="shared" si="24"/>
        <v>1.1786600496277857E-2</v>
      </c>
    </row>
    <row r="305" spans="1:13" x14ac:dyDescent="0.25">
      <c r="A305" s="11">
        <v>42664</v>
      </c>
      <c r="B305" s="10">
        <v>1.5489999999999999</v>
      </c>
      <c r="C305" s="12">
        <f t="shared" si="20"/>
        <v>3.0605455755156382E-2</v>
      </c>
      <c r="E305" s="20">
        <v>42664</v>
      </c>
      <c r="F305" s="18">
        <v>1.569</v>
      </c>
      <c r="G305" s="12">
        <f t="shared" si="21"/>
        <v>-3.809523809523813E-3</v>
      </c>
      <c r="H305" s="18">
        <v>1.589</v>
      </c>
      <c r="I305" s="12">
        <f t="shared" si="22"/>
        <v>-3.1367628607278011E-3</v>
      </c>
      <c r="J305" s="18">
        <v>1.611</v>
      </c>
      <c r="K305" s="12">
        <f t="shared" si="23"/>
        <v>-2.4767801857585162E-3</v>
      </c>
      <c r="L305" s="18">
        <v>1.627</v>
      </c>
      <c r="M305" s="12">
        <f t="shared" si="24"/>
        <v>-2.4524831391784202E-3</v>
      </c>
    </row>
    <row r="306" spans="1:13" x14ac:dyDescent="0.25">
      <c r="A306" s="11">
        <v>42671</v>
      </c>
      <c r="B306" s="10">
        <v>1.534</v>
      </c>
      <c r="C306" s="12">
        <f t="shared" si="20"/>
        <v>-9.6836668818592007E-3</v>
      </c>
      <c r="E306" s="20">
        <v>42671</v>
      </c>
      <c r="F306" s="18">
        <v>1.5609999999999999</v>
      </c>
      <c r="G306" s="12">
        <f t="shared" si="21"/>
        <v>-5.0987890376035742E-3</v>
      </c>
      <c r="H306" s="18">
        <v>1.5780000000000001</v>
      </c>
      <c r="I306" s="12">
        <f t="shared" si="22"/>
        <v>-6.9225928256764629E-3</v>
      </c>
      <c r="J306" s="18">
        <v>1.597</v>
      </c>
      <c r="K306" s="12">
        <f t="shared" si="23"/>
        <v>-8.6902545003103744E-3</v>
      </c>
      <c r="L306" s="18">
        <v>1.6120000000000001</v>
      </c>
      <c r="M306" s="12">
        <f t="shared" si="24"/>
        <v>-9.219422249538969E-3</v>
      </c>
    </row>
    <row r="307" spans="1:13" x14ac:dyDescent="0.25">
      <c r="A307" s="11">
        <v>42678</v>
      </c>
      <c r="B307" s="10">
        <v>1.5289999999999999</v>
      </c>
      <c r="C307" s="12">
        <f t="shared" si="20"/>
        <v>-3.25945241199486E-3</v>
      </c>
      <c r="E307" s="20">
        <v>42678</v>
      </c>
      <c r="F307" s="18">
        <v>1.4730000000000001</v>
      </c>
      <c r="G307" s="12">
        <f t="shared" si="21"/>
        <v>-5.6374119154388121E-2</v>
      </c>
      <c r="H307" s="18">
        <v>1.4890000000000001</v>
      </c>
      <c r="I307" s="12">
        <f t="shared" si="22"/>
        <v>-5.6400506970849154E-2</v>
      </c>
      <c r="J307" s="18">
        <v>1.504</v>
      </c>
      <c r="K307" s="12">
        <f t="shared" si="23"/>
        <v>-5.8234189104571052E-2</v>
      </c>
      <c r="L307" s="18">
        <v>1.5129999999999999</v>
      </c>
      <c r="M307" s="12">
        <f t="shared" si="24"/>
        <v>-6.1414392059553471E-2</v>
      </c>
    </row>
    <row r="308" spans="1:13" x14ac:dyDescent="0.25">
      <c r="A308" s="11">
        <v>42685</v>
      </c>
      <c r="B308" s="10">
        <v>1.4590000000000001</v>
      </c>
      <c r="C308" s="12">
        <f t="shared" si="20"/>
        <v>-4.5781556572923376E-2</v>
      </c>
      <c r="E308" s="20">
        <v>42685</v>
      </c>
      <c r="F308" s="18">
        <v>1.44</v>
      </c>
      <c r="G308" s="12">
        <f t="shared" si="21"/>
        <v>-2.2403258655804576E-2</v>
      </c>
      <c r="H308" s="18">
        <v>1.4590000000000001</v>
      </c>
      <c r="I308" s="12">
        <f t="shared" si="22"/>
        <v>-2.0147750167897934E-2</v>
      </c>
      <c r="J308" s="18">
        <v>1.4750000000000001</v>
      </c>
      <c r="K308" s="12">
        <f t="shared" si="23"/>
        <v>-1.9281914893616966E-2</v>
      </c>
      <c r="L308" s="18">
        <v>1.4850000000000001</v>
      </c>
      <c r="M308" s="12">
        <f t="shared" si="24"/>
        <v>-1.8506278916060676E-2</v>
      </c>
    </row>
    <row r="309" spans="1:13" x14ac:dyDescent="0.25">
      <c r="A309" s="11">
        <v>42692</v>
      </c>
      <c r="B309" s="10">
        <v>1.3879999999999999</v>
      </c>
      <c r="C309" s="12">
        <f t="shared" si="20"/>
        <v>-4.8663468128855497E-2</v>
      </c>
      <c r="E309" s="20">
        <v>42692</v>
      </c>
      <c r="F309" s="18">
        <v>1.4339999999999999</v>
      </c>
      <c r="G309" s="12">
        <f t="shared" si="21"/>
        <v>-4.1666666666666709E-3</v>
      </c>
      <c r="H309" s="18">
        <v>1.4470000000000001</v>
      </c>
      <c r="I309" s="12">
        <f t="shared" si="22"/>
        <v>-8.2248115147361273E-3</v>
      </c>
      <c r="J309" s="18">
        <v>1.46</v>
      </c>
      <c r="K309" s="12">
        <f t="shared" si="23"/>
        <v>-1.0169491525423813E-2</v>
      </c>
      <c r="L309" s="18">
        <v>1.4690000000000001</v>
      </c>
      <c r="M309" s="12">
        <f t="shared" si="24"/>
        <v>-1.0774410774410784E-2</v>
      </c>
    </row>
    <row r="310" spans="1:13" x14ac:dyDescent="0.25">
      <c r="A310" s="11">
        <v>42699</v>
      </c>
      <c r="B310" s="10">
        <v>1.47</v>
      </c>
      <c r="C310" s="12">
        <f t="shared" si="20"/>
        <v>5.9077809798270951E-2</v>
      </c>
      <c r="E310" s="20">
        <v>42699</v>
      </c>
      <c r="F310" s="18">
        <v>1.5229999999999999</v>
      </c>
      <c r="G310" s="12">
        <f t="shared" si="21"/>
        <v>6.2064156206415602E-2</v>
      </c>
      <c r="H310" s="18">
        <v>1.5369999999999999</v>
      </c>
      <c r="I310" s="12">
        <f t="shared" si="22"/>
        <v>6.2197650310988152E-2</v>
      </c>
      <c r="J310" s="18">
        <v>1.5509999999999999</v>
      </c>
      <c r="K310" s="12">
        <f t="shared" si="23"/>
        <v>6.2328767123287651E-2</v>
      </c>
      <c r="L310" s="18">
        <v>1.5609999999999999</v>
      </c>
      <c r="M310" s="12">
        <f t="shared" si="24"/>
        <v>6.2627637848876691E-2</v>
      </c>
    </row>
    <row r="311" spans="1:13" x14ac:dyDescent="0.25">
      <c r="A311" s="11">
        <v>42706</v>
      </c>
      <c r="B311" s="10">
        <v>1.5289999999999999</v>
      </c>
      <c r="C311" s="12">
        <f t="shared" si="20"/>
        <v>4.0136054421768666E-2</v>
      </c>
      <c r="E311" s="20">
        <v>42706</v>
      </c>
      <c r="F311" s="18">
        <v>1.57</v>
      </c>
      <c r="G311" s="12">
        <f t="shared" si="21"/>
        <v>3.0860144451740089E-2</v>
      </c>
      <c r="H311" s="18">
        <v>1.583</v>
      </c>
      <c r="I311" s="12">
        <f t="shared" si="22"/>
        <v>2.9928432010409917E-2</v>
      </c>
      <c r="J311" s="18">
        <v>1.5940000000000001</v>
      </c>
      <c r="K311" s="12">
        <f t="shared" si="23"/>
        <v>2.7724049000644842E-2</v>
      </c>
      <c r="L311" s="18">
        <v>1.6</v>
      </c>
      <c r="M311" s="12">
        <f t="shared" si="24"/>
        <v>2.4983984625240326E-2</v>
      </c>
    </row>
    <row r="312" spans="1:13" x14ac:dyDescent="0.25">
      <c r="A312" s="11">
        <v>42713</v>
      </c>
      <c r="B312" s="10">
        <v>1.575</v>
      </c>
      <c r="C312" s="12">
        <f t="shared" si="20"/>
        <v>3.0085022890778315E-2</v>
      </c>
      <c r="E312" s="20">
        <v>42713</v>
      </c>
      <c r="F312" s="18">
        <v>1.635</v>
      </c>
      <c r="G312" s="12">
        <f t="shared" si="21"/>
        <v>4.1401273885350282E-2</v>
      </c>
      <c r="H312" s="18">
        <v>1.651</v>
      </c>
      <c r="I312" s="12">
        <f t="shared" si="22"/>
        <v>4.29564118761845E-2</v>
      </c>
      <c r="J312" s="18">
        <v>1.661</v>
      </c>
      <c r="K312" s="12">
        <f t="shared" si="23"/>
        <v>4.2032622333751532E-2</v>
      </c>
      <c r="L312" s="18">
        <v>1.663</v>
      </c>
      <c r="M312" s="12">
        <f t="shared" si="24"/>
        <v>3.9374999999999966E-2</v>
      </c>
    </row>
    <row r="313" spans="1:13" x14ac:dyDescent="0.25">
      <c r="A313" s="11">
        <v>42720</v>
      </c>
      <c r="B313" s="10">
        <v>1.603</v>
      </c>
      <c r="C313" s="12">
        <f t="shared" si="20"/>
        <v>1.7777777777777795E-2</v>
      </c>
      <c r="E313" s="20">
        <v>42720</v>
      </c>
      <c r="F313" s="18">
        <v>1.6659999999999999</v>
      </c>
      <c r="G313" s="12">
        <f t="shared" si="21"/>
        <v>1.8960244648317991E-2</v>
      </c>
      <c r="H313" s="18">
        <v>1.6819999999999999</v>
      </c>
      <c r="I313" s="12">
        <f t="shared" si="22"/>
        <v>1.8776499091459672E-2</v>
      </c>
      <c r="J313" s="18">
        <v>1.6919999999999999</v>
      </c>
      <c r="K313" s="12">
        <f t="shared" si="23"/>
        <v>1.8663455749548415E-2</v>
      </c>
      <c r="L313" s="18">
        <v>1.6930000000000001</v>
      </c>
      <c r="M313" s="12">
        <f t="shared" si="24"/>
        <v>1.8039687312086605E-2</v>
      </c>
    </row>
    <row r="314" spans="1:13" x14ac:dyDescent="0.25">
      <c r="A314" s="11">
        <v>42727</v>
      </c>
      <c r="B314" s="10">
        <v>1.655</v>
      </c>
      <c r="C314" s="12">
        <f t="shared" si="20"/>
        <v>3.2439176543980069E-2</v>
      </c>
      <c r="E314" s="20">
        <v>42727</v>
      </c>
      <c r="F314" s="18">
        <v>1.66</v>
      </c>
      <c r="G314" s="12">
        <f t="shared" si="21"/>
        <v>-3.6014405762304956E-3</v>
      </c>
      <c r="H314" s="18">
        <v>1.679</v>
      </c>
      <c r="I314" s="12">
        <f t="shared" si="22"/>
        <v>-1.7835909631390558E-3</v>
      </c>
      <c r="J314" s="18">
        <v>1.6910000000000001</v>
      </c>
      <c r="K314" s="12">
        <f t="shared" si="23"/>
        <v>-5.9101654846329191E-4</v>
      </c>
      <c r="L314" s="18">
        <v>1.6950000000000001</v>
      </c>
      <c r="M314" s="12">
        <f t="shared" si="24"/>
        <v>1.1813349084465457E-3</v>
      </c>
    </row>
    <row r="315" spans="1:13" x14ac:dyDescent="0.25">
      <c r="A315" s="11">
        <v>42734</v>
      </c>
      <c r="B315" s="10">
        <v>1.7150000000000001</v>
      </c>
      <c r="C315" s="12">
        <f t="shared" si="20"/>
        <v>3.6253776435045348E-2</v>
      </c>
      <c r="E315" s="20">
        <v>42734</v>
      </c>
      <c r="F315" s="18">
        <v>1.702</v>
      </c>
      <c r="G315" s="12">
        <f t="shared" si="21"/>
        <v>2.5301204819277133E-2</v>
      </c>
      <c r="H315" s="18">
        <v>1.7210000000000001</v>
      </c>
      <c r="I315" s="12">
        <f t="shared" si="22"/>
        <v>2.5014889815366311E-2</v>
      </c>
      <c r="J315" s="18">
        <v>1.7310000000000001</v>
      </c>
      <c r="K315" s="12">
        <f t="shared" si="23"/>
        <v>2.3654642223536391E-2</v>
      </c>
      <c r="L315" s="18">
        <v>1.7330000000000001</v>
      </c>
      <c r="M315" s="12">
        <f t="shared" si="24"/>
        <v>2.2418879056047218E-2</v>
      </c>
    </row>
    <row r="316" spans="1:13" x14ac:dyDescent="0.25">
      <c r="A316" s="11">
        <v>42741</v>
      </c>
      <c r="B316" s="10">
        <v>1.6950000000000001</v>
      </c>
      <c r="C316" s="12">
        <f t="shared" si="20"/>
        <v>-1.1661807580174937E-2</v>
      </c>
      <c r="E316" s="20">
        <v>42741</v>
      </c>
      <c r="F316" s="18">
        <v>1.6919999999999999</v>
      </c>
      <c r="G316" s="12">
        <f t="shared" si="21"/>
        <v>-5.8754406580493589E-3</v>
      </c>
      <c r="H316" s="18">
        <v>1.7050000000000001</v>
      </c>
      <c r="I316" s="12">
        <f t="shared" si="22"/>
        <v>-9.2969203951191251E-3</v>
      </c>
      <c r="J316" s="18">
        <v>1.712</v>
      </c>
      <c r="K316" s="12">
        <f t="shared" si="23"/>
        <v>-1.0976314269208623E-2</v>
      </c>
      <c r="L316" s="18">
        <v>1.7190000000000001</v>
      </c>
      <c r="M316" s="12">
        <f t="shared" si="24"/>
        <v>-8.0784766301211838E-3</v>
      </c>
    </row>
    <row r="317" spans="1:13" x14ac:dyDescent="0.25">
      <c r="A317" s="11">
        <v>42748</v>
      </c>
      <c r="B317" s="10">
        <v>1.6279999999999999</v>
      </c>
      <c r="C317" s="12">
        <f t="shared" si="20"/>
        <v>-3.9528023598820156E-2</v>
      </c>
      <c r="E317" s="20">
        <v>42748</v>
      </c>
      <c r="F317" s="18">
        <v>1.6459999999999999</v>
      </c>
      <c r="G317" s="12">
        <f t="shared" si="21"/>
        <v>-2.7186761229314446E-2</v>
      </c>
      <c r="H317" s="18">
        <v>1.657</v>
      </c>
      <c r="I317" s="12">
        <f t="shared" si="22"/>
        <v>-2.8152492668621725E-2</v>
      </c>
      <c r="J317" s="18">
        <v>1.6619999999999999</v>
      </c>
      <c r="K317" s="12">
        <f t="shared" si="23"/>
        <v>-2.9205607476635542E-2</v>
      </c>
      <c r="L317" s="18">
        <v>1.669</v>
      </c>
      <c r="M317" s="12">
        <f t="shared" si="24"/>
        <v>-2.9086678301338011E-2</v>
      </c>
    </row>
    <row r="318" spans="1:13" x14ac:dyDescent="0.25">
      <c r="A318" s="11">
        <v>42755</v>
      </c>
      <c r="B318" s="10">
        <v>1.615</v>
      </c>
      <c r="C318" s="12">
        <f t="shared" si="20"/>
        <v>-7.9852579852579247E-3</v>
      </c>
      <c r="E318" s="20">
        <v>42755</v>
      </c>
      <c r="F318" s="18">
        <v>1.631</v>
      </c>
      <c r="G318" s="12">
        <f t="shared" si="21"/>
        <v>-9.113001215066769E-3</v>
      </c>
      <c r="H318" s="18">
        <v>1.645</v>
      </c>
      <c r="I318" s="12">
        <f t="shared" si="22"/>
        <v>-7.2420036210018171E-3</v>
      </c>
      <c r="J318" s="18">
        <v>1.653</v>
      </c>
      <c r="K318" s="12">
        <f t="shared" si="23"/>
        <v>-5.4151624548735844E-3</v>
      </c>
      <c r="L318" s="18">
        <v>1.6619999999999999</v>
      </c>
      <c r="M318" s="12">
        <f t="shared" si="24"/>
        <v>-4.1941282204913822E-3</v>
      </c>
    </row>
    <row r="319" spans="1:13" x14ac:dyDescent="0.25">
      <c r="A319" s="11">
        <v>42762</v>
      </c>
      <c r="B319" s="10">
        <v>1.5740000000000001</v>
      </c>
      <c r="C319" s="12">
        <f t="shared" si="20"/>
        <v>-2.5386996904024722E-2</v>
      </c>
      <c r="E319" s="20">
        <v>42762</v>
      </c>
      <c r="F319" s="18">
        <v>1.6279999999999999</v>
      </c>
      <c r="G319" s="12">
        <f t="shared" si="21"/>
        <v>-1.8393623543838833E-3</v>
      </c>
      <c r="H319" s="18">
        <v>1.645</v>
      </c>
      <c r="I319" s="12">
        <f t="shared" si="22"/>
        <v>0</v>
      </c>
      <c r="J319" s="18">
        <v>1.6539999999999999</v>
      </c>
      <c r="K319" s="12">
        <f t="shared" si="23"/>
        <v>6.0496067755589223E-4</v>
      </c>
      <c r="L319" s="18">
        <v>1.6639999999999999</v>
      </c>
      <c r="M319" s="12">
        <f t="shared" si="24"/>
        <v>1.203369434416367E-3</v>
      </c>
    </row>
    <row r="320" spans="1:13" x14ac:dyDescent="0.25">
      <c r="A320" s="11">
        <v>42769</v>
      </c>
      <c r="B320" s="10">
        <v>1.5629999999999999</v>
      </c>
      <c r="C320" s="12">
        <f t="shared" si="20"/>
        <v>-6.9885641677256164E-3</v>
      </c>
      <c r="E320" s="20">
        <v>42769</v>
      </c>
      <c r="F320" s="18">
        <v>1.6419999999999999</v>
      </c>
      <c r="G320" s="12">
        <f t="shared" si="21"/>
        <v>8.5995085995086082E-3</v>
      </c>
      <c r="H320" s="18">
        <v>1.6539999999999999</v>
      </c>
      <c r="I320" s="12">
        <f t="shared" si="22"/>
        <v>5.4711246200607275E-3</v>
      </c>
      <c r="J320" s="18">
        <v>1.661</v>
      </c>
      <c r="K320" s="12">
        <f t="shared" si="23"/>
        <v>4.2321644498186928E-3</v>
      </c>
      <c r="L320" s="18">
        <v>1.669</v>
      </c>
      <c r="M320" s="12">
        <f t="shared" si="24"/>
        <v>3.0048076923077619E-3</v>
      </c>
    </row>
    <row r="321" spans="1:13" x14ac:dyDescent="0.25">
      <c r="A321" s="11">
        <v>42776</v>
      </c>
      <c r="B321" s="10">
        <v>1.536</v>
      </c>
      <c r="C321" s="12">
        <f t="shared" si="20"/>
        <v>-1.7274472168905895E-2</v>
      </c>
      <c r="E321" s="20">
        <v>42776</v>
      </c>
      <c r="F321" s="18">
        <v>1.64</v>
      </c>
      <c r="G321" s="12">
        <f t="shared" si="21"/>
        <v>-1.2180267965895262E-3</v>
      </c>
      <c r="H321" s="18">
        <v>1.649</v>
      </c>
      <c r="I321" s="12">
        <f t="shared" si="22"/>
        <v>-3.0229746070132369E-3</v>
      </c>
      <c r="J321" s="18">
        <v>1.6579999999999999</v>
      </c>
      <c r="K321" s="12">
        <f t="shared" si="23"/>
        <v>-1.8061408789886294E-3</v>
      </c>
      <c r="L321" s="18">
        <v>1.667</v>
      </c>
      <c r="M321" s="12">
        <f t="shared" si="24"/>
        <v>-1.1983223487118046E-3</v>
      </c>
    </row>
    <row r="322" spans="1:13" x14ac:dyDescent="0.25">
      <c r="A322" s="11">
        <v>42783</v>
      </c>
      <c r="B322" s="10">
        <v>1.5469999999999999</v>
      </c>
      <c r="C322" s="12">
        <f t="shared" si="20"/>
        <v>7.1614583333332671E-3</v>
      </c>
      <c r="E322" s="20">
        <v>42783</v>
      </c>
      <c r="F322" s="18">
        <v>1.6319999999999999</v>
      </c>
      <c r="G322" s="12">
        <f t="shared" si="21"/>
        <v>-4.8780487804878092E-3</v>
      </c>
      <c r="H322" s="18">
        <v>1.6439999999999999</v>
      </c>
      <c r="I322" s="12">
        <f t="shared" si="22"/>
        <v>-3.0321406913281475E-3</v>
      </c>
      <c r="J322" s="18">
        <v>1.6539999999999999</v>
      </c>
      <c r="K322" s="12">
        <f t="shared" si="23"/>
        <v>-2.4125452352231629E-3</v>
      </c>
      <c r="L322" s="18">
        <v>1.6639999999999999</v>
      </c>
      <c r="M322" s="12">
        <f t="shared" si="24"/>
        <v>-1.799640071985671E-3</v>
      </c>
    </row>
    <row r="323" spans="1:13" x14ac:dyDescent="0.25">
      <c r="A323" s="11">
        <v>42790</v>
      </c>
      <c r="B323" s="10">
        <v>1.5329999999999999</v>
      </c>
      <c r="C323" s="12">
        <f t="shared" si="20"/>
        <v>-9.0497737556561163E-3</v>
      </c>
      <c r="E323" s="20">
        <v>42790</v>
      </c>
      <c r="F323" s="18">
        <v>1.6419999999999999</v>
      </c>
      <c r="G323" s="12">
        <f t="shared" si="21"/>
        <v>6.1274509803921628E-3</v>
      </c>
      <c r="H323" s="18">
        <v>1.651</v>
      </c>
      <c r="I323" s="12">
        <f t="shared" si="22"/>
        <v>4.2579075425791466E-3</v>
      </c>
      <c r="J323" s="18">
        <v>1.659</v>
      </c>
      <c r="K323" s="12">
        <f t="shared" si="23"/>
        <v>3.0229746070133709E-3</v>
      </c>
      <c r="L323" s="18">
        <v>1.667</v>
      </c>
      <c r="M323" s="12">
        <f t="shared" si="24"/>
        <v>1.8028846153846838E-3</v>
      </c>
    </row>
    <row r="324" spans="1:13" x14ac:dyDescent="0.25">
      <c r="A324" s="11">
        <v>42797</v>
      </c>
      <c r="B324" s="10">
        <v>1.492</v>
      </c>
      <c r="C324" s="12">
        <f t="shared" si="20"/>
        <v>-2.6744944553163685E-2</v>
      </c>
      <c r="E324" s="20">
        <v>42797</v>
      </c>
      <c r="F324" s="18">
        <v>1.6120000000000001</v>
      </c>
      <c r="G324" s="12">
        <f t="shared" si="21"/>
        <v>-1.8270401948842756E-2</v>
      </c>
      <c r="H324" s="18">
        <v>1.6240000000000001</v>
      </c>
      <c r="I324" s="12">
        <f t="shared" si="22"/>
        <v>-1.6353725015142286E-2</v>
      </c>
      <c r="J324" s="18">
        <v>1.6339999999999999</v>
      </c>
      <c r="K324" s="12">
        <f t="shared" si="23"/>
        <v>-1.5069318866787302E-2</v>
      </c>
      <c r="L324" s="18">
        <v>1.6439999999999999</v>
      </c>
      <c r="M324" s="12">
        <f t="shared" si="24"/>
        <v>-1.3797240551889701E-2</v>
      </c>
    </row>
    <row r="325" spans="1:13" x14ac:dyDescent="0.25">
      <c r="A325" s="11">
        <v>42804</v>
      </c>
      <c r="B325" s="10">
        <v>1.484</v>
      </c>
      <c r="C325" s="12">
        <f t="shared" ref="C325:C388" si="25">(B325-B324)/B324</f>
        <v>-5.3619302949061707E-3</v>
      </c>
      <c r="E325" s="20">
        <v>42804</v>
      </c>
      <c r="F325" s="18">
        <v>1.5620000000000001</v>
      </c>
      <c r="G325" s="12">
        <f t="shared" ref="G325:G388" si="26">(F325-F324)/F324</f>
        <v>-3.1017369727047172E-2</v>
      </c>
      <c r="H325" s="18">
        <v>1.571</v>
      </c>
      <c r="I325" s="12">
        <f t="shared" ref="I325:I388" si="27">(H325-H324)/H324</f>
        <v>-3.2635467980295658E-2</v>
      </c>
      <c r="J325" s="18">
        <v>1.58</v>
      </c>
      <c r="K325" s="12">
        <f t="shared" ref="K325:K388" si="28">(J325-J324)/J324</f>
        <v>-3.304773561811495E-2</v>
      </c>
      <c r="L325" s="18">
        <v>1.59</v>
      </c>
      <c r="M325" s="12">
        <f t="shared" ref="M325:M388" si="29">(L325-L324)/L324</f>
        <v>-3.2846715328467051E-2</v>
      </c>
    </row>
    <row r="326" spans="1:13" x14ac:dyDescent="0.25">
      <c r="A326" s="11">
        <v>42811</v>
      </c>
      <c r="B326" s="10">
        <v>1.454</v>
      </c>
      <c r="C326" s="12">
        <f t="shared" si="25"/>
        <v>-2.0215633423180612E-2</v>
      </c>
      <c r="E326" s="20">
        <v>42811</v>
      </c>
      <c r="F326" s="18">
        <v>1.504</v>
      </c>
      <c r="G326" s="12">
        <f t="shared" si="26"/>
        <v>-3.7131882202304768E-2</v>
      </c>
      <c r="H326" s="18">
        <v>1.51</v>
      </c>
      <c r="I326" s="12">
        <f t="shared" si="27"/>
        <v>-3.8828771483131727E-2</v>
      </c>
      <c r="J326" s="18">
        <v>1.518</v>
      </c>
      <c r="K326" s="12">
        <f t="shared" si="28"/>
        <v>-3.924050632911396E-2</v>
      </c>
      <c r="L326" s="18">
        <v>1.5269999999999999</v>
      </c>
      <c r="M326" s="12">
        <f t="shared" si="29"/>
        <v>-3.9622641509434064E-2</v>
      </c>
    </row>
    <row r="327" spans="1:13" x14ac:dyDescent="0.25">
      <c r="A327" s="11">
        <v>42818</v>
      </c>
      <c r="B327" s="10">
        <v>1.4910000000000001</v>
      </c>
      <c r="C327" s="12">
        <f t="shared" si="25"/>
        <v>2.5447042640990472E-2</v>
      </c>
      <c r="E327" s="20">
        <v>42818</v>
      </c>
      <c r="F327" s="18">
        <v>1.5</v>
      </c>
      <c r="G327" s="12">
        <f t="shared" si="26"/>
        <v>-2.6595744680851089E-3</v>
      </c>
      <c r="H327" s="18">
        <v>1.5069999999999999</v>
      </c>
      <c r="I327" s="12">
        <f t="shared" si="27"/>
        <v>-1.9867549668874927E-3</v>
      </c>
      <c r="J327" s="18">
        <v>1.5149999999999999</v>
      </c>
      <c r="K327" s="12">
        <f t="shared" si="28"/>
        <v>-1.976284584980312E-3</v>
      </c>
      <c r="L327" s="18">
        <v>1.524</v>
      </c>
      <c r="M327" s="12">
        <f t="shared" si="29"/>
        <v>-1.9646365422396148E-3</v>
      </c>
    </row>
    <row r="328" spans="1:13" x14ac:dyDescent="0.25">
      <c r="A328" s="11">
        <v>42825</v>
      </c>
      <c r="B328" s="10">
        <v>1.5649999999999999</v>
      </c>
      <c r="C328" s="12">
        <f t="shared" si="25"/>
        <v>4.9631120053655157E-2</v>
      </c>
      <c r="E328" s="20">
        <v>42825</v>
      </c>
      <c r="F328" s="18">
        <v>1.5389999999999999</v>
      </c>
      <c r="G328" s="12">
        <f t="shared" si="26"/>
        <v>2.599999999999995E-2</v>
      </c>
      <c r="H328" s="18">
        <v>1.542</v>
      </c>
      <c r="I328" s="12">
        <f t="shared" si="27"/>
        <v>2.3224950232249599E-2</v>
      </c>
      <c r="J328" s="18">
        <v>1.5489999999999999</v>
      </c>
      <c r="K328" s="12">
        <f t="shared" si="28"/>
        <v>2.2442244224422463E-2</v>
      </c>
      <c r="L328" s="18">
        <v>1.5569999999999999</v>
      </c>
      <c r="M328" s="12">
        <f t="shared" si="29"/>
        <v>2.1653543307086562E-2</v>
      </c>
    </row>
    <row r="329" spans="1:13" x14ac:dyDescent="0.25">
      <c r="A329" s="11">
        <v>42832</v>
      </c>
      <c r="B329" s="10">
        <v>1.6359999999999999</v>
      </c>
      <c r="C329" s="12">
        <f t="shared" si="25"/>
        <v>4.5367412140575047E-2</v>
      </c>
      <c r="E329" s="20">
        <v>42832</v>
      </c>
      <c r="F329" s="18">
        <v>1.6</v>
      </c>
      <c r="G329" s="12">
        <f t="shared" si="26"/>
        <v>3.963612735542571E-2</v>
      </c>
      <c r="H329" s="18">
        <v>1.607</v>
      </c>
      <c r="I329" s="12">
        <f t="shared" si="27"/>
        <v>4.2153047989623826E-2</v>
      </c>
      <c r="J329" s="18">
        <v>1.615</v>
      </c>
      <c r="K329" s="12">
        <f t="shared" si="28"/>
        <v>4.2608134280180801E-2</v>
      </c>
      <c r="L329" s="18">
        <v>1.6240000000000001</v>
      </c>
      <c r="M329" s="12">
        <f t="shared" si="29"/>
        <v>4.3031470777135629E-2</v>
      </c>
    </row>
    <row r="330" spans="1:13" x14ac:dyDescent="0.25">
      <c r="A330" s="11">
        <v>42839</v>
      </c>
      <c r="B330" s="10">
        <v>1.6559999999999999</v>
      </c>
      <c r="C330" s="12">
        <f t="shared" si="25"/>
        <v>1.2224938875305635E-2</v>
      </c>
      <c r="E330" s="20">
        <v>42839</v>
      </c>
      <c r="F330" s="18">
        <v>1.65</v>
      </c>
      <c r="G330" s="12">
        <f t="shared" si="26"/>
        <v>3.1249999999999889E-2</v>
      </c>
      <c r="H330" s="18">
        <v>1.6579999999999999</v>
      </c>
      <c r="I330" s="12">
        <f t="shared" si="27"/>
        <v>3.1736154324828833E-2</v>
      </c>
      <c r="J330" s="18">
        <v>1.6659999999999999</v>
      </c>
      <c r="K330" s="12">
        <f t="shared" si="28"/>
        <v>3.1578947368421012E-2</v>
      </c>
      <c r="L330" s="18">
        <v>1.675</v>
      </c>
      <c r="M330" s="12">
        <f t="shared" si="29"/>
        <v>3.1403940886699462E-2</v>
      </c>
    </row>
    <row r="331" spans="1:13" x14ac:dyDescent="0.25">
      <c r="A331" s="11">
        <v>42846</v>
      </c>
      <c r="B331" s="10">
        <v>1.621</v>
      </c>
      <c r="C331" s="12">
        <f t="shared" si="25"/>
        <v>-2.1135265700483043E-2</v>
      </c>
      <c r="E331" s="20">
        <v>42846</v>
      </c>
      <c r="F331" s="18">
        <v>1.5940000000000001</v>
      </c>
      <c r="G331" s="12">
        <f t="shared" si="26"/>
        <v>-3.3939393939393839E-2</v>
      </c>
      <c r="H331" s="18">
        <v>1.6020000000000001</v>
      </c>
      <c r="I331" s="12">
        <f t="shared" si="27"/>
        <v>-3.3775633293124142E-2</v>
      </c>
      <c r="J331" s="18">
        <v>1.61</v>
      </c>
      <c r="K331" s="12">
        <f t="shared" si="28"/>
        <v>-3.3613445378151162E-2</v>
      </c>
      <c r="L331" s="18">
        <v>1.619</v>
      </c>
      <c r="M331" s="12">
        <f t="shared" si="29"/>
        <v>-3.3432835820895554E-2</v>
      </c>
    </row>
    <row r="332" spans="1:13" x14ac:dyDescent="0.25">
      <c r="A332" s="11">
        <v>42853</v>
      </c>
      <c r="B332" s="10">
        <v>1.5329999999999999</v>
      </c>
      <c r="C332" s="12">
        <f t="shared" si="25"/>
        <v>-5.4287476866132063E-2</v>
      </c>
      <c r="E332" s="20">
        <v>42853</v>
      </c>
      <c r="F332" s="18">
        <v>1.5269999999999999</v>
      </c>
      <c r="G332" s="12">
        <f t="shared" si="26"/>
        <v>-4.2032622333751671E-2</v>
      </c>
      <c r="H332" s="18">
        <v>1.532</v>
      </c>
      <c r="I332" s="12">
        <f t="shared" si="27"/>
        <v>-4.3695380774032497E-2</v>
      </c>
      <c r="J332" s="18">
        <v>1.5389999999999999</v>
      </c>
      <c r="K332" s="12">
        <f t="shared" si="28"/>
        <v>-4.4099378881987686E-2</v>
      </c>
      <c r="L332" s="18">
        <v>1.5469999999999999</v>
      </c>
      <c r="M332" s="12">
        <f t="shared" si="29"/>
        <v>-4.4471896232242167E-2</v>
      </c>
    </row>
    <row r="333" spans="1:13" x14ac:dyDescent="0.25">
      <c r="A333" s="11">
        <v>42860</v>
      </c>
      <c r="B333" s="10">
        <v>1.46</v>
      </c>
      <c r="C333" s="12">
        <f t="shared" si="25"/>
        <v>-4.7619047619047589E-2</v>
      </c>
      <c r="E333" s="20">
        <v>42860</v>
      </c>
      <c r="F333" s="18">
        <v>1.456</v>
      </c>
      <c r="G333" s="12">
        <f t="shared" si="26"/>
        <v>-4.6496398166339201E-2</v>
      </c>
      <c r="H333" s="18">
        <v>1.4630000000000001</v>
      </c>
      <c r="I333" s="12">
        <f t="shared" si="27"/>
        <v>-4.5039164490861587E-2</v>
      </c>
      <c r="J333" s="18">
        <v>1.4710000000000001</v>
      </c>
      <c r="K333" s="12">
        <f t="shared" si="28"/>
        <v>-4.4184535412605488E-2</v>
      </c>
      <c r="L333" s="18">
        <v>1.482</v>
      </c>
      <c r="M333" s="12">
        <f t="shared" si="29"/>
        <v>-4.2016806722689044E-2</v>
      </c>
    </row>
    <row r="334" spans="1:13" x14ac:dyDescent="0.25">
      <c r="A334" s="11">
        <v>42867</v>
      </c>
      <c r="B334" s="10">
        <v>1.486</v>
      </c>
      <c r="C334" s="12">
        <f t="shared" si="25"/>
        <v>1.7808219178082209E-2</v>
      </c>
      <c r="E334" s="20">
        <v>42867</v>
      </c>
      <c r="F334" s="18">
        <v>1.4710000000000001</v>
      </c>
      <c r="G334" s="12">
        <f t="shared" si="26"/>
        <v>1.0302197802197887E-2</v>
      </c>
      <c r="H334" s="18">
        <v>1.4770000000000001</v>
      </c>
      <c r="I334" s="12">
        <f t="shared" si="27"/>
        <v>9.5693779904306303E-3</v>
      </c>
      <c r="J334" s="18">
        <v>1.484</v>
      </c>
      <c r="K334" s="12">
        <f t="shared" si="28"/>
        <v>8.8375254928619307E-3</v>
      </c>
      <c r="L334" s="18">
        <v>1.494</v>
      </c>
      <c r="M334" s="12">
        <f t="shared" si="29"/>
        <v>8.097165991902841E-3</v>
      </c>
    </row>
    <row r="335" spans="1:13" x14ac:dyDescent="0.25">
      <c r="A335" s="11">
        <v>42874</v>
      </c>
      <c r="B335" s="10">
        <v>1.569</v>
      </c>
      <c r="C335" s="12">
        <f t="shared" si="25"/>
        <v>5.5854643337819629E-2</v>
      </c>
      <c r="E335" s="20">
        <v>42874</v>
      </c>
      <c r="F335" s="18">
        <v>1.538</v>
      </c>
      <c r="G335" s="12">
        <f t="shared" si="26"/>
        <v>4.5547246770904111E-2</v>
      </c>
      <c r="H335" s="18">
        <v>1.544</v>
      </c>
      <c r="I335" s="12">
        <f t="shared" si="27"/>
        <v>4.5362220717670917E-2</v>
      </c>
      <c r="J335" s="18">
        <v>1.552</v>
      </c>
      <c r="K335" s="12">
        <f t="shared" si="28"/>
        <v>4.5822102425876053E-2</v>
      </c>
      <c r="L335" s="18">
        <v>1.5620000000000001</v>
      </c>
      <c r="M335" s="12">
        <f t="shared" si="29"/>
        <v>4.5515394912985313E-2</v>
      </c>
    </row>
    <row r="336" spans="1:13" x14ac:dyDescent="0.25">
      <c r="A336" s="11">
        <v>42881</v>
      </c>
      <c r="B336" s="10">
        <v>1.61</v>
      </c>
      <c r="C336" s="12">
        <f t="shared" si="25"/>
        <v>2.6131293817718386E-2</v>
      </c>
      <c r="E336" s="20">
        <v>42881</v>
      </c>
      <c r="F336" s="18">
        <v>1.5860000000000001</v>
      </c>
      <c r="G336" s="12">
        <f t="shared" si="26"/>
        <v>3.1209362808842681E-2</v>
      </c>
      <c r="H336" s="18">
        <v>1.591</v>
      </c>
      <c r="I336" s="12">
        <f t="shared" si="27"/>
        <v>3.0440414507771976E-2</v>
      </c>
      <c r="J336" s="18">
        <v>1.597</v>
      </c>
      <c r="K336" s="12">
        <f t="shared" si="28"/>
        <v>2.8994845360824695E-2</v>
      </c>
      <c r="L336" s="18">
        <v>1.6060000000000001</v>
      </c>
      <c r="M336" s="12">
        <f t="shared" si="29"/>
        <v>2.8169014084507067E-2</v>
      </c>
    </row>
    <row r="337" spans="1:13" x14ac:dyDescent="0.25">
      <c r="A337" s="11">
        <v>42888</v>
      </c>
      <c r="B337" s="10">
        <v>1.585</v>
      </c>
      <c r="C337" s="12">
        <f t="shared" si="25"/>
        <v>-1.5527950310559088E-2</v>
      </c>
      <c r="E337" s="20">
        <v>42888</v>
      </c>
      <c r="F337" s="18">
        <v>1.5129999999999999</v>
      </c>
      <c r="G337" s="12">
        <f t="shared" si="26"/>
        <v>-4.6027742749054336E-2</v>
      </c>
      <c r="H337" s="18">
        <v>1.5189999999999999</v>
      </c>
      <c r="I337" s="12">
        <f t="shared" si="27"/>
        <v>-4.5254556882463902E-2</v>
      </c>
      <c r="J337" s="18">
        <v>1.528</v>
      </c>
      <c r="K337" s="12">
        <f t="shared" si="28"/>
        <v>-4.3206011271133347E-2</v>
      </c>
      <c r="L337" s="18">
        <v>1.5389999999999999</v>
      </c>
      <c r="M337" s="12">
        <f t="shared" si="29"/>
        <v>-4.1718555417185658E-2</v>
      </c>
    </row>
    <row r="338" spans="1:13" x14ac:dyDescent="0.25">
      <c r="A338" s="11">
        <v>42895</v>
      </c>
      <c r="B338" s="10">
        <v>1.4810000000000001</v>
      </c>
      <c r="C338" s="12">
        <f t="shared" si="25"/>
        <v>-6.5615141955835884E-2</v>
      </c>
      <c r="E338" s="20">
        <v>42895</v>
      </c>
      <c r="F338" s="18">
        <v>1.4390000000000001</v>
      </c>
      <c r="G338" s="12">
        <f t="shared" si="26"/>
        <v>-4.8909451421017748E-2</v>
      </c>
      <c r="H338" s="18">
        <v>1.448</v>
      </c>
      <c r="I338" s="12">
        <f t="shared" si="27"/>
        <v>-4.6741277156023671E-2</v>
      </c>
      <c r="J338" s="18">
        <v>1.4590000000000001</v>
      </c>
      <c r="K338" s="12">
        <f t="shared" si="28"/>
        <v>-4.5157068062827189E-2</v>
      </c>
      <c r="L338" s="18">
        <v>1.472</v>
      </c>
      <c r="M338" s="12">
        <f t="shared" si="29"/>
        <v>-4.3534762833008417E-2</v>
      </c>
    </row>
    <row r="339" spans="1:13" x14ac:dyDescent="0.25">
      <c r="A339" s="11">
        <v>42902</v>
      </c>
      <c r="B339" s="10">
        <v>1.415</v>
      </c>
      <c r="C339" s="12">
        <f t="shared" si="25"/>
        <v>-4.4564483457123605E-2</v>
      </c>
      <c r="E339" s="20">
        <v>42902</v>
      </c>
      <c r="F339" s="18">
        <v>1.425</v>
      </c>
      <c r="G339" s="12">
        <f t="shared" si="26"/>
        <v>-9.7289784572619966E-3</v>
      </c>
      <c r="H339" s="18">
        <v>1.4330000000000001</v>
      </c>
      <c r="I339" s="12">
        <f t="shared" si="27"/>
        <v>-1.0359116022099381E-2</v>
      </c>
      <c r="J339" s="18">
        <v>1.4430000000000001</v>
      </c>
      <c r="K339" s="12">
        <f t="shared" si="28"/>
        <v>-1.0966415352981504E-2</v>
      </c>
      <c r="L339" s="18">
        <v>1.4550000000000001</v>
      </c>
      <c r="M339" s="12">
        <f t="shared" si="29"/>
        <v>-1.1548913043478196E-2</v>
      </c>
    </row>
    <row r="340" spans="1:13" x14ac:dyDescent="0.25">
      <c r="A340" s="11">
        <v>42909</v>
      </c>
      <c r="B340" s="10">
        <v>1.3879999999999999</v>
      </c>
      <c r="C340" s="12">
        <f t="shared" si="25"/>
        <v>-1.9081272084805749E-2</v>
      </c>
      <c r="E340" s="20">
        <v>42909</v>
      </c>
      <c r="F340" s="18">
        <v>1.383</v>
      </c>
      <c r="G340" s="12">
        <f t="shared" si="26"/>
        <v>-2.9473684210526339E-2</v>
      </c>
      <c r="H340" s="18">
        <v>1.39</v>
      </c>
      <c r="I340" s="12">
        <f t="shared" si="27"/>
        <v>-3.0006978367062211E-2</v>
      </c>
      <c r="J340" s="18">
        <v>1.399</v>
      </c>
      <c r="K340" s="12">
        <f t="shared" si="28"/>
        <v>-3.0492030492030517E-2</v>
      </c>
      <c r="L340" s="18">
        <v>1.409</v>
      </c>
      <c r="M340" s="12">
        <f t="shared" si="29"/>
        <v>-3.1615120274914116E-2</v>
      </c>
    </row>
    <row r="341" spans="1:13" x14ac:dyDescent="0.25">
      <c r="A341" s="11">
        <v>42916</v>
      </c>
      <c r="B341" s="10">
        <v>1.4470000000000001</v>
      </c>
      <c r="C341" s="12">
        <f t="shared" si="25"/>
        <v>4.250720461095113E-2</v>
      </c>
      <c r="E341" s="20">
        <v>42916</v>
      </c>
      <c r="F341" s="18">
        <v>1.43</v>
      </c>
      <c r="G341" s="12">
        <f t="shared" si="26"/>
        <v>3.398409255242222E-2</v>
      </c>
      <c r="H341" s="18">
        <v>1.4359999999999999</v>
      </c>
      <c r="I341" s="12">
        <f t="shared" si="27"/>
        <v>3.3093525179856149E-2</v>
      </c>
      <c r="J341" s="18">
        <v>1.444</v>
      </c>
      <c r="K341" s="12">
        <f t="shared" si="28"/>
        <v>3.2165832737669715E-2</v>
      </c>
      <c r="L341" s="18">
        <v>1.4530000000000001</v>
      </c>
      <c r="M341" s="12">
        <f t="shared" si="29"/>
        <v>3.1227821149751624E-2</v>
      </c>
    </row>
    <row r="342" spans="1:13" x14ac:dyDescent="0.25">
      <c r="A342" s="11">
        <v>42923</v>
      </c>
      <c r="B342" s="10">
        <v>1.494</v>
      </c>
      <c r="C342" s="12">
        <f t="shared" si="25"/>
        <v>3.2480995162404928E-2</v>
      </c>
      <c r="E342" s="20">
        <v>42923</v>
      </c>
      <c r="F342" s="18">
        <v>1.48</v>
      </c>
      <c r="G342" s="12">
        <f t="shared" si="26"/>
        <v>3.4965034965034995E-2</v>
      </c>
      <c r="H342" s="18">
        <v>1.4870000000000001</v>
      </c>
      <c r="I342" s="12">
        <f t="shared" si="27"/>
        <v>3.5515320334261948E-2</v>
      </c>
      <c r="J342" s="18">
        <v>1.494</v>
      </c>
      <c r="K342" s="12">
        <f t="shared" si="28"/>
        <v>3.4626038781163465E-2</v>
      </c>
      <c r="L342" s="18">
        <v>1.5029999999999999</v>
      </c>
      <c r="M342" s="12">
        <f t="shared" si="29"/>
        <v>3.4411562284927609E-2</v>
      </c>
    </row>
    <row r="343" spans="1:13" x14ac:dyDescent="0.25">
      <c r="A343" s="11">
        <v>42930</v>
      </c>
      <c r="B343" s="10">
        <v>1.5289999999999999</v>
      </c>
      <c r="C343" s="12">
        <f t="shared" si="25"/>
        <v>2.3427041499330604E-2</v>
      </c>
      <c r="E343" s="20">
        <v>42930</v>
      </c>
      <c r="F343" s="18">
        <v>1.482</v>
      </c>
      <c r="G343" s="12">
        <f t="shared" si="26"/>
        <v>1.3513513513513525E-3</v>
      </c>
      <c r="H343" s="18">
        <v>1.4870000000000001</v>
      </c>
      <c r="I343" s="12">
        <f t="shared" si="27"/>
        <v>0</v>
      </c>
      <c r="J343" s="18">
        <v>1.494</v>
      </c>
      <c r="K343" s="12">
        <f t="shared" si="28"/>
        <v>0</v>
      </c>
      <c r="L343" s="18">
        <v>1.5009999999999999</v>
      </c>
      <c r="M343" s="12">
        <f t="shared" si="29"/>
        <v>-1.3306719893546254E-3</v>
      </c>
    </row>
    <row r="344" spans="1:13" x14ac:dyDescent="0.25">
      <c r="A344" s="11">
        <v>42937</v>
      </c>
      <c r="B344" s="10">
        <v>1.591</v>
      </c>
      <c r="C344" s="12">
        <f t="shared" si="25"/>
        <v>4.054937867887512E-2</v>
      </c>
      <c r="E344" s="20">
        <v>42937</v>
      </c>
      <c r="F344" s="18">
        <v>1.524</v>
      </c>
      <c r="G344" s="12">
        <f t="shared" si="26"/>
        <v>2.8340080971659944E-2</v>
      </c>
      <c r="H344" s="18">
        <v>1.528</v>
      </c>
      <c r="I344" s="12">
        <f t="shared" si="27"/>
        <v>2.7572293207800889E-2</v>
      </c>
      <c r="J344" s="18">
        <v>1.534</v>
      </c>
      <c r="K344" s="12">
        <f t="shared" si="28"/>
        <v>2.6773761713520774E-2</v>
      </c>
      <c r="L344" s="18">
        <v>1.5409999999999999</v>
      </c>
      <c r="M344" s="12">
        <f t="shared" si="29"/>
        <v>2.6648900732844795E-2</v>
      </c>
    </row>
    <row r="345" spans="1:13" x14ac:dyDescent="0.25">
      <c r="A345" s="11">
        <v>42944</v>
      </c>
      <c r="B345" s="10">
        <v>1.61</v>
      </c>
      <c r="C345" s="12">
        <f t="shared" si="25"/>
        <v>1.1942174732872488E-2</v>
      </c>
      <c r="E345" s="20">
        <v>42944</v>
      </c>
      <c r="F345" s="18">
        <v>1.585</v>
      </c>
      <c r="G345" s="12">
        <f t="shared" si="26"/>
        <v>4.0026246719160066E-2</v>
      </c>
      <c r="H345" s="18">
        <v>1.589</v>
      </c>
      <c r="I345" s="12">
        <f t="shared" si="27"/>
        <v>3.9921465968586346E-2</v>
      </c>
      <c r="J345" s="18">
        <v>1.593</v>
      </c>
      <c r="K345" s="12">
        <f t="shared" si="28"/>
        <v>3.8461538461538422E-2</v>
      </c>
      <c r="L345" s="18">
        <v>1.5980000000000001</v>
      </c>
      <c r="M345" s="12">
        <f t="shared" si="29"/>
        <v>3.6988968202466041E-2</v>
      </c>
    </row>
    <row r="346" spans="1:13" x14ac:dyDescent="0.25">
      <c r="A346" s="11">
        <v>42951</v>
      </c>
      <c r="B346" s="10">
        <v>1.6639999999999999</v>
      </c>
      <c r="C346" s="12">
        <f t="shared" si="25"/>
        <v>3.3540372670807346E-2</v>
      </c>
      <c r="E346" s="20">
        <v>42951</v>
      </c>
      <c r="F346" s="18">
        <v>1.6479999999999999</v>
      </c>
      <c r="G346" s="12">
        <f t="shared" si="26"/>
        <v>3.97476340694006E-2</v>
      </c>
      <c r="H346" s="18">
        <v>1.6539999999999999</v>
      </c>
      <c r="I346" s="12">
        <f t="shared" si="27"/>
        <v>4.0906230333543077E-2</v>
      </c>
      <c r="J346" s="18">
        <v>1.657</v>
      </c>
      <c r="K346" s="12">
        <f t="shared" si="28"/>
        <v>4.0175768989328349E-2</v>
      </c>
      <c r="L346" s="18">
        <v>1.659</v>
      </c>
      <c r="M346" s="12">
        <f t="shared" si="29"/>
        <v>3.817271589486855E-2</v>
      </c>
    </row>
    <row r="347" spans="1:13" x14ac:dyDescent="0.25">
      <c r="A347" s="11">
        <v>42958</v>
      </c>
      <c r="B347" s="10">
        <v>1.635</v>
      </c>
      <c r="C347" s="12">
        <f t="shared" si="25"/>
        <v>-1.7427884615384564E-2</v>
      </c>
      <c r="E347" s="20">
        <v>42958</v>
      </c>
      <c r="F347" s="18">
        <v>1.6379999999999999</v>
      </c>
      <c r="G347" s="12">
        <f t="shared" si="26"/>
        <v>-6.0679611650485497E-3</v>
      </c>
      <c r="H347" s="18">
        <v>1.641</v>
      </c>
      <c r="I347" s="12">
        <f t="shared" si="27"/>
        <v>-7.8597339782345236E-3</v>
      </c>
      <c r="J347" s="18">
        <v>1.6439999999999999</v>
      </c>
      <c r="K347" s="12">
        <f t="shared" si="28"/>
        <v>-7.8455039227520347E-3</v>
      </c>
      <c r="L347" s="18">
        <v>1.6459999999999999</v>
      </c>
      <c r="M347" s="12">
        <f t="shared" si="29"/>
        <v>-7.8360458107294296E-3</v>
      </c>
    </row>
    <row r="348" spans="1:13" x14ac:dyDescent="0.25">
      <c r="A348" s="11">
        <v>42965</v>
      </c>
      <c r="B348" s="10">
        <v>1.609</v>
      </c>
      <c r="C348" s="12">
        <f t="shared" si="25"/>
        <v>-1.5902140672782887E-2</v>
      </c>
      <c r="E348" s="20">
        <v>42965</v>
      </c>
      <c r="F348" s="18">
        <v>1.5960000000000001</v>
      </c>
      <c r="G348" s="12">
        <f t="shared" si="26"/>
        <v>-2.5641025641025529E-2</v>
      </c>
      <c r="H348" s="18">
        <v>1.601</v>
      </c>
      <c r="I348" s="12">
        <f t="shared" si="27"/>
        <v>-2.4375380865326042E-2</v>
      </c>
      <c r="J348" s="18">
        <v>1.605</v>
      </c>
      <c r="K348" s="12">
        <f t="shared" si="28"/>
        <v>-2.3722627737226231E-2</v>
      </c>
      <c r="L348" s="18">
        <v>1.607</v>
      </c>
      <c r="M348" s="12">
        <f t="shared" si="29"/>
        <v>-2.3693803159173708E-2</v>
      </c>
    </row>
    <row r="349" spans="1:13" x14ac:dyDescent="0.25">
      <c r="A349" s="11">
        <v>42972</v>
      </c>
      <c r="B349" s="10">
        <v>1.657</v>
      </c>
      <c r="C349" s="12">
        <f t="shared" si="25"/>
        <v>2.9832193909260438E-2</v>
      </c>
      <c r="E349" s="20">
        <v>42972</v>
      </c>
      <c r="F349" s="18">
        <v>1.6060000000000001</v>
      </c>
      <c r="G349" s="12">
        <f t="shared" si="26"/>
        <v>6.2656641604010074E-3</v>
      </c>
      <c r="H349" s="18">
        <v>1.61</v>
      </c>
      <c r="I349" s="12">
        <f t="shared" si="27"/>
        <v>5.621486570893266E-3</v>
      </c>
      <c r="J349" s="18">
        <v>1.6140000000000001</v>
      </c>
      <c r="K349" s="12">
        <f t="shared" si="28"/>
        <v>5.6074766355140929E-3</v>
      </c>
      <c r="L349" s="18">
        <v>1.6180000000000001</v>
      </c>
      <c r="M349" s="12">
        <f t="shared" si="29"/>
        <v>6.8450528935906163E-3</v>
      </c>
    </row>
    <row r="350" spans="1:13" x14ac:dyDescent="0.25">
      <c r="A350" s="11">
        <v>42979</v>
      </c>
      <c r="B350" s="10">
        <v>1.95</v>
      </c>
      <c r="C350" s="12">
        <f t="shared" si="25"/>
        <v>0.17682558841279417</v>
      </c>
      <c r="E350" s="20">
        <v>42979</v>
      </c>
      <c r="F350" s="18">
        <v>1.696</v>
      </c>
      <c r="G350" s="12">
        <f t="shared" si="26"/>
        <v>5.603985056039841E-2</v>
      </c>
      <c r="H350" s="18">
        <v>1.6830000000000001</v>
      </c>
      <c r="I350" s="12">
        <f t="shared" si="27"/>
        <v>4.5341614906832264E-2</v>
      </c>
      <c r="J350" s="18">
        <v>1.6719999999999999</v>
      </c>
      <c r="K350" s="12">
        <f t="shared" si="28"/>
        <v>3.59355638166046E-2</v>
      </c>
      <c r="L350" s="18">
        <v>1.6639999999999999</v>
      </c>
      <c r="M350" s="12">
        <f t="shared" si="29"/>
        <v>2.8430160692212495E-2</v>
      </c>
    </row>
    <row r="351" spans="1:13" x14ac:dyDescent="0.25">
      <c r="A351" s="11">
        <v>42986</v>
      </c>
      <c r="B351" s="10">
        <v>2.048</v>
      </c>
      <c r="C351" s="12">
        <f t="shared" si="25"/>
        <v>5.0256410256410304E-2</v>
      </c>
      <c r="E351" s="20">
        <v>42986</v>
      </c>
      <c r="F351" s="18">
        <v>1.7649999999999999</v>
      </c>
      <c r="G351" s="12">
        <f t="shared" si="26"/>
        <v>4.0683962264150914E-2</v>
      </c>
      <c r="H351" s="18">
        <v>1.75</v>
      </c>
      <c r="I351" s="12">
        <f t="shared" si="27"/>
        <v>3.9809863339275074E-2</v>
      </c>
      <c r="J351" s="18">
        <v>1.736</v>
      </c>
      <c r="K351" s="12">
        <f t="shared" si="28"/>
        <v>3.8277511961722521E-2</v>
      </c>
      <c r="L351" s="18">
        <v>1.7250000000000001</v>
      </c>
      <c r="M351" s="12">
        <f t="shared" si="29"/>
        <v>3.6658653846153945E-2</v>
      </c>
    </row>
    <row r="352" spans="1:13" x14ac:dyDescent="0.25">
      <c r="A352" s="11">
        <v>42993</v>
      </c>
      <c r="B352" s="10">
        <v>1.889</v>
      </c>
      <c r="C352" s="12">
        <f t="shared" si="25"/>
        <v>-7.7636718750000014E-2</v>
      </c>
      <c r="E352" s="20">
        <v>42993</v>
      </c>
      <c r="F352" s="18">
        <v>1.766</v>
      </c>
      <c r="G352" s="12">
        <f t="shared" si="26"/>
        <v>5.6657223796040333E-4</v>
      </c>
      <c r="H352" s="18">
        <v>1.7589999999999999</v>
      </c>
      <c r="I352" s="12">
        <f t="shared" si="27"/>
        <v>5.1428571428570836E-3</v>
      </c>
      <c r="J352" s="18">
        <v>1.7509999999999999</v>
      </c>
      <c r="K352" s="12">
        <f t="shared" si="28"/>
        <v>8.6405529953916486E-3</v>
      </c>
      <c r="L352" s="18">
        <v>1.7450000000000001</v>
      </c>
      <c r="M352" s="12">
        <f t="shared" si="29"/>
        <v>1.1594202898550735E-2</v>
      </c>
    </row>
    <row r="353" spans="1:13" x14ac:dyDescent="0.25">
      <c r="A353" s="11">
        <v>43000</v>
      </c>
      <c r="B353" s="10">
        <v>1.766</v>
      </c>
      <c r="C353" s="12">
        <f t="shared" si="25"/>
        <v>-6.5113816834303867E-2</v>
      </c>
      <c r="E353" s="20">
        <v>43000</v>
      </c>
      <c r="F353" s="18">
        <v>1.798</v>
      </c>
      <c r="G353" s="12">
        <f t="shared" si="26"/>
        <v>1.8120045300113265E-2</v>
      </c>
      <c r="H353" s="18">
        <v>1.7909999999999999</v>
      </c>
      <c r="I353" s="12">
        <f t="shared" si="27"/>
        <v>1.8192154633314399E-2</v>
      </c>
      <c r="J353" s="18">
        <v>1.782</v>
      </c>
      <c r="K353" s="12">
        <f t="shared" si="28"/>
        <v>1.770416904625936E-2</v>
      </c>
      <c r="L353" s="18">
        <v>1.7749999999999999</v>
      </c>
      <c r="M353" s="12">
        <f t="shared" si="29"/>
        <v>1.7191977077363783E-2</v>
      </c>
    </row>
    <row r="354" spans="1:13" x14ac:dyDescent="0.25">
      <c r="A354" s="11">
        <v>43007</v>
      </c>
      <c r="B354" s="10">
        <v>1.726</v>
      </c>
      <c r="C354" s="12">
        <f t="shared" si="25"/>
        <v>-2.2650056625141583E-2</v>
      </c>
      <c r="E354" s="20">
        <v>43007</v>
      </c>
      <c r="F354" s="18">
        <v>1.8380000000000001</v>
      </c>
      <c r="G354" s="12">
        <f t="shared" si="26"/>
        <v>2.2246941045606247E-2</v>
      </c>
      <c r="H354" s="18">
        <v>1.8320000000000001</v>
      </c>
      <c r="I354" s="12">
        <f t="shared" si="27"/>
        <v>2.2892238972641067E-2</v>
      </c>
      <c r="J354" s="18">
        <v>1.827</v>
      </c>
      <c r="K354" s="12">
        <f t="shared" si="28"/>
        <v>2.5252525252525214E-2</v>
      </c>
      <c r="L354" s="18">
        <v>1.8220000000000001</v>
      </c>
      <c r="M354" s="12">
        <f t="shared" si="29"/>
        <v>2.6478873239436707E-2</v>
      </c>
    </row>
    <row r="355" spans="1:13" x14ac:dyDescent="0.25">
      <c r="A355" s="11">
        <v>43014</v>
      </c>
      <c r="B355" s="10">
        <v>1.645</v>
      </c>
      <c r="C355" s="12">
        <f t="shared" si="25"/>
        <v>-4.6929316338354558E-2</v>
      </c>
      <c r="E355" s="20">
        <v>43014</v>
      </c>
      <c r="F355" s="18">
        <v>1.764</v>
      </c>
      <c r="G355" s="12">
        <f t="shared" si="26"/>
        <v>-4.0261153427638773E-2</v>
      </c>
      <c r="H355" s="18">
        <v>1.762</v>
      </c>
      <c r="I355" s="12">
        <f t="shared" si="27"/>
        <v>-3.8209606986899597E-2</v>
      </c>
      <c r="J355" s="18">
        <v>1.7609999999999999</v>
      </c>
      <c r="K355" s="12">
        <f t="shared" si="28"/>
        <v>-3.6124794745484433E-2</v>
      </c>
      <c r="L355" s="18">
        <v>1.7549999999999999</v>
      </c>
      <c r="M355" s="12">
        <f t="shared" si="29"/>
        <v>-3.6772777167947406E-2</v>
      </c>
    </row>
    <row r="356" spans="1:13" x14ac:dyDescent="0.25">
      <c r="A356" s="11">
        <v>43021</v>
      </c>
      <c r="B356" s="10">
        <v>1.665</v>
      </c>
      <c r="C356" s="12">
        <f t="shared" si="25"/>
        <v>1.2158054711246211E-2</v>
      </c>
      <c r="E356" s="20">
        <v>43021</v>
      </c>
      <c r="F356" s="18">
        <v>1.778</v>
      </c>
      <c r="G356" s="12">
        <f t="shared" si="26"/>
        <v>7.936507936507943E-3</v>
      </c>
      <c r="H356" s="18">
        <v>1.778</v>
      </c>
      <c r="I356" s="12">
        <f t="shared" si="27"/>
        <v>9.0805902383655022E-3</v>
      </c>
      <c r="J356" s="18">
        <v>1.7749999999999999</v>
      </c>
      <c r="K356" s="12">
        <f t="shared" si="28"/>
        <v>7.9500283929585542E-3</v>
      </c>
      <c r="L356" s="18">
        <v>1.7709999999999999</v>
      </c>
      <c r="M356" s="12">
        <f t="shared" si="29"/>
        <v>9.1168091168091249E-3</v>
      </c>
    </row>
    <row r="357" spans="1:13" x14ac:dyDescent="0.25">
      <c r="A357" s="11">
        <v>43028</v>
      </c>
      <c r="B357" s="10">
        <v>1.7110000000000001</v>
      </c>
      <c r="C357" s="12">
        <f t="shared" si="25"/>
        <v>2.7627627627627653E-2</v>
      </c>
      <c r="E357" s="20">
        <v>43028</v>
      </c>
      <c r="F357" s="18">
        <v>1.8009999999999999</v>
      </c>
      <c r="G357" s="12">
        <f t="shared" si="26"/>
        <v>1.2935883014623121E-2</v>
      </c>
      <c r="H357" s="18">
        <v>1.802</v>
      </c>
      <c r="I357" s="12">
        <f t="shared" si="27"/>
        <v>1.3498312710911148E-2</v>
      </c>
      <c r="J357" s="18">
        <v>1.8</v>
      </c>
      <c r="K357" s="12">
        <f t="shared" si="28"/>
        <v>1.4084507042253596E-2</v>
      </c>
      <c r="L357" s="18">
        <v>1.7949999999999999</v>
      </c>
      <c r="M357" s="12">
        <f t="shared" si="29"/>
        <v>1.3551665725578782E-2</v>
      </c>
    </row>
    <row r="358" spans="1:13" x14ac:dyDescent="0.25">
      <c r="A358" s="11">
        <v>43035</v>
      </c>
      <c r="B358" s="10">
        <v>1.794</v>
      </c>
      <c r="C358" s="12">
        <f t="shared" si="25"/>
        <v>4.8509643483343051E-2</v>
      </c>
      <c r="E358" s="20">
        <v>43035</v>
      </c>
      <c r="F358" s="18">
        <v>1.827</v>
      </c>
      <c r="G358" s="12">
        <f t="shared" si="26"/>
        <v>1.4436424208772917E-2</v>
      </c>
      <c r="H358" s="18">
        <v>1.8280000000000001</v>
      </c>
      <c r="I358" s="12">
        <f t="shared" si="27"/>
        <v>1.4428412874583808E-2</v>
      </c>
      <c r="J358" s="18">
        <v>1.827</v>
      </c>
      <c r="K358" s="12">
        <f t="shared" si="28"/>
        <v>1.4999999999999951E-2</v>
      </c>
      <c r="L358" s="18">
        <v>1.8220000000000001</v>
      </c>
      <c r="M358" s="12">
        <f t="shared" si="29"/>
        <v>1.504178272980509E-2</v>
      </c>
    </row>
    <row r="359" spans="1:13" x14ac:dyDescent="0.25">
      <c r="A359" s="11">
        <v>43042</v>
      </c>
      <c r="B359" s="10">
        <v>1.8360000000000001</v>
      </c>
      <c r="C359" s="12">
        <f t="shared" si="25"/>
        <v>2.3411371237458213E-2</v>
      </c>
      <c r="E359" s="20">
        <v>43042</v>
      </c>
      <c r="F359" s="18">
        <v>1.873</v>
      </c>
      <c r="G359" s="12">
        <f t="shared" si="26"/>
        <v>2.5177887246852788E-2</v>
      </c>
      <c r="H359" s="18">
        <v>1.873</v>
      </c>
      <c r="I359" s="12">
        <f t="shared" si="27"/>
        <v>2.4617067833697992E-2</v>
      </c>
      <c r="J359" s="18">
        <v>1.871</v>
      </c>
      <c r="K359" s="12">
        <f t="shared" si="28"/>
        <v>2.4083196496989621E-2</v>
      </c>
      <c r="L359" s="18">
        <v>1.865</v>
      </c>
      <c r="M359" s="12">
        <f t="shared" si="29"/>
        <v>2.3600439077936294E-2</v>
      </c>
    </row>
    <row r="360" spans="1:13" x14ac:dyDescent="0.25">
      <c r="A360" s="11">
        <v>43049</v>
      </c>
      <c r="B360" s="10">
        <v>1.9119999999999999</v>
      </c>
      <c r="C360" s="12">
        <f t="shared" si="25"/>
        <v>4.1394335511982482E-2</v>
      </c>
      <c r="E360" s="20">
        <v>43049</v>
      </c>
      <c r="F360" s="18">
        <v>1.9330000000000001</v>
      </c>
      <c r="G360" s="12">
        <f t="shared" si="26"/>
        <v>3.2034169781099867E-2</v>
      </c>
      <c r="H360" s="18">
        <v>1.9370000000000001</v>
      </c>
      <c r="I360" s="12">
        <f t="shared" si="27"/>
        <v>3.4169781099839862E-2</v>
      </c>
      <c r="J360" s="18">
        <v>1.9350000000000001</v>
      </c>
      <c r="K360" s="12">
        <f t="shared" si="28"/>
        <v>3.4206306787814035E-2</v>
      </c>
      <c r="L360" s="18">
        <v>1.9279999999999999</v>
      </c>
      <c r="M360" s="12">
        <f t="shared" si="29"/>
        <v>3.3780160857908817E-2</v>
      </c>
    </row>
    <row r="361" spans="1:13" x14ac:dyDescent="0.25">
      <c r="A361" s="11">
        <v>43056</v>
      </c>
      <c r="B361" s="10">
        <v>1.802</v>
      </c>
      <c r="C361" s="12">
        <f t="shared" si="25"/>
        <v>-5.753138075313801E-2</v>
      </c>
      <c r="E361" s="20">
        <v>43056</v>
      </c>
      <c r="F361" s="18">
        <v>1.919</v>
      </c>
      <c r="G361" s="12">
        <f t="shared" si="26"/>
        <v>-7.2426280393171295E-3</v>
      </c>
      <c r="H361" s="18">
        <v>1.9219999999999999</v>
      </c>
      <c r="I361" s="12">
        <f t="shared" si="27"/>
        <v>-7.7439339184306264E-3</v>
      </c>
      <c r="J361" s="18">
        <v>1.921</v>
      </c>
      <c r="K361" s="12">
        <f t="shared" si="28"/>
        <v>-7.2351421188630556E-3</v>
      </c>
      <c r="L361" s="18">
        <v>1.9119999999999999</v>
      </c>
      <c r="M361" s="12">
        <f t="shared" si="29"/>
        <v>-8.2987551867219986E-3</v>
      </c>
    </row>
    <row r="362" spans="1:13" x14ac:dyDescent="0.25">
      <c r="A362" s="11">
        <v>43063</v>
      </c>
      <c r="B362" s="10">
        <v>1.802</v>
      </c>
      <c r="C362" s="12">
        <f t="shared" si="25"/>
        <v>0</v>
      </c>
      <c r="E362" s="20">
        <v>43063</v>
      </c>
      <c r="F362" s="18">
        <v>1.9339999999999999</v>
      </c>
      <c r="G362" s="12">
        <f t="shared" si="26"/>
        <v>7.8165711307972389E-3</v>
      </c>
      <c r="H362" s="18">
        <v>1.9359999999999999</v>
      </c>
      <c r="I362" s="12">
        <f t="shared" si="27"/>
        <v>7.2840790842872071E-3</v>
      </c>
      <c r="J362" s="18">
        <v>1.9339999999999999</v>
      </c>
      <c r="K362" s="12">
        <f t="shared" si="28"/>
        <v>6.7673086933888078E-3</v>
      </c>
      <c r="L362" s="18">
        <v>1.9239999999999999</v>
      </c>
      <c r="M362" s="12">
        <f t="shared" si="29"/>
        <v>6.2761506276150687E-3</v>
      </c>
    </row>
    <row r="363" spans="1:13" x14ac:dyDescent="0.25">
      <c r="A363" s="11">
        <v>43070</v>
      </c>
      <c r="B363" s="10">
        <v>1.7849999999999999</v>
      </c>
      <c r="C363" s="12">
        <f t="shared" si="25"/>
        <v>-9.4339622641510124E-3</v>
      </c>
      <c r="E363" s="20">
        <v>43070</v>
      </c>
      <c r="F363" s="18">
        <v>1.931</v>
      </c>
      <c r="G363" s="12">
        <f t="shared" si="26"/>
        <v>-1.5511892450878447E-3</v>
      </c>
      <c r="H363" s="18">
        <v>1.9330000000000001</v>
      </c>
      <c r="I363" s="12">
        <f t="shared" si="27"/>
        <v>-1.5495867768594482E-3</v>
      </c>
      <c r="J363" s="18">
        <v>1.9319999999999999</v>
      </c>
      <c r="K363" s="12">
        <f t="shared" si="28"/>
        <v>-1.0341261633919348E-3</v>
      </c>
      <c r="L363" s="18">
        <v>1.923</v>
      </c>
      <c r="M363" s="12">
        <f t="shared" si="29"/>
        <v>-5.1975051975046253E-4</v>
      </c>
    </row>
    <row r="364" spans="1:13" x14ac:dyDescent="0.25">
      <c r="A364" s="11">
        <v>43077</v>
      </c>
      <c r="B364" s="10">
        <v>1.736</v>
      </c>
      <c r="C364" s="12">
        <f t="shared" si="25"/>
        <v>-2.7450980392156828E-2</v>
      </c>
      <c r="E364" s="20">
        <v>43077</v>
      </c>
      <c r="F364" s="18">
        <v>1.899</v>
      </c>
      <c r="G364" s="12">
        <f t="shared" si="26"/>
        <v>-1.6571724495080285E-2</v>
      </c>
      <c r="H364" s="18">
        <v>1.9</v>
      </c>
      <c r="I364" s="12">
        <f t="shared" si="27"/>
        <v>-1.7071908949819005E-2</v>
      </c>
      <c r="J364" s="18">
        <v>1.893</v>
      </c>
      <c r="K364" s="12">
        <f t="shared" si="28"/>
        <v>-2.018633540372667E-2</v>
      </c>
      <c r="L364" s="18">
        <v>1.8779999999999999</v>
      </c>
      <c r="M364" s="12">
        <f t="shared" si="29"/>
        <v>-2.3400936037441575E-2</v>
      </c>
    </row>
    <row r="365" spans="1:13" x14ac:dyDescent="0.25">
      <c r="A365" s="11">
        <v>43084</v>
      </c>
      <c r="B365" s="10">
        <v>1.7170000000000001</v>
      </c>
      <c r="C365" s="12">
        <f t="shared" si="25"/>
        <v>-1.0944700460829439E-2</v>
      </c>
      <c r="E365" s="20">
        <v>43084</v>
      </c>
      <c r="F365" s="18">
        <v>1.92</v>
      </c>
      <c r="G365" s="12">
        <f t="shared" si="26"/>
        <v>1.1058451816745607E-2</v>
      </c>
      <c r="H365" s="18">
        <v>1.921</v>
      </c>
      <c r="I365" s="12">
        <f t="shared" si="27"/>
        <v>1.1052631578947437E-2</v>
      </c>
      <c r="J365" s="18">
        <v>1.9139999999999999</v>
      </c>
      <c r="K365" s="12">
        <f t="shared" si="28"/>
        <v>1.1093502377179033E-2</v>
      </c>
      <c r="L365" s="18">
        <v>1.8979999999999999</v>
      </c>
      <c r="M365" s="12">
        <f t="shared" si="29"/>
        <v>1.0649627263045804E-2</v>
      </c>
    </row>
    <row r="366" spans="1:13" x14ac:dyDescent="0.25">
      <c r="A366" s="11">
        <v>43091</v>
      </c>
      <c r="B366" s="10">
        <v>1.7529999999999999</v>
      </c>
      <c r="C366" s="12">
        <f t="shared" si="25"/>
        <v>2.0966802562609091E-2</v>
      </c>
      <c r="E366" s="20">
        <v>43091</v>
      </c>
      <c r="F366" s="18">
        <v>1.946</v>
      </c>
      <c r="G366" s="12">
        <f t="shared" si="26"/>
        <v>1.3541666666666679E-2</v>
      </c>
      <c r="H366" s="18">
        <v>1.948</v>
      </c>
      <c r="I366" s="12">
        <f t="shared" si="27"/>
        <v>1.4055179593961433E-2</v>
      </c>
      <c r="J366" s="18">
        <v>1.94</v>
      </c>
      <c r="K366" s="12">
        <f t="shared" si="28"/>
        <v>1.3584117032392908E-2</v>
      </c>
      <c r="L366" s="18">
        <v>1.9219999999999999</v>
      </c>
      <c r="M366" s="12">
        <f t="shared" si="29"/>
        <v>1.2644889357218136E-2</v>
      </c>
    </row>
    <row r="367" spans="1:13" x14ac:dyDescent="0.25">
      <c r="A367" s="11">
        <v>43098</v>
      </c>
      <c r="B367" s="10">
        <v>1.819</v>
      </c>
      <c r="C367" s="12">
        <f t="shared" si="25"/>
        <v>3.764974329720483E-2</v>
      </c>
      <c r="E367" s="20">
        <v>43098</v>
      </c>
      <c r="F367" s="18">
        <v>2.052</v>
      </c>
      <c r="G367" s="12">
        <f t="shared" si="26"/>
        <v>5.4470709146968187E-2</v>
      </c>
      <c r="H367" s="18">
        <v>2.0489999999999999</v>
      </c>
      <c r="I367" s="12">
        <f t="shared" si="27"/>
        <v>5.184804928131416E-2</v>
      </c>
      <c r="J367" s="18">
        <v>2.0299999999999998</v>
      </c>
      <c r="K367" s="12">
        <f t="shared" si="28"/>
        <v>4.6391752577319513E-2</v>
      </c>
      <c r="L367" s="18">
        <v>2.0030000000000001</v>
      </c>
      <c r="M367" s="12">
        <f t="shared" si="29"/>
        <v>4.214360041623319E-2</v>
      </c>
    </row>
    <row r="368" spans="1:13" x14ac:dyDescent="0.25">
      <c r="A368" s="11">
        <v>43105</v>
      </c>
      <c r="B368" s="10">
        <v>1.8180000000000001</v>
      </c>
      <c r="C368" s="12">
        <f t="shared" si="25"/>
        <v>-5.4975261132484321E-4</v>
      </c>
      <c r="E368" s="20">
        <v>43105</v>
      </c>
      <c r="F368" s="18">
        <v>2.0710000000000002</v>
      </c>
      <c r="G368" s="12">
        <f t="shared" si="26"/>
        <v>9.2592592592593212E-3</v>
      </c>
      <c r="H368" s="18">
        <v>2.0510000000000002</v>
      </c>
      <c r="I368" s="12">
        <f t="shared" si="27"/>
        <v>9.7608589555891849E-4</v>
      </c>
      <c r="J368" s="18">
        <v>2.024</v>
      </c>
      <c r="K368" s="12">
        <f t="shared" si="28"/>
        <v>-2.9556650246304354E-3</v>
      </c>
      <c r="L368" s="18">
        <v>2.004</v>
      </c>
      <c r="M368" s="12">
        <f t="shared" si="29"/>
        <v>4.9925112331497242E-4</v>
      </c>
    </row>
    <row r="369" spans="1:13" x14ac:dyDescent="0.25">
      <c r="A369" s="11">
        <v>43112</v>
      </c>
      <c r="B369" s="10">
        <v>1.86</v>
      </c>
      <c r="C369" s="12">
        <f t="shared" si="25"/>
        <v>2.3102310231023122E-2</v>
      </c>
      <c r="E369" s="20">
        <v>43112</v>
      </c>
      <c r="F369" s="18">
        <v>2.0710000000000002</v>
      </c>
      <c r="G369" s="12">
        <f t="shared" si="26"/>
        <v>0</v>
      </c>
      <c r="H369" s="18">
        <v>2.0609999999999999</v>
      </c>
      <c r="I369" s="12">
        <f t="shared" si="27"/>
        <v>4.8756704046805394E-3</v>
      </c>
      <c r="J369" s="18">
        <v>2.0419999999999998</v>
      </c>
      <c r="K369" s="12">
        <f t="shared" si="28"/>
        <v>8.8932806324109655E-3</v>
      </c>
      <c r="L369" s="18">
        <v>2.0259999999999998</v>
      </c>
      <c r="M369" s="12">
        <f t="shared" si="29"/>
        <v>1.0978043912175548E-2</v>
      </c>
    </row>
    <row r="370" spans="1:13" x14ac:dyDescent="0.25">
      <c r="A370" s="11">
        <v>43119</v>
      </c>
      <c r="B370" s="10">
        <v>1.901</v>
      </c>
      <c r="C370" s="12">
        <f t="shared" si="25"/>
        <v>2.2043010752688132E-2</v>
      </c>
      <c r="E370" s="20">
        <v>43119</v>
      </c>
      <c r="F370" s="18">
        <v>2.0680000000000001</v>
      </c>
      <c r="G370" s="12">
        <f t="shared" si="26"/>
        <v>-1.4485755673588187E-3</v>
      </c>
      <c r="H370" s="18">
        <v>2.0619999999999998</v>
      </c>
      <c r="I370" s="12">
        <f t="shared" si="27"/>
        <v>4.8520135856375057E-4</v>
      </c>
      <c r="J370" s="18">
        <v>2.0470000000000002</v>
      </c>
      <c r="K370" s="12">
        <f t="shared" si="28"/>
        <v>2.4485798237024181E-3</v>
      </c>
      <c r="L370" s="18">
        <v>2.0339999999999998</v>
      </c>
      <c r="M370" s="12">
        <f t="shared" si="29"/>
        <v>3.9486673247778915E-3</v>
      </c>
    </row>
    <row r="371" spans="1:13" x14ac:dyDescent="0.25">
      <c r="A371" s="11">
        <v>43126</v>
      </c>
      <c r="B371" s="10">
        <v>1.9730000000000001</v>
      </c>
      <c r="C371" s="12">
        <f t="shared" si="25"/>
        <v>3.7874802735402453E-2</v>
      </c>
      <c r="E371" s="20">
        <v>43126</v>
      </c>
      <c r="F371" s="18">
        <v>2.1</v>
      </c>
      <c r="G371" s="12">
        <f t="shared" si="26"/>
        <v>1.547388781431336E-2</v>
      </c>
      <c r="H371" s="18">
        <v>2.0960000000000001</v>
      </c>
      <c r="I371" s="12">
        <f t="shared" si="27"/>
        <v>1.6488845780795468E-2</v>
      </c>
      <c r="J371" s="18">
        <v>2.077</v>
      </c>
      <c r="K371" s="12">
        <f t="shared" si="28"/>
        <v>1.4655593551538742E-2</v>
      </c>
      <c r="L371" s="18">
        <v>2.0609999999999999</v>
      </c>
      <c r="M371" s="12">
        <f t="shared" si="29"/>
        <v>1.3274336283185908E-2</v>
      </c>
    </row>
    <row r="372" spans="1:13" x14ac:dyDescent="0.25">
      <c r="A372" s="11">
        <v>43133</v>
      </c>
      <c r="B372" s="10">
        <v>1.958</v>
      </c>
      <c r="C372" s="12">
        <f t="shared" si="25"/>
        <v>-7.602635580334579E-3</v>
      </c>
      <c r="E372" s="20">
        <v>43133</v>
      </c>
      <c r="F372" s="18">
        <v>2.0779999999999998</v>
      </c>
      <c r="G372" s="12">
        <f t="shared" si="26"/>
        <v>-1.047619047619059E-2</v>
      </c>
      <c r="H372" s="18">
        <v>2.0710000000000002</v>
      </c>
      <c r="I372" s="12">
        <f t="shared" si="27"/>
        <v>-1.1927480916030492E-2</v>
      </c>
      <c r="J372" s="18">
        <v>2.056</v>
      </c>
      <c r="K372" s="12">
        <f t="shared" si="28"/>
        <v>-1.0110736639383682E-2</v>
      </c>
      <c r="L372" s="18">
        <v>2.0419999999999998</v>
      </c>
      <c r="M372" s="12">
        <f t="shared" si="29"/>
        <v>-9.2188258127123383E-3</v>
      </c>
    </row>
    <row r="373" spans="1:13" x14ac:dyDescent="0.25">
      <c r="A373" s="11">
        <v>43140</v>
      </c>
      <c r="B373" s="10">
        <v>1.8260000000000001</v>
      </c>
      <c r="C373" s="12">
        <f t="shared" si="25"/>
        <v>-6.7415730337078594E-2</v>
      </c>
      <c r="E373" s="20">
        <v>43140</v>
      </c>
      <c r="F373" s="18">
        <v>1.9419999999999999</v>
      </c>
      <c r="G373" s="12">
        <f t="shared" si="26"/>
        <v>-6.5447545717035566E-2</v>
      </c>
      <c r="H373" s="18">
        <v>1.9370000000000001</v>
      </c>
      <c r="I373" s="12">
        <f t="shared" si="27"/>
        <v>-6.4703042008691508E-2</v>
      </c>
      <c r="J373" s="18">
        <v>1.929</v>
      </c>
      <c r="K373" s="12">
        <f t="shared" si="28"/>
        <v>-6.1770428015564205E-2</v>
      </c>
      <c r="L373" s="18">
        <v>1.921</v>
      </c>
      <c r="M373" s="12">
        <f t="shared" si="29"/>
        <v>-5.925563173359441E-2</v>
      </c>
    </row>
    <row r="374" spans="1:13" x14ac:dyDescent="0.25">
      <c r="A374" s="11">
        <v>43147</v>
      </c>
      <c r="B374" s="10">
        <v>1.7589999999999999</v>
      </c>
      <c r="C374" s="12">
        <f t="shared" si="25"/>
        <v>-3.6692223439211483E-2</v>
      </c>
      <c r="E374" s="20">
        <v>43147</v>
      </c>
      <c r="F374" s="18">
        <v>1.8720000000000001</v>
      </c>
      <c r="G374" s="12">
        <f t="shared" si="26"/>
        <v>-3.6045314109165727E-2</v>
      </c>
      <c r="H374" s="18">
        <v>1.87</v>
      </c>
      <c r="I374" s="12">
        <f t="shared" si="27"/>
        <v>-3.4589571502323155E-2</v>
      </c>
      <c r="J374" s="18">
        <v>1.867</v>
      </c>
      <c r="K374" s="12">
        <f t="shared" si="28"/>
        <v>-3.2141005702436526E-2</v>
      </c>
      <c r="L374" s="18">
        <v>1.8620000000000001</v>
      </c>
      <c r="M374" s="12">
        <f t="shared" si="29"/>
        <v>-3.0713170223841717E-2</v>
      </c>
    </row>
    <row r="375" spans="1:13" x14ac:dyDescent="0.25">
      <c r="A375" s="11">
        <v>43154</v>
      </c>
      <c r="B375" s="10">
        <v>1.8049999999999999</v>
      </c>
      <c r="C375" s="12">
        <f t="shared" si="25"/>
        <v>2.615122228538945E-2</v>
      </c>
      <c r="E375" s="20">
        <v>43154</v>
      </c>
      <c r="F375" s="18">
        <v>1.9390000000000001</v>
      </c>
      <c r="G375" s="12">
        <f t="shared" si="26"/>
        <v>3.5790598290598261E-2</v>
      </c>
      <c r="H375" s="18">
        <v>1.9390000000000001</v>
      </c>
      <c r="I375" s="12">
        <f t="shared" si="27"/>
        <v>3.6898395721925104E-2</v>
      </c>
      <c r="J375" s="18">
        <v>1.9350000000000001</v>
      </c>
      <c r="K375" s="12">
        <f t="shared" si="28"/>
        <v>3.6422067487948614E-2</v>
      </c>
      <c r="L375" s="18">
        <v>1.93</v>
      </c>
      <c r="M375" s="12">
        <f t="shared" si="29"/>
        <v>3.6519871106337184E-2</v>
      </c>
    </row>
    <row r="376" spans="1:13" x14ac:dyDescent="0.25">
      <c r="A376" s="11">
        <v>43161</v>
      </c>
      <c r="B376" s="10">
        <v>1.84</v>
      </c>
      <c r="C376" s="12">
        <f t="shared" si="25"/>
        <v>1.9390581717451602E-2</v>
      </c>
      <c r="E376" s="20">
        <v>43161</v>
      </c>
      <c r="F376" s="18">
        <v>1.9259999999999999</v>
      </c>
      <c r="G376" s="12">
        <f t="shared" si="26"/>
        <v>-6.7044868488912437E-3</v>
      </c>
      <c r="H376" s="18">
        <v>1.925</v>
      </c>
      <c r="I376" s="12">
        <f t="shared" si="27"/>
        <v>-7.2202166064982013E-3</v>
      </c>
      <c r="J376" s="18">
        <v>1.9239999999999999</v>
      </c>
      <c r="K376" s="12">
        <f t="shared" si="28"/>
        <v>-5.6847545219638864E-3</v>
      </c>
      <c r="L376" s="18">
        <v>1.921</v>
      </c>
      <c r="M376" s="12">
        <f t="shared" si="29"/>
        <v>-4.6632124352331073E-3</v>
      </c>
    </row>
    <row r="377" spans="1:13" x14ac:dyDescent="0.25">
      <c r="A377" s="11">
        <v>43168</v>
      </c>
      <c r="B377" s="10">
        <v>1.7769999999999999</v>
      </c>
      <c r="C377" s="12">
        <f t="shared" si="25"/>
        <v>-3.4239130434782696E-2</v>
      </c>
      <c r="E377" s="20">
        <v>43168</v>
      </c>
      <c r="F377" s="18">
        <v>1.8839999999999999</v>
      </c>
      <c r="G377" s="12">
        <f t="shared" si="26"/>
        <v>-2.1806853582554537E-2</v>
      </c>
      <c r="H377" s="18">
        <v>1.889</v>
      </c>
      <c r="I377" s="12">
        <f t="shared" si="27"/>
        <v>-1.8701298701298719E-2</v>
      </c>
      <c r="J377" s="18">
        <v>1.891</v>
      </c>
      <c r="K377" s="12">
        <f t="shared" si="28"/>
        <v>-1.7151767151767111E-2</v>
      </c>
      <c r="L377" s="18">
        <v>1.893</v>
      </c>
      <c r="M377" s="12">
        <f t="shared" si="29"/>
        <v>-1.4575741801145249E-2</v>
      </c>
    </row>
    <row r="378" spans="1:13" x14ac:dyDescent="0.25">
      <c r="A378" s="11">
        <v>43175</v>
      </c>
      <c r="B378" s="10">
        <v>1.7789999999999999</v>
      </c>
      <c r="C378" s="12">
        <f t="shared" si="25"/>
        <v>1.1254924029262814E-3</v>
      </c>
      <c r="E378" s="20">
        <v>43175</v>
      </c>
      <c r="F378" s="18">
        <v>1.8859999999999999</v>
      </c>
      <c r="G378" s="12">
        <f t="shared" si="26"/>
        <v>1.0615711252653938E-3</v>
      </c>
      <c r="H378" s="18">
        <v>1.89</v>
      </c>
      <c r="I378" s="12">
        <f t="shared" si="27"/>
        <v>5.2938062466907881E-4</v>
      </c>
      <c r="J378" s="18">
        <v>1.8939999999999999</v>
      </c>
      <c r="K378" s="12">
        <f t="shared" si="28"/>
        <v>1.586462189317764E-3</v>
      </c>
      <c r="L378" s="18">
        <v>1.897</v>
      </c>
      <c r="M378" s="12">
        <f t="shared" si="29"/>
        <v>2.1130480718436363E-3</v>
      </c>
    </row>
    <row r="379" spans="1:13" x14ac:dyDescent="0.25">
      <c r="A379" s="11">
        <v>43182</v>
      </c>
      <c r="B379" s="10">
        <v>1.865</v>
      </c>
      <c r="C379" s="12">
        <f t="shared" si="25"/>
        <v>4.8341765036537428E-2</v>
      </c>
      <c r="E379" s="20">
        <v>43182</v>
      </c>
      <c r="F379" s="18">
        <v>1.974</v>
      </c>
      <c r="G379" s="12">
        <f t="shared" si="26"/>
        <v>4.665959703075296E-2</v>
      </c>
      <c r="H379" s="18">
        <v>1.978</v>
      </c>
      <c r="I379" s="12">
        <f t="shared" si="27"/>
        <v>4.6560846560846601E-2</v>
      </c>
      <c r="J379" s="18">
        <v>1.98</v>
      </c>
      <c r="K379" s="12">
        <f t="shared" si="28"/>
        <v>4.5406546990496344E-2</v>
      </c>
      <c r="L379" s="18">
        <v>1.982</v>
      </c>
      <c r="M379" s="12">
        <f t="shared" si="29"/>
        <v>4.4807590933052172E-2</v>
      </c>
    </row>
    <row r="380" spans="1:13" x14ac:dyDescent="0.25">
      <c r="A380" s="11">
        <v>43189</v>
      </c>
      <c r="B380" s="10">
        <v>1.9119999999999999</v>
      </c>
      <c r="C380" s="12">
        <f t="shared" si="25"/>
        <v>2.5201072386058943E-2</v>
      </c>
      <c r="E380" s="20">
        <v>43189</v>
      </c>
      <c r="F380" s="18">
        <v>2.02</v>
      </c>
      <c r="G380" s="12">
        <f t="shared" si="26"/>
        <v>2.330293819655524E-2</v>
      </c>
      <c r="H380" s="18">
        <v>2.0190000000000001</v>
      </c>
      <c r="I380" s="12">
        <f t="shared" si="27"/>
        <v>2.0728008088978841E-2</v>
      </c>
      <c r="J380" s="18">
        <v>2.0190000000000001</v>
      </c>
      <c r="K380" s="12">
        <f t="shared" si="28"/>
        <v>1.9696969696969772E-2</v>
      </c>
      <c r="L380" s="18">
        <v>2.0179999999999998</v>
      </c>
      <c r="M380" s="12">
        <f t="shared" si="29"/>
        <v>1.8163471241170438E-2</v>
      </c>
    </row>
    <row r="381" spans="1:13" x14ac:dyDescent="0.25">
      <c r="A381" s="11">
        <v>43196</v>
      </c>
      <c r="B381" s="10">
        <v>1.883</v>
      </c>
      <c r="C381" s="12">
        <f t="shared" si="25"/>
        <v>-1.5167364016736358E-2</v>
      </c>
      <c r="E381" s="20">
        <v>43196</v>
      </c>
      <c r="F381" s="18">
        <v>1.9770000000000001</v>
      </c>
      <c r="G381" s="12">
        <f t="shared" si="26"/>
        <v>-2.1287128712871251E-2</v>
      </c>
      <c r="H381" s="18">
        <v>1.974</v>
      </c>
      <c r="I381" s="12">
        <f t="shared" si="27"/>
        <v>-2.2288261515601857E-2</v>
      </c>
      <c r="J381" s="18">
        <v>1.972</v>
      </c>
      <c r="K381" s="12">
        <f t="shared" si="28"/>
        <v>-2.3278850916295269E-2</v>
      </c>
      <c r="L381" s="18">
        <v>1.97</v>
      </c>
      <c r="M381" s="12">
        <f t="shared" si="29"/>
        <v>-2.3785926660059378E-2</v>
      </c>
    </row>
    <row r="382" spans="1:13" x14ac:dyDescent="0.25">
      <c r="A382" s="11">
        <v>43203</v>
      </c>
      <c r="B382" s="10">
        <v>1.9670000000000001</v>
      </c>
      <c r="C382" s="12">
        <f t="shared" si="25"/>
        <v>4.4609665427509333E-2</v>
      </c>
      <c r="E382" s="20">
        <v>43203</v>
      </c>
      <c r="F382" s="18">
        <v>2.0680000000000001</v>
      </c>
      <c r="G382" s="12">
        <f t="shared" si="26"/>
        <v>4.6029337379868474E-2</v>
      </c>
      <c r="H382" s="18">
        <v>2.0590000000000002</v>
      </c>
      <c r="I382" s="12">
        <f t="shared" si="27"/>
        <v>4.3059777102330388E-2</v>
      </c>
      <c r="J382" s="18">
        <v>2.052</v>
      </c>
      <c r="K382" s="12">
        <f t="shared" si="28"/>
        <v>4.0567951318458452E-2</v>
      </c>
      <c r="L382" s="18">
        <v>2.0489999999999999</v>
      </c>
      <c r="M382" s="12">
        <f t="shared" si="29"/>
        <v>4.0101522842639577E-2</v>
      </c>
    </row>
    <row r="383" spans="1:13" x14ac:dyDescent="0.25">
      <c r="A383" s="11">
        <v>43210</v>
      </c>
      <c r="B383" s="10">
        <v>2.0390000000000001</v>
      </c>
      <c r="C383" s="12">
        <f t="shared" si="25"/>
        <v>3.6603965429588235E-2</v>
      </c>
      <c r="E383" s="20">
        <v>43210</v>
      </c>
      <c r="F383" s="18">
        <v>2.09</v>
      </c>
      <c r="G383" s="12">
        <f t="shared" si="26"/>
        <v>1.0638297872340328E-2</v>
      </c>
      <c r="H383" s="18">
        <v>2.0840000000000001</v>
      </c>
      <c r="I383" s="12">
        <f t="shared" si="27"/>
        <v>1.2141816415735749E-2</v>
      </c>
      <c r="J383" s="18">
        <v>2.081</v>
      </c>
      <c r="K383" s="12">
        <f t="shared" si="28"/>
        <v>1.4132553606237774E-2</v>
      </c>
      <c r="L383" s="18">
        <v>2.0790000000000002</v>
      </c>
      <c r="M383" s="12">
        <f t="shared" si="29"/>
        <v>1.4641288433382259E-2</v>
      </c>
    </row>
    <row r="384" spans="1:13" x14ac:dyDescent="0.25">
      <c r="A384" s="11">
        <v>43217</v>
      </c>
      <c r="B384" s="10">
        <v>2.073</v>
      </c>
      <c r="C384" s="12">
        <f t="shared" si="25"/>
        <v>1.6674840608141152E-2</v>
      </c>
      <c r="E384" s="20">
        <v>43217</v>
      </c>
      <c r="F384" s="18">
        <v>2.1429999999999998</v>
      </c>
      <c r="G384" s="12">
        <f t="shared" si="26"/>
        <v>2.5358851674641119E-2</v>
      </c>
      <c r="H384" s="18">
        <v>2.13</v>
      </c>
      <c r="I384" s="12">
        <f t="shared" si="27"/>
        <v>2.2072936660268626E-2</v>
      </c>
      <c r="J384" s="18">
        <v>2.1240000000000001</v>
      </c>
      <c r="K384" s="12">
        <f t="shared" si="28"/>
        <v>2.06631427198463E-2</v>
      </c>
      <c r="L384" s="18">
        <v>2.12</v>
      </c>
      <c r="M384" s="12">
        <f t="shared" si="29"/>
        <v>1.9721019721019684E-2</v>
      </c>
    </row>
    <row r="385" spans="1:13" x14ac:dyDescent="0.25">
      <c r="A385" s="11">
        <v>43224</v>
      </c>
      <c r="B385" s="10">
        <v>2.0569999999999999</v>
      </c>
      <c r="C385" s="12">
        <f t="shared" si="25"/>
        <v>-7.7182826821032393E-3</v>
      </c>
      <c r="E385" s="20">
        <v>43224</v>
      </c>
      <c r="F385" s="18">
        <v>2.1309999999999998</v>
      </c>
      <c r="G385" s="12">
        <f t="shared" si="26"/>
        <v>-5.5996266915539017E-3</v>
      </c>
      <c r="H385" s="18">
        <v>2.1230000000000002</v>
      </c>
      <c r="I385" s="12">
        <f t="shared" si="27"/>
        <v>-3.2863849765256683E-3</v>
      </c>
      <c r="J385" s="18">
        <v>2.12</v>
      </c>
      <c r="K385" s="12">
        <f t="shared" si="28"/>
        <v>-1.8832391713747663E-3</v>
      </c>
      <c r="L385" s="18">
        <v>2.12</v>
      </c>
      <c r="M385" s="12">
        <f t="shared" si="29"/>
        <v>0</v>
      </c>
    </row>
    <row r="386" spans="1:13" x14ac:dyDescent="0.25">
      <c r="A386" s="11">
        <v>43231</v>
      </c>
      <c r="B386" s="10">
        <v>2.1139999999999999</v>
      </c>
      <c r="C386" s="12">
        <f t="shared" si="25"/>
        <v>2.7710257656781694E-2</v>
      </c>
      <c r="E386" s="20">
        <v>43231</v>
      </c>
      <c r="F386" s="18">
        <v>2.2010000000000001</v>
      </c>
      <c r="G386" s="12">
        <f t="shared" si="26"/>
        <v>3.2848427968090232E-2</v>
      </c>
      <c r="H386" s="18">
        <v>2.1949999999999998</v>
      </c>
      <c r="I386" s="12">
        <f t="shared" si="27"/>
        <v>3.3914272256240989E-2</v>
      </c>
      <c r="J386" s="18">
        <v>2.1930000000000001</v>
      </c>
      <c r="K386" s="12">
        <f t="shared" si="28"/>
        <v>3.4433962264150922E-2</v>
      </c>
      <c r="L386" s="18">
        <v>2.194</v>
      </c>
      <c r="M386" s="12">
        <f t="shared" si="29"/>
        <v>3.4905660377358413E-2</v>
      </c>
    </row>
    <row r="387" spans="1:13" x14ac:dyDescent="0.25">
      <c r="A387" s="11">
        <v>43238</v>
      </c>
      <c r="B387" s="10">
        <v>2.181</v>
      </c>
      <c r="C387" s="12">
        <f t="shared" si="25"/>
        <v>3.1693472090823169E-2</v>
      </c>
      <c r="E387" s="20">
        <v>43238</v>
      </c>
      <c r="F387" s="18">
        <v>2.2629999999999999</v>
      </c>
      <c r="G387" s="12">
        <f t="shared" si="26"/>
        <v>2.8169014084506967E-2</v>
      </c>
      <c r="H387" s="18">
        <v>2.2559999999999998</v>
      </c>
      <c r="I387" s="12">
        <f t="shared" si="27"/>
        <v>2.77904328018223E-2</v>
      </c>
      <c r="J387" s="18">
        <v>2.254</v>
      </c>
      <c r="K387" s="12">
        <f t="shared" si="28"/>
        <v>2.7815777473780182E-2</v>
      </c>
      <c r="L387" s="18">
        <v>2.254</v>
      </c>
      <c r="M387" s="12">
        <f t="shared" si="29"/>
        <v>2.7347310847766662E-2</v>
      </c>
    </row>
    <row r="388" spans="1:13" x14ac:dyDescent="0.25">
      <c r="A388" s="11">
        <v>43245</v>
      </c>
      <c r="B388" s="10">
        <v>2.1789999999999998</v>
      </c>
      <c r="C388" s="12">
        <f t="shared" si="25"/>
        <v>-9.1701054562137729E-4</v>
      </c>
      <c r="E388" s="20">
        <v>43245</v>
      </c>
      <c r="F388" s="18">
        <v>2.2639999999999998</v>
      </c>
      <c r="G388" s="12">
        <f t="shared" si="26"/>
        <v>4.4189129474144493E-4</v>
      </c>
      <c r="H388" s="18">
        <v>2.2599999999999998</v>
      </c>
      <c r="I388" s="12">
        <f t="shared" si="27"/>
        <v>1.7730496453900726E-3</v>
      </c>
      <c r="J388" s="18">
        <v>2.2599999999999998</v>
      </c>
      <c r="K388" s="12">
        <f t="shared" si="28"/>
        <v>2.6619343389528765E-3</v>
      </c>
      <c r="L388" s="18">
        <v>2.262</v>
      </c>
      <c r="M388" s="12">
        <f t="shared" si="29"/>
        <v>3.5492457852706332E-3</v>
      </c>
    </row>
    <row r="389" spans="1:13" x14ac:dyDescent="0.25">
      <c r="A389" s="11">
        <v>43252</v>
      </c>
      <c r="B389" s="10">
        <v>2.097</v>
      </c>
      <c r="C389" s="12">
        <f t="shared" ref="C389:C452" si="30">(B389-B388)/B388</f>
        <v>-3.7631941257457481E-2</v>
      </c>
      <c r="E389" s="20">
        <v>43252</v>
      </c>
      <c r="F389" s="18">
        <v>2.1989999999999998</v>
      </c>
      <c r="G389" s="12">
        <f t="shared" ref="G389:G452" si="31">(F389-F388)/F388</f>
        <v>-2.87102473498233E-2</v>
      </c>
      <c r="H389" s="18">
        <v>2.1989999999999998</v>
      </c>
      <c r="I389" s="12">
        <f t="shared" ref="I389:I452" si="32">(H389-H388)/H388</f>
        <v>-2.6991150442477855E-2</v>
      </c>
      <c r="J389" s="18">
        <v>2.2010000000000001</v>
      </c>
      <c r="K389" s="12">
        <f t="shared" ref="K389:K452" si="33">(J389-J388)/J388</f>
        <v>-2.6106194690265365E-2</v>
      </c>
      <c r="L389" s="18">
        <v>2.2040000000000002</v>
      </c>
      <c r="M389" s="12">
        <f t="shared" ref="M389:M452" si="34">(L389-L388)/L388</f>
        <v>-2.5641025641025564E-2</v>
      </c>
    </row>
    <row r="390" spans="1:13" x14ac:dyDescent="0.25">
      <c r="A390" s="11">
        <v>43259</v>
      </c>
      <c r="B390" s="10">
        <v>2.048</v>
      </c>
      <c r="C390" s="12">
        <f t="shared" si="30"/>
        <v>-2.3366714353838785E-2</v>
      </c>
      <c r="E390" s="20">
        <v>43259</v>
      </c>
      <c r="F390" s="18">
        <v>2.153</v>
      </c>
      <c r="G390" s="12">
        <f t="shared" si="31"/>
        <v>-2.0918599363346894E-2</v>
      </c>
      <c r="H390" s="18">
        <v>2.157</v>
      </c>
      <c r="I390" s="12">
        <f t="shared" si="32"/>
        <v>-1.9099590723055851E-2</v>
      </c>
      <c r="J390" s="18">
        <v>2.1619999999999999</v>
      </c>
      <c r="K390" s="12">
        <f t="shared" si="33"/>
        <v>-1.7719218537028687E-2</v>
      </c>
      <c r="L390" s="18">
        <v>2.1659999999999999</v>
      </c>
      <c r="M390" s="12">
        <f t="shared" si="34"/>
        <v>-1.7241379310344942E-2</v>
      </c>
    </row>
    <row r="391" spans="1:13" x14ac:dyDescent="0.25">
      <c r="A391" s="11">
        <v>43266</v>
      </c>
      <c r="B391" s="10">
        <v>2.024</v>
      </c>
      <c r="C391" s="12">
        <f t="shared" si="30"/>
        <v>-1.171875000000001E-2</v>
      </c>
      <c r="E391" s="20">
        <v>43266</v>
      </c>
      <c r="F391" s="18">
        <v>2.1509999999999998</v>
      </c>
      <c r="G391" s="12">
        <f t="shared" si="31"/>
        <v>-9.2893636785890566E-4</v>
      </c>
      <c r="H391" s="18">
        <v>2.1539999999999999</v>
      </c>
      <c r="I391" s="12">
        <f t="shared" si="32"/>
        <v>-1.390820584144698E-3</v>
      </c>
      <c r="J391" s="18">
        <v>2.1579999999999999</v>
      </c>
      <c r="K391" s="12">
        <f t="shared" si="33"/>
        <v>-1.8501387604070321E-3</v>
      </c>
      <c r="L391" s="18">
        <v>2.1619999999999999</v>
      </c>
      <c r="M391" s="12">
        <f t="shared" si="34"/>
        <v>-1.8467220683287182E-3</v>
      </c>
    </row>
    <row r="392" spans="1:13" x14ac:dyDescent="0.25">
      <c r="A392" s="11">
        <v>43273</v>
      </c>
      <c r="B392" s="10">
        <v>1.984</v>
      </c>
      <c r="C392" s="12">
        <f t="shared" si="30"/>
        <v>-1.9762845849802389E-2</v>
      </c>
      <c r="E392" s="20">
        <v>43273</v>
      </c>
      <c r="F392" s="18">
        <v>2.1110000000000002</v>
      </c>
      <c r="G392" s="12">
        <f t="shared" si="31"/>
        <v>-1.8596001859599996E-2</v>
      </c>
      <c r="H392" s="18">
        <v>2.1139999999999999</v>
      </c>
      <c r="I392" s="12">
        <f t="shared" si="32"/>
        <v>-1.8570102135561761E-2</v>
      </c>
      <c r="J392" s="18">
        <v>2.1190000000000002</v>
      </c>
      <c r="K392" s="12">
        <f t="shared" si="33"/>
        <v>-1.807228915662637E-2</v>
      </c>
      <c r="L392" s="18">
        <v>2.1230000000000002</v>
      </c>
      <c r="M392" s="12">
        <f t="shared" si="34"/>
        <v>-1.8038852913968409E-2</v>
      </c>
    </row>
    <row r="393" spans="1:13" x14ac:dyDescent="0.25">
      <c r="A393" s="11">
        <v>43280</v>
      </c>
      <c r="B393" s="10">
        <v>2.0529999999999999</v>
      </c>
      <c r="C393" s="12">
        <f t="shared" si="30"/>
        <v>3.4778225806451589E-2</v>
      </c>
      <c r="E393" s="20">
        <v>43280</v>
      </c>
      <c r="F393" s="18">
        <v>2.1589999999999998</v>
      </c>
      <c r="G393" s="12">
        <f t="shared" si="31"/>
        <v>2.2738038844149499E-2</v>
      </c>
      <c r="H393" s="18">
        <v>2.161</v>
      </c>
      <c r="I393" s="12">
        <f t="shared" si="32"/>
        <v>2.2232734153264027E-2</v>
      </c>
      <c r="J393" s="18">
        <v>2.1669999999999998</v>
      </c>
      <c r="K393" s="12">
        <f t="shared" si="33"/>
        <v>2.2652194431335343E-2</v>
      </c>
      <c r="L393" s="18">
        <v>2.173</v>
      </c>
      <c r="M393" s="12">
        <f t="shared" si="34"/>
        <v>2.3551577955722946E-2</v>
      </c>
    </row>
    <row r="394" spans="1:13" x14ac:dyDescent="0.25">
      <c r="A394" s="11">
        <v>43287</v>
      </c>
      <c r="B394" s="10">
        <v>2.0880000000000001</v>
      </c>
      <c r="C394" s="12">
        <f t="shared" si="30"/>
        <v>1.7048222113979612E-2</v>
      </c>
      <c r="E394" s="20">
        <v>43287</v>
      </c>
      <c r="F394" s="18">
        <v>2.1659999999999999</v>
      </c>
      <c r="G394" s="12">
        <f t="shared" si="31"/>
        <v>3.2422417786012589E-3</v>
      </c>
      <c r="H394" s="18">
        <v>2.173</v>
      </c>
      <c r="I394" s="12">
        <f t="shared" si="32"/>
        <v>5.5529847292919996E-3</v>
      </c>
      <c r="J394" s="18">
        <v>2.1789999999999998</v>
      </c>
      <c r="K394" s="12">
        <f t="shared" si="33"/>
        <v>5.5376095985233097E-3</v>
      </c>
      <c r="L394" s="18">
        <v>2.1840000000000002</v>
      </c>
      <c r="M394" s="12">
        <f t="shared" si="34"/>
        <v>5.062126092959098E-3</v>
      </c>
    </row>
    <row r="395" spans="1:13" x14ac:dyDescent="0.25">
      <c r="A395" s="11">
        <v>43294</v>
      </c>
      <c r="B395" s="10">
        <v>2.0750000000000002</v>
      </c>
      <c r="C395" s="12">
        <f t="shared" si="30"/>
        <v>-6.2260536398466952E-3</v>
      </c>
      <c r="E395" s="20">
        <v>43294</v>
      </c>
      <c r="F395" s="18">
        <v>2.1549999999999998</v>
      </c>
      <c r="G395" s="12">
        <f t="shared" si="31"/>
        <v>-5.078485687904026E-3</v>
      </c>
      <c r="H395" s="18">
        <v>2.16</v>
      </c>
      <c r="I395" s="12">
        <f t="shared" si="32"/>
        <v>-5.9825126553151864E-3</v>
      </c>
      <c r="J395" s="18">
        <v>2.1659999999999999</v>
      </c>
      <c r="K395" s="12">
        <f t="shared" si="33"/>
        <v>-5.9660394676456638E-3</v>
      </c>
      <c r="L395" s="18">
        <v>2.1720000000000002</v>
      </c>
      <c r="M395" s="12">
        <f t="shared" si="34"/>
        <v>-5.4945054945054993E-3</v>
      </c>
    </row>
    <row r="396" spans="1:13" x14ac:dyDescent="0.25">
      <c r="A396" s="11">
        <v>43301</v>
      </c>
      <c r="B396" s="10">
        <v>2.0070000000000001</v>
      </c>
      <c r="C396" s="12">
        <f t="shared" si="30"/>
        <v>-3.2771084337349425E-2</v>
      </c>
      <c r="E396" s="20">
        <v>43301</v>
      </c>
      <c r="F396" s="18">
        <v>2.0819999999999999</v>
      </c>
      <c r="G396" s="12">
        <f t="shared" si="31"/>
        <v>-3.3874709976798124E-2</v>
      </c>
      <c r="H396" s="18">
        <v>2.0870000000000002</v>
      </c>
      <c r="I396" s="12">
        <f t="shared" si="32"/>
        <v>-3.3796296296296276E-2</v>
      </c>
      <c r="J396" s="18">
        <v>2.0920000000000001</v>
      </c>
      <c r="K396" s="12">
        <f t="shared" si="33"/>
        <v>-3.4164358264081186E-2</v>
      </c>
      <c r="L396" s="18">
        <v>2.0979999999999999</v>
      </c>
      <c r="M396" s="12">
        <f t="shared" si="34"/>
        <v>-3.4069981583793867E-2</v>
      </c>
    </row>
    <row r="397" spans="1:13" x14ac:dyDescent="0.25">
      <c r="A397" s="11">
        <v>43308</v>
      </c>
      <c r="B397" s="10">
        <v>2.1059999999999999</v>
      </c>
      <c r="C397" s="12">
        <f t="shared" si="30"/>
        <v>4.9327354260089558E-2</v>
      </c>
      <c r="E397" s="20">
        <v>43308</v>
      </c>
      <c r="F397" s="18">
        <v>2.1469999999999998</v>
      </c>
      <c r="G397" s="12">
        <f t="shared" si="31"/>
        <v>3.1219980787704108E-2</v>
      </c>
      <c r="H397" s="18">
        <v>2.1509999999999998</v>
      </c>
      <c r="I397" s="12">
        <f t="shared" si="32"/>
        <v>3.0666027791087496E-2</v>
      </c>
      <c r="J397" s="18">
        <v>2.157</v>
      </c>
      <c r="K397" s="12">
        <f t="shared" si="33"/>
        <v>3.1070745697896723E-2</v>
      </c>
      <c r="L397" s="18">
        <v>2.1629999999999998</v>
      </c>
      <c r="M397" s="12">
        <f t="shared" si="34"/>
        <v>3.0981887511916086E-2</v>
      </c>
    </row>
    <row r="398" spans="1:13" x14ac:dyDescent="0.25">
      <c r="A398" s="11">
        <v>43315</v>
      </c>
      <c r="B398" s="10">
        <v>2.0950000000000002</v>
      </c>
      <c r="C398" s="12">
        <f t="shared" si="30"/>
        <v>-5.223171889838403E-3</v>
      </c>
      <c r="E398" s="20">
        <v>43315</v>
      </c>
      <c r="F398" s="18">
        <v>2.1320000000000001</v>
      </c>
      <c r="G398" s="12">
        <f t="shared" si="31"/>
        <v>-6.9864927806239782E-3</v>
      </c>
      <c r="H398" s="18">
        <v>2.137</v>
      </c>
      <c r="I398" s="12">
        <f t="shared" si="32"/>
        <v>-6.5086006508599682E-3</v>
      </c>
      <c r="J398" s="18">
        <v>2.1429999999999998</v>
      </c>
      <c r="K398" s="12">
        <f t="shared" si="33"/>
        <v>-6.4904960593417868E-3</v>
      </c>
      <c r="L398" s="18">
        <v>2.1459999999999999</v>
      </c>
      <c r="M398" s="12">
        <f t="shared" si="34"/>
        <v>-7.8594544613961662E-3</v>
      </c>
    </row>
    <row r="399" spans="1:13" x14ac:dyDescent="0.25">
      <c r="A399" s="11">
        <v>43322</v>
      </c>
      <c r="B399" s="10">
        <v>2.0680000000000001</v>
      </c>
      <c r="C399" s="12">
        <f t="shared" si="30"/>
        <v>-1.2887828162291233E-2</v>
      </c>
      <c r="E399" s="20">
        <v>43322</v>
      </c>
      <c r="F399" s="18">
        <v>2.1349999999999998</v>
      </c>
      <c r="G399" s="12">
        <f t="shared" si="31"/>
        <v>1.4071294559097887E-3</v>
      </c>
      <c r="H399" s="18">
        <v>2.14</v>
      </c>
      <c r="I399" s="12">
        <f t="shared" si="32"/>
        <v>1.403837154890086E-3</v>
      </c>
      <c r="J399" s="18">
        <v>2.1429999999999998</v>
      </c>
      <c r="K399" s="12">
        <f t="shared" si="33"/>
        <v>0</v>
      </c>
      <c r="L399" s="18">
        <v>2.145</v>
      </c>
      <c r="M399" s="12">
        <f t="shared" si="34"/>
        <v>-4.6598322460386296E-4</v>
      </c>
    </row>
    <row r="400" spans="1:13" x14ac:dyDescent="0.25">
      <c r="A400" s="11">
        <v>43329</v>
      </c>
      <c r="B400" s="10">
        <v>2.0299999999999998</v>
      </c>
      <c r="C400" s="12">
        <f t="shared" si="30"/>
        <v>-1.8375241779497221E-2</v>
      </c>
      <c r="E400" s="20">
        <v>43329</v>
      </c>
      <c r="F400" s="18">
        <v>2.11</v>
      </c>
      <c r="G400" s="12">
        <f t="shared" si="31"/>
        <v>-1.1709601873536259E-2</v>
      </c>
      <c r="H400" s="18">
        <v>2.1139999999999999</v>
      </c>
      <c r="I400" s="12">
        <f t="shared" si="32"/>
        <v>-1.2149532710280488E-2</v>
      </c>
      <c r="J400" s="18">
        <v>2.117</v>
      </c>
      <c r="K400" s="12">
        <f t="shared" si="33"/>
        <v>-1.2132524498366683E-2</v>
      </c>
      <c r="L400" s="18">
        <v>2.12</v>
      </c>
      <c r="M400" s="12">
        <f t="shared" si="34"/>
        <v>-1.1655011655011614E-2</v>
      </c>
    </row>
    <row r="401" spans="1:13" x14ac:dyDescent="0.25">
      <c r="A401" s="11">
        <v>43336</v>
      </c>
      <c r="B401" s="10">
        <v>2.077</v>
      </c>
      <c r="C401" s="12">
        <f t="shared" si="30"/>
        <v>2.3152709359605988E-2</v>
      </c>
      <c r="E401" s="20">
        <v>43336</v>
      </c>
      <c r="F401" s="18">
        <v>2.157</v>
      </c>
      <c r="G401" s="12">
        <f t="shared" si="31"/>
        <v>2.2274881516587752E-2</v>
      </c>
      <c r="H401" s="18">
        <v>2.1619999999999999</v>
      </c>
      <c r="I401" s="12">
        <f t="shared" si="32"/>
        <v>2.2705771050141932E-2</v>
      </c>
      <c r="J401" s="18">
        <v>2.165</v>
      </c>
      <c r="K401" s="12">
        <f t="shared" si="33"/>
        <v>2.2673594709494586E-2</v>
      </c>
      <c r="L401" s="18">
        <v>2.1680000000000001</v>
      </c>
      <c r="M401" s="12">
        <f t="shared" si="34"/>
        <v>2.2641509433962283E-2</v>
      </c>
    </row>
    <row r="402" spans="1:13" x14ac:dyDescent="0.25">
      <c r="A402" s="11">
        <v>43343</v>
      </c>
      <c r="B402" s="10">
        <v>2.13</v>
      </c>
      <c r="C402" s="12">
        <f t="shared" si="30"/>
        <v>2.5517573423206517E-2</v>
      </c>
      <c r="E402" s="20">
        <v>43343</v>
      </c>
      <c r="F402" s="18">
        <v>2.2320000000000002</v>
      </c>
      <c r="G402" s="12">
        <f t="shared" si="31"/>
        <v>3.4770514603616215E-2</v>
      </c>
      <c r="H402" s="18">
        <v>2.2370000000000001</v>
      </c>
      <c r="I402" s="12">
        <f t="shared" si="32"/>
        <v>3.4690101757631903E-2</v>
      </c>
      <c r="J402" s="18">
        <v>2.2400000000000002</v>
      </c>
      <c r="K402" s="12">
        <f t="shared" si="33"/>
        <v>3.4642032332563591E-2</v>
      </c>
      <c r="L402" s="18">
        <v>2.2410000000000001</v>
      </c>
      <c r="M402" s="12">
        <f t="shared" si="34"/>
        <v>3.3671586715867133E-2</v>
      </c>
    </row>
    <row r="403" spans="1:13" x14ac:dyDescent="0.25">
      <c r="A403" s="11">
        <v>43350</v>
      </c>
      <c r="B403" s="10">
        <v>2.0979999999999999</v>
      </c>
      <c r="C403" s="12">
        <f t="shared" si="30"/>
        <v>-1.5023474178403769E-2</v>
      </c>
      <c r="E403" s="20">
        <v>43350</v>
      </c>
      <c r="F403" s="18">
        <v>2.2320000000000002</v>
      </c>
      <c r="G403" s="12">
        <f t="shared" si="31"/>
        <v>0</v>
      </c>
      <c r="H403" s="18">
        <v>2.2349999999999999</v>
      </c>
      <c r="I403" s="12">
        <f t="shared" si="32"/>
        <v>-8.9405453732687692E-4</v>
      </c>
      <c r="J403" s="18">
        <v>2.2360000000000002</v>
      </c>
      <c r="K403" s="12">
        <f t="shared" si="33"/>
        <v>-1.7857142857142872E-3</v>
      </c>
      <c r="L403" s="18">
        <v>2.238</v>
      </c>
      <c r="M403" s="12">
        <f t="shared" si="34"/>
        <v>-1.3386880856760882E-3</v>
      </c>
    </row>
    <row r="404" spans="1:13" x14ac:dyDescent="0.25">
      <c r="A404" s="11">
        <v>43357</v>
      </c>
      <c r="B404" s="10">
        <v>2.0609999999999999</v>
      </c>
      <c r="C404" s="12">
        <f t="shared" si="30"/>
        <v>-1.7635843660629133E-2</v>
      </c>
      <c r="E404" s="20">
        <v>43357</v>
      </c>
      <c r="F404" s="18">
        <v>2.2320000000000002</v>
      </c>
      <c r="G404" s="12">
        <f t="shared" si="31"/>
        <v>0</v>
      </c>
      <c r="H404" s="18">
        <v>2.2349999999999999</v>
      </c>
      <c r="I404" s="12">
        <f t="shared" si="32"/>
        <v>0</v>
      </c>
      <c r="J404" s="18">
        <v>2.238</v>
      </c>
      <c r="K404" s="12">
        <f t="shared" si="33"/>
        <v>8.944543828263773E-4</v>
      </c>
      <c r="L404" s="18">
        <v>2.2410000000000001</v>
      </c>
      <c r="M404" s="12">
        <f t="shared" si="34"/>
        <v>1.3404825737265923E-3</v>
      </c>
    </row>
    <row r="405" spans="1:13" x14ac:dyDescent="0.25">
      <c r="A405" s="11">
        <v>43364</v>
      </c>
      <c r="B405" s="10">
        <v>2.0750000000000002</v>
      </c>
      <c r="C405" s="12">
        <f t="shared" si="30"/>
        <v>6.7928190198933694E-3</v>
      </c>
      <c r="E405" s="20">
        <v>43364</v>
      </c>
      <c r="F405" s="18">
        <v>2.2290000000000001</v>
      </c>
      <c r="G405" s="12">
        <f t="shared" si="31"/>
        <v>-1.3440860215054272E-3</v>
      </c>
      <c r="H405" s="18">
        <v>2.2320000000000002</v>
      </c>
      <c r="I405" s="12">
        <f t="shared" si="32"/>
        <v>-1.3422818791944831E-3</v>
      </c>
      <c r="J405" s="18">
        <v>2.2370000000000001</v>
      </c>
      <c r="K405" s="12">
        <f t="shared" si="33"/>
        <v>-4.4682752457546462E-4</v>
      </c>
      <c r="L405" s="18">
        <v>2.2400000000000002</v>
      </c>
      <c r="M405" s="12">
        <f t="shared" si="34"/>
        <v>-4.4622936189196331E-4</v>
      </c>
    </row>
    <row r="406" spans="1:13" x14ac:dyDescent="0.25">
      <c r="A406" s="11">
        <v>43371</v>
      </c>
      <c r="B406" s="10">
        <v>2.1379999999999999</v>
      </c>
      <c r="C406" s="12">
        <f t="shared" si="30"/>
        <v>3.0361445783132393E-2</v>
      </c>
      <c r="E406" s="20">
        <v>43371</v>
      </c>
      <c r="F406" s="18">
        <v>2.3130000000000002</v>
      </c>
      <c r="G406" s="12">
        <f t="shared" si="31"/>
        <v>3.7685060565275944E-2</v>
      </c>
      <c r="H406" s="18">
        <v>2.3159999999999998</v>
      </c>
      <c r="I406" s="12">
        <f t="shared" si="32"/>
        <v>3.7634408602150365E-2</v>
      </c>
      <c r="J406" s="18">
        <v>2.3199999999999998</v>
      </c>
      <c r="K406" s="12">
        <f t="shared" si="33"/>
        <v>3.7103263299061127E-2</v>
      </c>
      <c r="L406" s="18">
        <v>2.3220000000000001</v>
      </c>
      <c r="M406" s="12">
        <f t="shared" si="34"/>
        <v>3.660714285714279E-2</v>
      </c>
    </row>
    <row r="407" spans="1:13" x14ac:dyDescent="0.25">
      <c r="A407" s="11">
        <v>43378</v>
      </c>
      <c r="B407" s="10">
        <v>2.1949999999999998</v>
      </c>
      <c r="C407" s="12">
        <f t="shared" si="30"/>
        <v>2.6660430308699693E-2</v>
      </c>
      <c r="E407" s="20">
        <v>43378</v>
      </c>
      <c r="F407" s="18">
        <v>2.4089999999999998</v>
      </c>
      <c r="G407" s="12">
        <f t="shared" si="31"/>
        <v>4.1504539559014106E-2</v>
      </c>
      <c r="H407" s="18">
        <v>2.4129999999999998</v>
      </c>
      <c r="I407" s="12">
        <f t="shared" si="32"/>
        <v>4.1882556131260788E-2</v>
      </c>
      <c r="J407" s="18">
        <v>2.4159999999999999</v>
      </c>
      <c r="K407" s="12">
        <f t="shared" si="33"/>
        <v>4.1379310344827627E-2</v>
      </c>
      <c r="L407" s="18">
        <v>2.4129999999999998</v>
      </c>
      <c r="M407" s="12">
        <f t="shared" si="34"/>
        <v>3.9190353143841408E-2</v>
      </c>
    </row>
    <row r="408" spans="1:13" x14ac:dyDescent="0.25">
      <c r="A408" s="11">
        <v>43385</v>
      </c>
      <c r="B408" s="10">
        <v>2.0939999999999999</v>
      </c>
      <c r="C408" s="12">
        <f t="shared" si="30"/>
        <v>-4.6013667425968102E-2</v>
      </c>
      <c r="E408" s="20">
        <v>43385</v>
      </c>
      <c r="F408" s="18">
        <v>2.3730000000000002</v>
      </c>
      <c r="G408" s="12">
        <f t="shared" si="31"/>
        <v>-1.4943960149439432E-2</v>
      </c>
      <c r="H408" s="18">
        <v>2.375</v>
      </c>
      <c r="I408" s="12">
        <f t="shared" si="32"/>
        <v>-1.5748031496062916E-2</v>
      </c>
      <c r="J408" s="18">
        <v>2.3769999999999998</v>
      </c>
      <c r="K408" s="12">
        <f t="shared" si="33"/>
        <v>-1.6142384105960327E-2</v>
      </c>
      <c r="L408" s="18">
        <v>2.3740000000000001</v>
      </c>
      <c r="M408" s="12">
        <f t="shared" si="34"/>
        <v>-1.6162453377538213E-2</v>
      </c>
    </row>
    <row r="409" spans="1:13" x14ac:dyDescent="0.25">
      <c r="A409" s="11">
        <v>43392</v>
      </c>
      <c r="B409" s="10">
        <v>2.008</v>
      </c>
      <c r="C409" s="12">
        <f t="shared" si="30"/>
        <v>-4.1069723018147021E-2</v>
      </c>
      <c r="E409" s="20">
        <v>43392</v>
      </c>
      <c r="F409" s="18">
        <v>2.3149999999999999</v>
      </c>
      <c r="G409" s="12">
        <f t="shared" si="31"/>
        <v>-2.4441635061104201E-2</v>
      </c>
      <c r="H409" s="18">
        <v>2.3159999999999998</v>
      </c>
      <c r="I409" s="12">
        <f t="shared" si="32"/>
        <v>-2.4842105263157964E-2</v>
      </c>
      <c r="J409" s="18">
        <v>2.3180000000000001</v>
      </c>
      <c r="K409" s="12">
        <f t="shared" si="33"/>
        <v>-2.4821203197307413E-2</v>
      </c>
      <c r="L409" s="18">
        <v>2.3159999999999998</v>
      </c>
      <c r="M409" s="12">
        <f t="shared" si="34"/>
        <v>-2.4431339511373325E-2</v>
      </c>
    </row>
    <row r="410" spans="1:13" x14ac:dyDescent="0.25">
      <c r="A410" s="11">
        <v>43399</v>
      </c>
      <c r="B410" s="10">
        <v>1.911</v>
      </c>
      <c r="C410" s="12">
        <f t="shared" si="30"/>
        <v>-4.8306772908366519E-2</v>
      </c>
      <c r="E410" s="20">
        <v>43399</v>
      </c>
      <c r="F410" s="18">
        <v>2.2799999999999998</v>
      </c>
      <c r="G410" s="12">
        <f t="shared" si="31"/>
        <v>-1.511879049676032E-2</v>
      </c>
      <c r="H410" s="18">
        <v>2.2810000000000001</v>
      </c>
      <c r="I410" s="12">
        <f t="shared" si="32"/>
        <v>-1.5112262521588817E-2</v>
      </c>
      <c r="J410" s="18">
        <v>2.2810000000000001</v>
      </c>
      <c r="K410" s="12">
        <f t="shared" si="33"/>
        <v>-1.5962036238136291E-2</v>
      </c>
      <c r="L410" s="18">
        <v>2.2770000000000001</v>
      </c>
      <c r="M410" s="12">
        <f t="shared" si="34"/>
        <v>-1.6839378238341841E-2</v>
      </c>
    </row>
    <row r="411" spans="1:13" x14ac:dyDescent="0.25">
      <c r="A411" s="11">
        <v>43406</v>
      </c>
      <c r="B411" s="10">
        <v>1.83</v>
      </c>
      <c r="C411" s="12">
        <f t="shared" si="30"/>
        <v>-4.238618524332808E-2</v>
      </c>
      <c r="E411" s="20">
        <v>43406</v>
      </c>
      <c r="F411" s="18">
        <v>2.2360000000000002</v>
      </c>
      <c r="G411" s="12">
        <f t="shared" si="31"/>
        <v>-1.9298245614034912E-2</v>
      </c>
      <c r="H411" s="18">
        <v>2.2320000000000002</v>
      </c>
      <c r="I411" s="12">
        <f t="shared" si="32"/>
        <v>-2.1481806225339732E-2</v>
      </c>
      <c r="J411" s="18">
        <v>2.2280000000000002</v>
      </c>
      <c r="K411" s="12">
        <f t="shared" si="33"/>
        <v>-2.3235423060061346E-2</v>
      </c>
      <c r="L411" s="18">
        <v>2.222</v>
      </c>
      <c r="M411" s="12">
        <f t="shared" si="34"/>
        <v>-2.4154589371980745E-2</v>
      </c>
    </row>
    <row r="412" spans="1:13" x14ac:dyDescent="0.25">
      <c r="A412" s="11">
        <v>43413</v>
      </c>
      <c r="B412" s="10">
        <v>1.72</v>
      </c>
      <c r="C412" s="12">
        <f t="shared" si="30"/>
        <v>-6.0109289617486392E-2</v>
      </c>
      <c r="E412" s="20">
        <v>43413</v>
      </c>
      <c r="F412" s="18">
        <v>2.1930000000000001</v>
      </c>
      <c r="G412" s="12">
        <f t="shared" si="31"/>
        <v>-1.9230769230769294E-2</v>
      </c>
      <c r="H412" s="18">
        <v>2.1829999999999998</v>
      </c>
      <c r="I412" s="12">
        <f t="shared" si="32"/>
        <v>-2.1953405017921312E-2</v>
      </c>
      <c r="J412" s="18">
        <v>2.1739999999999999</v>
      </c>
      <c r="K412" s="12">
        <f t="shared" si="33"/>
        <v>-2.4236983842010892E-2</v>
      </c>
      <c r="L412" s="18">
        <v>2.165</v>
      </c>
      <c r="M412" s="12">
        <f t="shared" si="34"/>
        <v>-2.5652565256525626E-2</v>
      </c>
    </row>
    <row r="413" spans="1:13" x14ac:dyDescent="0.25">
      <c r="A413" s="11">
        <v>43420</v>
      </c>
      <c r="B413" s="10">
        <v>1.6339999999999999</v>
      </c>
      <c r="C413" s="12">
        <f t="shared" si="30"/>
        <v>-5.0000000000000044E-2</v>
      </c>
      <c r="E413" s="20">
        <v>43420</v>
      </c>
      <c r="F413" s="18">
        <v>2.0920000000000001</v>
      </c>
      <c r="G413" s="12">
        <f t="shared" si="31"/>
        <v>-4.6055631554947553E-2</v>
      </c>
      <c r="H413" s="18">
        <v>2.085</v>
      </c>
      <c r="I413" s="12">
        <f t="shared" si="32"/>
        <v>-4.489234997709568E-2</v>
      </c>
      <c r="J413" s="18">
        <v>2.077</v>
      </c>
      <c r="K413" s="12">
        <f t="shared" si="33"/>
        <v>-4.4618215271389136E-2</v>
      </c>
      <c r="L413" s="18">
        <v>2.069</v>
      </c>
      <c r="M413" s="12">
        <f t="shared" si="34"/>
        <v>-4.4341801385681334E-2</v>
      </c>
    </row>
    <row r="414" spans="1:13" x14ac:dyDescent="0.25">
      <c r="A414" s="11">
        <v>43427</v>
      </c>
      <c r="B414" s="10">
        <v>1.587</v>
      </c>
      <c r="C414" s="12">
        <f t="shared" si="30"/>
        <v>-2.8763769889840841E-2</v>
      </c>
      <c r="E414" s="20">
        <v>43427</v>
      </c>
      <c r="F414" s="18">
        <v>1.9790000000000001</v>
      </c>
      <c r="G414" s="12">
        <f t="shared" si="31"/>
        <v>-5.4015296367112803E-2</v>
      </c>
      <c r="H414" s="18">
        <v>1.972</v>
      </c>
      <c r="I414" s="12">
        <f t="shared" si="32"/>
        <v>-5.4196642685851316E-2</v>
      </c>
      <c r="J414" s="18">
        <v>1.962</v>
      </c>
      <c r="K414" s="12">
        <f t="shared" si="33"/>
        <v>-5.536831969186326E-2</v>
      </c>
      <c r="L414" s="18">
        <v>1.952</v>
      </c>
      <c r="M414" s="12">
        <f t="shared" si="34"/>
        <v>-5.6549057515708066E-2</v>
      </c>
    </row>
    <row r="415" spans="1:13" x14ac:dyDescent="0.25">
      <c r="A415" s="11">
        <v>43434</v>
      </c>
      <c r="B415" s="10">
        <v>1.5029999999999999</v>
      </c>
      <c r="C415" s="12">
        <f t="shared" si="30"/>
        <v>-5.2930056710775095E-2</v>
      </c>
      <c r="E415" s="20">
        <v>43434</v>
      </c>
      <c r="F415" s="18">
        <v>1.861</v>
      </c>
      <c r="G415" s="12">
        <f t="shared" si="31"/>
        <v>-5.9626073774633706E-2</v>
      </c>
      <c r="H415" s="18">
        <v>1.855</v>
      </c>
      <c r="I415" s="12">
        <f t="shared" si="32"/>
        <v>-5.9330628803245432E-2</v>
      </c>
      <c r="J415" s="18">
        <v>1.847</v>
      </c>
      <c r="K415" s="12">
        <f t="shared" si="33"/>
        <v>-5.8613659531090719E-2</v>
      </c>
      <c r="L415" s="18">
        <v>1.84</v>
      </c>
      <c r="M415" s="12">
        <f t="shared" si="34"/>
        <v>-5.7377049180327808E-2</v>
      </c>
    </row>
    <row r="416" spans="1:13" x14ac:dyDescent="0.25">
      <c r="A416" s="11">
        <v>43441</v>
      </c>
      <c r="B416" s="10">
        <v>1.53</v>
      </c>
      <c r="C416" s="12">
        <f t="shared" si="30"/>
        <v>1.7964071856287515E-2</v>
      </c>
      <c r="E416" s="20">
        <v>43441</v>
      </c>
      <c r="F416" s="18">
        <v>1.8839999999999999</v>
      </c>
      <c r="G416" s="12">
        <f t="shared" si="31"/>
        <v>1.2358946802794148E-2</v>
      </c>
      <c r="H416" s="18">
        <v>1.8759999999999999</v>
      </c>
      <c r="I416" s="12">
        <f t="shared" si="32"/>
        <v>1.1320754716981083E-2</v>
      </c>
      <c r="J416" s="18">
        <v>1.8680000000000001</v>
      </c>
      <c r="K416" s="12">
        <f t="shared" si="33"/>
        <v>1.136978884677863E-2</v>
      </c>
      <c r="L416" s="18">
        <v>1.8580000000000001</v>
      </c>
      <c r="M416" s="12">
        <f t="shared" si="34"/>
        <v>9.7826086956521816E-3</v>
      </c>
    </row>
    <row r="417" spans="1:13" x14ac:dyDescent="0.25">
      <c r="A417" s="11">
        <v>43448</v>
      </c>
      <c r="B417" s="10">
        <v>1.506</v>
      </c>
      <c r="C417" s="12">
        <f t="shared" si="30"/>
        <v>-1.5686274509803935E-2</v>
      </c>
      <c r="E417" s="20">
        <v>43448</v>
      </c>
      <c r="F417" s="18">
        <v>1.853</v>
      </c>
      <c r="G417" s="12">
        <f t="shared" si="31"/>
        <v>-1.6454352441613546E-2</v>
      </c>
      <c r="H417" s="18">
        <v>1.8460000000000001</v>
      </c>
      <c r="I417" s="12">
        <f t="shared" si="32"/>
        <v>-1.5991471215351709E-2</v>
      </c>
      <c r="J417" s="18">
        <v>1.8360000000000001</v>
      </c>
      <c r="K417" s="12">
        <f t="shared" si="33"/>
        <v>-1.7130620985010721E-2</v>
      </c>
      <c r="L417" s="18">
        <v>1.8260000000000001</v>
      </c>
      <c r="M417" s="12">
        <f t="shared" si="34"/>
        <v>-1.7222820236813794E-2</v>
      </c>
    </row>
    <row r="418" spans="1:13" x14ac:dyDescent="0.25">
      <c r="A418" s="11">
        <v>43455</v>
      </c>
      <c r="B418" s="10">
        <v>1.405</v>
      </c>
      <c r="C418" s="12">
        <f t="shared" si="30"/>
        <v>-6.7065073041168641E-2</v>
      </c>
      <c r="E418" s="20">
        <v>43455</v>
      </c>
      <c r="F418" s="18">
        <v>1.774</v>
      </c>
      <c r="G418" s="12">
        <f t="shared" si="31"/>
        <v>-4.2633567188343206E-2</v>
      </c>
      <c r="H418" s="18">
        <v>1.766</v>
      </c>
      <c r="I418" s="12">
        <f t="shared" si="32"/>
        <v>-4.3336944745395484E-2</v>
      </c>
      <c r="J418" s="18">
        <v>1.752</v>
      </c>
      <c r="K418" s="12">
        <f t="shared" si="33"/>
        <v>-4.5751633986928143E-2</v>
      </c>
      <c r="L418" s="18">
        <v>1.738</v>
      </c>
      <c r="M418" s="12">
        <f t="shared" si="34"/>
        <v>-4.8192771084337394E-2</v>
      </c>
    </row>
    <row r="419" spans="1:13" x14ac:dyDescent="0.25">
      <c r="A419" s="11">
        <v>43462</v>
      </c>
      <c r="B419" s="10">
        <v>1.3720000000000001</v>
      </c>
      <c r="C419" s="12">
        <f t="shared" si="30"/>
        <v>-2.3487544483985708E-2</v>
      </c>
      <c r="E419" s="20">
        <v>43462</v>
      </c>
      <c r="F419" s="18">
        <v>1.6850000000000001</v>
      </c>
      <c r="G419" s="12">
        <f t="shared" si="31"/>
        <v>-5.0169109357384424E-2</v>
      </c>
      <c r="H419" s="18">
        <v>1.679</v>
      </c>
      <c r="I419" s="12">
        <f t="shared" si="32"/>
        <v>-4.9263873159682878E-2</v>
      </c>
      <c r="J419" s="18">
        <v>1.6679999999999999</v>
      </c>
      <c r="K419" s="12">
        <f t="shared" si="33"/>
        <v>-4.7945205479452101E-2</v>
      </c>
      <c r="L419" s="18">
        <v>1.6539999999999999</v>
      </c>
      <c r="M419" s="12">
        <f t="shared" si="34"/>
        <v>-4.8331415420023061E-2</v>
      </c>
    </row>
    <row r="420" spans="1:13" x14ac:dyDescent="0.25">
      <c r="A420" s="11">
        <v>43469</v>
      </c>
      <c r="B420" s="10">
        <v>1.389</v>
      </c>
      <c r="C420" s="12">
        <f t="shared" si="30"/>
        <v>1.2390670553935789E-2</v>
      </c>
      <c r="E420" s="20">
        <v>43469</v>
      </c>
      <c r="F420" s="18">
        <v>1.714</v>
      </c>
      <c r="G420" s="12">
        <f t="shared" si="31"/>
        <v>1.721068249258155E-2</v>
      </c>
      <c r="H420" s="18">
        <v>1.7070000000000001</v>
      </c>
      <c r="I420" s="12">
        <f t="shared" si="32"/>
        <v>1.6676593210244207E-2</v>
      </c>
      <c r="J420" s="18">
        <v>1.6950000000000001</v>
      </c>
      <c r="K420" s="12">
        <f t="shared" si="33"/>
        <v>1.6187050359712313E-2</v>
      </c>
      <c r="L420" s="18">
        <v>1.69</v>
      </c>
      <c r="M420" s="12">
        <f t="shared" si="34"/>
        <v>2.176541717049579E-2</v>
      </c>
    </row>
    <row r="421" spans="1:13" x14ac:dyDescent="0.25">
      <c r="A421" s="11">
        <v>43476</v>
      </c>
      <c r="B421" s="10">
        <v>1.4419999999999999</v>
      </c>
      <c r="C421" s="12">
        <f t="shared" si="30"/>
        <v>3.815694744420442E-2</v>
      </c>
      <c r="E421" s="20">
        <v>43476</v>
      </c>
      <c r="F421" s="18">
        <v>1.8540000000000001</v>
      </c>
      <c r="G421" s="12">
        <f t="shared" si="31"/>
        <v>8.1680280046674519E-2</v>
      </c>
      <c r="H421" s="18">
        <v>1.8480000000000001</v>
      </c>
      <c r="I421" s="12">
        <f t="shared" si="32"/>
        <v>8.2601054481546574E-2</v>
      </c>
      <c r="J421" s="18">
        <v>1.835</v>
      </c>
      <c r="K421" s="12">
        <f t="shared" si="33"/>
        <v>8.2595870206489619E-2</v>
      </c>
      <c r="L421" s="18">
        <v>1.8320000000000001</v>
      </c>
      <c r="M421" s="12">
        <f t="shared" si="34"/>
        <v>8.4023668639053334E-2</v>
      </c>
    </row>
    <row r="422" spans="1:13" x14ac:dyDescent="0.25">
      <c r="A422" s="11">
        <v>43483</v>
      </c>
      <c r="B422" s="10">
        <v>1.448</v>
      </c>
      <c r="C422" s="12">
        <f t="shared" si="30"/>
        <v>4.1608876560332913E-3</v>
      </c>
      <c r="E422" s="20">
        <v>43483</v>
      </c>
      <c r="F422" s="18">
        <v>1.8839999999999999</v>
      </c>
      <c r="G422" s="12">
        <f t="shared" si="31"/>
        <v>1.6181229773462678E-2</v>
      </c>
      <c r="H422" s="18">
        <v>1.8759999999999999</v>
      </c>
      <c r="I422" s="12">
        <f t="shared" si="32"/>
        <v>1.5151515151515044E-2</v>
      </c>
      <c r="J422" s="18">
        <v>1.8620000000000001</v>
      </c>
      <c r="K422" s="12">
        <f t="shared" si="33"/>
        <v>1.4713896457765741E-2</v>
      </c>
      <c r="L422" s="18">
        <v>1.8580000000000001</v>
      </c>
      <c r="M422" s="12">
        <f t="shared" si="34"/>
        <v>1.4192139737991279E-2</v>
      </c>
    </row>
    <row r="423" spans="1:13" x14ac:dyDescent="0.25">
      <c r="A423" s="11">
        <v>43490</v>
      </c>
      <c r="B423" s="10">
        <v>1.429</v>
      </c>
      <c r="C423" s="12">
        <f t="shared" si="30"/>
        <v>-1.3121546961325902E-2</v>
      </c>
      <c r="E423" s="20">
        <v>43490</v>
      </c>
      <c r="F423" s="18">
        <v>1.8919999999999999</v>
      </c>
      <c r="G423" s="12">
        <f t="shared" si="31"/>
        <v>4.2462845010615754E-3</v>
      </c>
      <c r="H423" s="18">
        <v>1.8859999999999999</v>
      </c>
      <c r="I423" s="12">
        <f t="shared" si="32"/>
        <v>5.3304904051172759E-3</v>
      </c>
      <c r="J423" s="18">
        <v>1.875</v>
      </c>
      <c r="K423" s="12">
        <f t="shared" si="33"/>
        <v>6.9817400644467779E-3</v>
      </c>
      <c r="L423" s="18">
        <v>1.8720000000000001</v>
      </c>
      <c r="M423" s="12">
        <f t="shared" si="34"/>
        <v>7.5349838536060343E-3</v>
      </c>
    </row>
    <row r="424" spans="1:13" x14ac:dyDescent="0.25">
      <c r="A424" s="11">
        <v>43497</v>
      </c>
      <c r="B424" s="10">
        <v>1.413</v>
      </c>
      <c r="C424" s="12">
        <f t="shared" si="30"/>
        <v>-1.11966410076977E-2</v>
      </c>
      <c r="E424" s="20">
        <v>43497</v>
      </c>
      <c r="F424" s="18">
        <v>1.885</v>
      </c>
      <c r="G424" s="12">
        <f t="shared" si="31"/>
        <v>-3.6997885835094585E-3</v>
      </c>
      <c r="H424" s="18">
        <v>1.8819999999999999</v>
      </c>
      <c r="I424" s="12">
        <f t="shared" si="32"/>
        <v>-2.1208907741251345E-3</v>
      </c>
      <c r="J424" s="18">
        <v>1.8759999999999999</v>
      </c>
      <c r="K424" s="12">
        <f t="shared" si="33"/>
        <v>5.333333333332746E-4</v>
      </c>
      <c r="L424" s="18">
        <v>1.8740000000000001</v>
      </c>
      <c r="M424" s="12">
        <f t="shared" si="34"/>
        <v>1.0683760683760694E-3</v>
      </c>
    </row>
    <row r="425" spans="1:13" x14ac:dyDescent="0.25">
      <c r="A425" s="11">
        <v>43504</v>
      </c>
      <c r="B425" s="10">
        <v>1.474</v>
      </c>
      <c r="C425" s="12">
        <f t="shared" si="30"/>
        <v>4.3170559094125933E-2</v>
      </c>
      <c r="E425" s="20">
        <v>43504</v>
      </c>
      <c r="F425" s="18">
        <v>1.905</v>
      </c>
      <c r="G425" s="12">
        <f t="shared" si="31"/>
        <v>1.0610079575596827E-2</v>
      </c>
      <c r="H425" s="18">
        <v>1.8979999999999999</v>
      </c>
      <c r="I425" s="12">
        <f t="shared" si="32"/>
        <v>8.501594048884174E-3</v>
      </c>
      <c r="J425" s="18">
        <v>1.895</v>
      </c>
      <c r="K425" s="12">
        <f t="shared" si="33"/>
        <v>1.0127931769722884E-2</v>
      </c>
      <c r="L425" s="18">
        <v>1.897</v>
      </c>
      <c r="M425" s="12">
        <f t="shared" si="34"/>
        <v>1.2273212379935916E-2</v>
      </c>
    </row>
    <row r="426" spans="1:13" x14ac:dyDescent="0.25">
      <c r="A426" s="11">
        <v>43511</v>
      </c>
      <c r="B426" s="10">
        <v>1.53</v>
      </c>
      <c r="C426" s="12">
        <f t="shared" si="30"/>
        <v>3.7991858887381311E-2</v>
      </c>
      <c r="E426" s="20">
        <v>43511</v>
      </c>
      <c r="F426" s="18">
        <v>1.946</v>
      </c>
      <c r="G426" s="12">
        <f t="shared" si="31"/>
        <v>2.1522309711286051E-2</v>
      </c>
      <c r="H426" s="18">
        <v>1.9419999999999999</v>
      </c>
      <c r="I426" s="12">
        <f t="shared" si="32"/>
        <v>2.3182297154899917E-2</v>
      </c>
      <c r="J426" s="18">
        <v>1.9390000000000001</v>
      </c>
      <c r="K426" s="12">
        <f t="shared" si="33"/>
        <v>2.3218997361477593E-2</v>
      </c>
      <c r="L426" s="18">
        <v>1.9390000000000001</v>
      </c>
      <c r="M426" s="12">
        <f t="shared" si="34"/>
        <v>2.2140221402214041E-2</v>
      </c>
    </row>
    <row r="427" spans="1:13" x14ac:dyDescent="0.25">
      <c r="A427" s="11">
        <v>43518</v>
      </c>
      <c r="B427" s="10">
        <v>1.6479999999999999</v>
      </c>
      <c r="C427" s="12">
        <f t="shared" si="30"/>
        <v>7.7124183006535868E-2</v>
      </c>
      <c r="E427" s="20">
        <v>43518</v>
      </c>
      <c r="F427" s="18">
        <v>2.02</v>
      </c>
      <c r="G427" s="12">
        <f t="shared" si="31"/>
        <v>3.8026721479958926E-2</v>
      </c>
      <c r="H427" s="18">
        <v>2.0190000000000001</v>
      </c>
      <c r="I427" s="12">
        <f t="shared" si="32"/>
        <v>3.964984552008248E-2</v>
      </c>
      <c r="J427" s="18">
        <v>2.0169999999999999</v>
      </c>
      <c r="K427" s="12">
        <f t="shared" si="33"/>
        <v>4.0226921093347009E-2</v>
      </c>
      <c r="L427" s="18">
        <v>2.016</v>
      </c>
      <c r="M427" s="12">
        <f t="shared" si="34"/>
        <v>3.9711191335740047E-2</v>
      </c>
    </row>
    <row r="428" spans="1:13" x14ac:dyDescent="0.25">
      <c r="A428" s="11">
        <v>43525</v>
      </c>
      <c r="B428" s="10">
        <v>1.6830000000000001</v>
      </c>
      <c r="C428" s="12">
        <f t="shared" si="30"/>
        <v>2.1237864077669991E-2</v>
      </c>
      <c r="E428" s="20">
        <v>43525</v>
      </c>
      <c r="F428" s="18">
        <v>2.004</v>
      </c>
      <c r="G428" s="12">
        <f t="shared" si="31"/>
        <v>-7.9207920792079278E-3</v>
      </c>
      <c r="H428" s="18">
        <v>2.004</v>
      </c>
      <c r="I428" s="12">
        <f t="shared" si="32"/>
        <v>-7.4294205052006556E-3</v>
      </c>
      <c r="J428" s="18">
        <v>2</v>
      </c>
      <c r="K428" s="12">
        <f t="shared" si="33"/>
        <v>-8.4283589489340133E-3</v>
      </c>
      <c r="L428" s="18">
        <v>1.998</v>
      </c>
      <c r="M428" s="12">
        <f t="shared" si="34"/>
        <v>-8.9285714285714367E-3</v>
      </c>
    </row>
    <row r="429" spans="1:13" x14ac:dyDescent="0.25">
      <c r="A429" s="11">
        <v>43532</v>
      </c>
      <c r="B429" s="10">
        <v>1.7070000000000001</v>
      </c>
      <c r="C429" s="12">
        <f t="shared" si="30"/>
        <v>1.4260249554367214E-2</v>
      </c>
      <c r="E429" s="20">
        <v>43532</v>
      </c>
      <c r="F429" s="18">
        <v>2.012</v>
      </c>
      <c r="G429" s="12">
        <f t="shared" si="31"/>
        <v>3.9920159680638754E-3</v>
      </c>
      <c r="H429" s="18">
        <v>2.0070000000000001</v>
      </c>
      <c r="I429" s="12">
        <f t="shared" si="32"/>
        <v>1.4970059880240088E-3</v>
      </c>
      <c r="J429" s="18">
        <v>2.004</v>
      </c>
      <c r="K429" s="12">
        <f t="shared" si="33"/>
        <v>2.0000000000000018E-3</v>
      </c>
      <c r="L429" s="18">
        <v>2.0070000000000001</v>
      </c>
      <c r="M429" s="12">
        <f t="shared" si="34"/>
        <v>4.5045045045045643E-3</v>
      </c>
    </row>
    <row r="430" spans="1:13" x14ac:dyDescent="0.25">
      <c r="A430" s="11">
        <v>43539</v>
      </c>
      <c r="B430" s="10">
        <v>1.7969999999999999</v>
      </c>
      <c r="C430" s="12">
        <f t="shared" si="30"/>
        <v>5.2724077328646667E-2</v>
      </c>
      <c r="E430" s="20">
        <v>43539</v>
      </c>
      <c r="F430" s="18">
        <v>1.9850000000000001</v>
      </c>
      <c r="G430" s="12">
        <f t="shared" si="31"/>
        <v>-1.3419483101391606E-2</v>
      </c>
      <c r="H430" s="18">
        <v>1.986</v>
      </c>
      <c r="I430" s="12">
        <f t="shared" si="32"/>
        <v>-1.0463378176382725E-2</v>
      </c>
      <c r="J430" s="18">
        <v>1.9890000000000001</v>
      </c>
      <c r="K430" s="12">
        <f t="shared" si="33"/>
        <v>-7.4850299401197119E-3</v>
      </c>
      <c r="L430" s="18">
        <v>1.996</v>
      </c>
      <c r="M430" s="12">
        <f t="shared" si="34"/>
        <v>-5.4808171400100251E-3</v>
      </c>
    </row>
    <row r="431" spans="1:13" x14ac:dyDescent="0.25">
      <c r="A431" s="11">
        <v>43546</v>
      </c>
      <c r="B431" s="10">
        <v>1.89</v>
      </c>
      <c r="C431" s="12">
        <f t="shared" si="30"/>
        <v>5.1752921535893143E-2</v>
      </c>
      <c r="E431" s="20">
        <v>43546</v>
      </c>
      <c r="F431" s="18">
        <v>1.984</v>
      </c>
      <c r="G431" s="12">
        <f t="shared" si="31"/>
        <v>-5.0377833753154251E-4</v>
      </c>
      <c r="H431" s="18">
        <v>1.986</v>
      </c>
      <c r="I431" s="12">
        <f t="shared" si="32"/>
        <v>0</v>
      </c>
      <c r="J431" s="18">
        <v>1.9890000000000001</v>
      </c>
      <c r="K431" s="12">
        <f t="shared" si="33"/>
        <v>0</v>
      </c>
      <c r="L431" s="18">
        <v>1.996</v>
      </c>
      <c r="M431" s="12">
        <f t="shared" si="34"/>
        <v>0</v>
      </c>
    </row>
    <row r="432" spans="1:13" x14ac:dyDescent="0.25">
      <c r="A432" s="11">
        <v>43553</v>
      </c>
      <c r="B432" s="10">
        <v>1.8620000000000001</v>
      </c>
      <c r="C432" s="12">
        <f t="shared" si="30"/>
        <v>-1.4814814814814711E-2</v>
      </c>
      <c r="E432" s="20">
        <v>43553</v>
      </c>
      <c r="F432" s="18">
        <v>1.9790000000000001</v>
      </c>
      <c r="G432" s="12">
        <f t="shared" si="31"/>
        <v>-2.5201612903225268E-3</v>
      </c>
      <c r="H432" s="18">
        <v>1.9790000000000001</v>
      </c>
      <c r="I432" s="12">
        <f t="shared" si="32"/>
        <v>-3.5246727089626863E-3</v>
      </c>
      <c r="J432" s="18">
        <v>1.9830000000000001</v>
      </c>
      <c r="K432" s="12">
        <f t="shared" si="33"/>
        <v>-3.0165912518853723E-3</v>
      </c>
      <c r="L432" s="18">
        <v>1.988</v>
      </c>
      <c r="M432" s="12">
        <f t="shared" si="34"/>
        <v>-4.0080160320641314E-3</v>
      </c>
    </row>
    <row r="433" spans="1:13" x14ac:dyDescent="0.25">
      <c r="A433" s="11">
        <v>43560</v>
      </c>
      <c r="B433" s="10">
        <v>1.9239999999999999</v>
      </c>
      <c r="C433" s="12">
        <f t="shared" si="30"/>
        <v>3.3297529538130949E-2</v>
      </c>
      <c r="E433" s="20">
        <v>43560</v>
      </c>
      <c r="F433" s="18">
        <v>2.012</v>
      </c>
      <c r="G433" s="12">
        <f t="shared" si="31"/>
        <v>1.6675088428499199E-2</v>
      </c>
      <c r="H433" s="18">
        <v>2.016</v>
      </c>
      <c r="I433" s="12">
        <f t="shared" si="32"/>
        <v>1.8696311268317292E-2</v>
      </c>
      <c r="J433" s="18">
        <v>2.0209999999999999</v>
      </c>
      <c r="K433" s="12">
        <f t="shared" si="33"/>
        <v>1.9162884518406358E-2</v>
      </c>
      <c r="L433" s="18">
        <v>2.028</v>
      </c>
      <c r="M433" s="12">
        <f t="shared" si="34"/>
        <v>2.0120724346076476E-2</v>
      </c>
    </row>
    <row r="434" spans="1:13" x14ac:dyDescent="0.25">
      <c r="A434" s="11">
        <v>43567</v>
      </c>
      <c r="B434" s="10">
        <v>2.04</v>
      </c>
      <c r="C434" s="12">
        <f t="shared" si="30"/>
        <v>6.029106029106035E-2</v>
      </c>
      <c r="E434" s="20">
        <v>43567</v>
      </c>
      <c r="F434" s="18">
        <v>2.0659999999999998</v>
      </c>
      <c r="G434" s="12">
        <f t="shared" si="31"/>
        <v>2.6838966202783213E-2</v>
      </c>
      <c r="H434" s="18">
        <v>2.0680000000000001</v>
      </c>
      <c r="I434" s="12">
        <f t="shared" si="32"/>
        <v>2.5793650793650817E-2</v>
      </c>
      <c r="J434" s="18">
        <v>2.0720000000000001</v>
      </c>
      <c r="K434" s="12">
        <f t="shared" si="33"/>
        <v>2.5235032162295973E-2</v>
      </c>
      <c r="L434" s="18">
        <v>2.0790000000000002</v>
      </c>
      <c r="M434" s="12">
        <f t="shared" si="34"/>
        <v>2.5147928994082917E-2</v>
      </c>
    </row>
    <row r="435" spans="1:13" x14ac:dyDescent="0.25">
      <c r="A435" s="11">
        <v>43574</v>
      </c>
      <c r="B435" s="10">
        <v>2.069</v>
      </c>
      <c r="C435" s="12">
        <f t="shared" si="30"/>
        <v>1.4215686274509762E-2</v>
      </c>
      <c r="E435" s="20">
        <v>43574</v>
      </c>
      <c r="F435" s="18">
        <v>2.0710000000000002</v>
      </c>
      <c r="G435" s="12">
        <f t="shared" si="31"/>
        <v>2.4201355275897084E-3</v>
      </c>
      <c r="H435" s="18">
        <v>2.073</v>
      </c>
      <c r="I435" s="12">
        <f t="shared" si="32"/>
        <v>2.4177949709864089E-3</v>
      </c>
      <c r="J435" s="18">
        <v>2.0790000000000002</v>
      </c>
      <c r="K435" s="12">
        <f t="shared" si="33"/>
        <v>3.3783783783784349E-3</v>
      </c>
      <c r="L435" s="18">
        <v>2.0859999999999999</v>
      </c>
      <c r="M435" s="12">
        <f t="shared" si="34"/>
        <v>3.3670033670032094E-3</v>
      </c>
    </row>
    <row r="436" spans="1:13" x14ac:dyDescent="0.25">
      <c r="A436" s="11">
        <v>43581</v>
      </c>
      <c r="B436" s="10">
        <v>2.125</v>
      </c>
      <c r="C436" s="12">
        <f t="shared" si="30"/>
        <v>2.7066215563073974E-2</v>
      </c>
      <c r="E436" s="20">
        <v>43581</v>
      </c>
      <c r="F436" s="18">
        <v>2.0939999999999999</v>
      </c>
      <c r="G436" s="12">
        <f t="shared" si="31"/>
        <v>1.1105746016417038E-2</v>
      </c>
      <c r="H436" s="18">
        <v>2.0960000000000001</v>
      </c>
      <c r="I436" s="12">
        <f t="shared" si="32"/>
        <v>1.109503135552346E-2</v>
      </c>
      <c r="J436" s="18">
        <v>2.1019999999999999</v>
      </c>
      <c r="K436" s="12">
        <f t="shared" si="33"/>
        <v>1.1063011063010912E-2</v>
      </c>
      <c r="L436" s="18">
        <v>2.109</v>
      </c>
      <c r="M436" s="12">
        <f t="shared" si="34"/>
        <v>1.1025886864813103E-2</v>
      </c>
    </row>
    <row r="437" spans="1:13" x14ac:dyDescent="0.25">
      <c r="A437" s="11">
        <v>43588</v>
      </c>
      <c r="B437" s="10">
        <v>2.02</v>
      </c>
      <c r="C437" s="12">
        <f t="shared" si="30"/>
        <v>-4.9411764705882343E-2</v>
      </c>
      <c r="E437" s="20">
        <v>43588</v>
      </c>
      <c r="F437" s="18">
        <v>2.0760000000000001</v>
      </c>
      <c r="G437" s="12">
        <f t="shared" si="31"/>
        <v>-8.5959885386818514E-3</v>
      </c>
      <c r="H437" s="18">
        <v>2.0760000000000001</v>
      </c>
      <c r="I437" s="12">
        <f t="shared" si="32"/>
        <v>-9.5419847328244364E-3</v>
      </c>
      <c r="J437" s="18">
        <v>2.08</v>
      </c>
      <c r="K437" s="12">
        <f t="shared" si="33"/>
        <v>-1.0466222645099809E-2</v>
      </c>
      <c r="L437" s="18">
        <v>2.0870000000000002</v>
      </c>
      <c r="M437" s="12">
        <f t="shared" si="34"/>
        <v>-1.0431484115694546E-2</v>
      </c>
    </row>
    <row r="438" spans="1:13" x14ac:dyDescent="0.25">
      <c r="A438" s="11">
        <v>43595</v>
      </c>
      <c r="B438" s="10">
        <v>1.921</v>
      </c>
      <c r="C438" s="12">
        <f t="shared" si="30"/>
        <v>-4.9009900990098998E-2</v>
      </c>
      <c r="E438" s="20">
        <v>43595</v>
      </c>
      <c r="F438" s="18">
        <v>2.0510000000000002</v>
      </c>
      <c r="G438" s="12">
        <f t="shared" si="31"/>
        <v>-1.2042389210019225E-2</v>
      </c>
      <c r="H438" s="18">
        <v>2.0529999999999999</v>
      </c>
      <c r="I438" s="12">
        <f t="shared" si="32"/>
        <v>-1.1078998073217789E-2</v>
      </c>
      <c r="J438" s="18">
        <v>2.0569999999999999</v>
      </c>
      <c r="K438" s="12">
        <f t="shared" si="33"/>
        <v>-1.1057692307692371E-2</v>
      </c>
      <c r="L438" s="18">
        <v>2.0649999999999999</v>
      </c>
      <c r="M438" s="12">
        <f t="shared" si="34"/>
        <v>-1.0541447053186506E-2</v>
      </c>
    </row>
    <row r="439" spans="1:13" x14ac:dyDescent="0.25">
      <c r="A439" s="11">
        <v>43602</v>
      </c>
      <c r="B439" s="10">
        <v>1.956</v>
      </c>
      <c r="C439" s="12">
        <f t="shared" si="30"/>
        <v>1.8219677251431504E-2</v>
      </c>
      <c r="E439" s="20">
        <v>43602</v>
      </c>
      <c r="F439" s="18">
        <v>2.08</v>
      </c>
      <c r="G439" s="12">
        <f t="shared" si="31"/>
        <v>1.4139444173573823E-2</v>
      </c>
      <c r="H439" s="18">
        <v>2.0819999999999999</v>
      </c>
      <c r="I439" s="12">
        <f t="shared" si="32"/>
        <v>1.4125669751583008E-2</v>
      </c>
      <c r="J439" s="18">
        <v>2.085</v>
      </c>
      <c r="K439" s="12">
        <f t="shared" si="33"/>
        <v>1.3612056392805069E-2</v>
      </c>
      <c r="L439" s="18">
        <v>2.0910000000000002</v>
      </c>
      <c r="M439" s="12">
        <f t="shared" si="34"/>
        <v>1.2590799031477116E-2</v>
      </c>
    </row>
    <row r="440" spans="1:13" x14ac:dyDescent="0.25">
      <c r="A440" s="11">
        <v>43609</v>
      </c>
      <c r="B440" s="10">
        <v>1.911</v>
      </c>
      <c r="C440" s="12">
        <f t="shared" si="30"/>
        <v>-2.3006134969325118E-2</v>
      </c>
      <c r="E440" s="20">
        <v>43609</v>
      </c>
      <c r="F440" s="18">
        <v>2.0270000000000001</v>
      </c>
      <c r="G440" s="12">
        <f t="shared" si="31"/>
        <v>-2.5480769230769199E-2</v>
      </c>
      <c r="H440" s="18">
        <v>2.0289999999999999</v>
      </c>
      <c r="I440" s="12">
        <f t="shared" si="32"/>
        <v>-2.5456292026897184E-2</v>
      </c>
      <c r="J440" s="18">
        <v>2.0329999999999999</v>
      </c>
      <c r="K440" s="12">
        <f t="shared" si="33"/>
        <v>-2.4940047961630719E-2</v>
      </c>
      <c r="L440" s="18">
        <v>2.0390000000000001</v>
      </c>
      <c r="M440" s="12">
        <f t="shared" si="34"/>
        <v>-2.4868483978957457E-2</v>
      </c>
    </row>
    <row r="441" spans="1:13" x14ac:dyDescent="0.25">
      <c r="A441" s="11">
        <v>43616</v>
      </c>
      <c r="B441" s="10">
        <v>1.83</v>
      </c>
      <c r="C441" s="12">
        <f t="shared" si="30"/>
        <v>-4.238618524332808E-2</v>
      </c>
      <c r="E441" s="20">
        <v>43616</v>
      </c>
      <c r="F441" s="18">
        <v>1.929</v>
      </c>
      <c r="G441" s="12">
        <f t="shared" si="31"/>
        <v>-4.8347311297484007E-2</v>
      </c>
      <c r="H441" s="18">
        <v>1.93</v>
      </c>
      <c r="I441" s="12">
        <f t="shared" si="32"/>
        <v>-4.8792508624938384E-2</v>
      </c>
      <c r="J441" s="18">
        <v>1.9350000000000001</v>
      </c>
      <c r="K441" s="12">
        <f t="shared" si="33"/>
        <v>-4.8204623708804656E-2</v>
      </c>
      <c r="L441" s="18">
        <v>1.9430000000000001</v>
      </c>
      <c r="M441" s="12">
        <f t="shared" si="34"/>
        <v>-4.708190289357532E-2</v>
      </c>
    </row>
    <row r="442" spans="1:13" x14ac:dyDescent="0.25">
      <c r="A442" s="11">
        <v>43623</v>
      </c>
      <c r="B442" s="10">
        <v>1.6459999999999999</v>
      </c>
      <c r="C442" s="12">
        <f t="shared" si="30"/>
        <v>-0.10054644808743178</v>
      </c>
      <c r="E442" s="20">
        <v>43623</v>
      </c>
      <c r="F442" s="18">
        <v>1.804</v>
      </c>
      <c r="G442" s="12">
        <f t="shared" si="31"/>
        <v>-6.4800414722654229E-2</v>
      </c>
      <c r="H442" s="18">
        <v>1.81</v>
      </c>
      <c r="I442" s="12">
        <f t="shared" si="32"/>
        <v>-6.2176165803108752E-2</v>
      </c>
      <c r="J442" s="18">
        <v>1.819</v>
      </c>
      <c r="K442" s="12">
        <f t="shared" si="33"/>
        <v>-5.9948320413436743E-2</v>
      </c>
      <c r="L442" s="18">
        <v>1.8280000000000001</v>
      </c>
      <c r="M442" s="12">
        <f t="shared" si="34"/>
        <v>-5.9186824498198655E-2</v>
      </c>
    </row>
    <row r="443" spans="1:13" x14ac:dyDescent="0.25">
      <c r="A443" s="11">
        <v>43630</v>
      </c>
      <c r="B443" s="10">
        <v>1.6830000000000001</v>
      </c>
      <c r="C443" s="12">
        <f t="shared" si="30"/>
        <v>2.2478736330498267E-2</v>
      </c>
      <c r="E443" s="20">
        <v>43630</v>
      </c>
      <c r="F443" s="18">
        <v>1.8089999999999999</v>
      </c>
      <c r="G443" s="12">
        <f t="shared" si="31"/>
        <v>2.7716186252771027E-3</v>
      </c>
      <c r="H443" s="18">
        <v>1.8160000000000001</v>
      </c>
      <c r="I443" s="12">
        <f t="shared" si="32"/>
        <v>3.3149171270718258E-3</v>
      </c>
      <c r="J443" s="18">
        <v>1.8240000000000001</v>
      </c>
      <c r="K443" s="12">
        <f t="shared" si="33"/>
        <v>2.7487630566245826E-3</v>
      </c>
      <c r="L443" s="18">
        <v>1.8320000000000001</v>
      </c>
      <c r="M443" s="12">
        <f t="shared" si="34"/>
        <v>2.1881838074398266E-3</v>
      </c>
    </row>
    <row r="444" spans="1:13" x14ac:dyDescent="0.25">
      <c r="A444" s="11">
        <v>43637</v>
      </c>
      <c r="B444" s="10">
        <v>1.742</v>
      </c>
      <c r="C444" s="12">
        <f t="shared" si="30"/>
        <v>3.5056446821152665E-2</v>
      </c>
      <c r="E444" s="20">
        <v>43637</v>
      </c>
      <c r="F444" s="18">
        <v>1.851</v>
      </c>
      <c r="G444" s="12">
        <f t="shared" si="31"/>
        <v>2.3217247097844135E-2</v>
      </c>
      <c r="H444" s="18">
        <v>1.8580000000000001</v>
      </c>
      <c r="I444" s="12">
        <f t="shared" si="32"/>
        <v>2.3127753303964778E-2</v>
      </c>
      <c r="J444" s="18">
        <v>1.8660000000000001</v>
      </c>
      <c r="K444" s="12">
        <f t="shared" si="33"/>
        <v>2.3026315789473704E-2</v>
      </c>
      <c r="L444" s="18">
        <v>1.875</v>
      </c>
      <c r="M444" s="12">
        <f t="shared" si="34"/>
        <v>2.3471615720523975E-2</v>
      </c>
    </row>
    <row r="445" spans="1:13" x14ac:dyDescent="0.25">
      <c r="A445" s="11">
        <v>43644</v>
      </c>
      <c r="B445" s="10">
        <v>1.89</v>
      </c>
      <c r="C445" s="12">
        <f t="shared" si="30"/>
        <v>8.495981630309983E-2</v>
      </c>
      <c r="E445" s="20">
        <v>43644</v>
      </c>
      <c r="F445" s="18">
        <v>1.94</v>
      </c>
      <c r="G445" s="12">
        <f t="shared" si="31"/>
        <v>4.8082117774176106E-2</v>
      </c>
      <c r="H445" s="18">
        <v>1.9450000000000001</v>
      </c>
      <c r="I445" s="12">
        <f t="shared" si="32"/>
        <v>4.6824542518837442E-2</v>
      </c>
      <c r="J445" s="18">
        <v>1.9530000000000001</v>
      </c>
      <c r="K445" s="12">
        <f t="shared" si="33"/>
        <v>4.6623794212218628E-2</v>
      </c>
      <c r="L445" s="18">
        <v>1.96</v>
      </c>
      <c r="M445" s="12">
        <f t="shared" si="34"/>
        <v>4.5333333333333316E-2</v>
      </c>
    </row>
    <row r="446" spans="1:13" x14ac:dyDescent="0.25">
      <c r="A446" s="11">
        <v>43651</v>
      </c>
      <c r="B446" s="10">
        <v>1.9079999999999999</v>
      </c>
      <c r="C446" s="12">
        <f t="shared" si="30"/>
        <v>9.5238095238095333E-3</v>
      </c>
      <c r="E446" s="20">
        <v>43651</v>
      </c>
      <c r="F446" s="18">
        <v>1.911</v>
      </c>
      <c r="G446" s="12">
        <f t="shared" si="31"/>
        <v>-1.494845360824738E-2</v>
      </c>
      <c r="H446" s="18">
        <v>1.9179999999999999</v>
      </c>
      <c r="I446" s="12">
        <f t="shared" si="32"/>
        <v>-1.3881748071979503E-2</v>
      </c>
      <c r="J446" s="18">
        <v>1.925</v>
      </c>
      <c r="K446" s="12">
        <f t="shared" si="33"/>
        <v>-1.4336917562724026E-2</v>
      </c>
      <c r="L446" s="18">
        <v>1.931</v>
      </c>
      <c r="M446" s="12">
        <f t="shared" si="34"/>
        <v>-1.4795918367346896E-2</v>
      </c>
    </row>
    <row r="447" spans="1:13" x14ac:dyDescent="0.25">
      <c r="A447" s="11">
        <v>43658</v>
      </c>
      <c r="B447" s="10">
        <v>1.9510000000000001</v>
      </c>
      <c r="C447" s="12">
        <f t="shared" si="30"/>
        <v>2.2536687631027334E-2</v>
      </c>
      <c r="E447" s="20">
        <v>43658</v>
      </c>
      <c r="F447" s="18">
        <v>1.9510000000000001</v>
      </c>
      <c r="G447" s="12">
        <f t="shared" si="31"/>
        <v>2.0931449502878091E-2</v>
      </c>
      <c r="H447" s="18">
        <v>1.958</v>
      </c>
      <c r="I447" s="12">
        <f t="shared" si="32"/>
        <v>2.0855057351407736E-2</v>
      </c>
      <c r="J447" s="18">
        <v>1.9650000000000001</v>
      </c>
      <c r="K447" s="12">
        <f t="shared" si="33"/>
        <v>2.0779220779220797E-2</v>
      </c>
      <c r="L447" s="18">
        <v>1.97</v>
      </c>
      <c r="M447" s="12">
        <f t="shared" si="34"/>
        <v>2.0196789228379038E-2</v>
      </c>
    </row>
    <row r="448" spans="1:13" x14ac:dyDescent="0.25">
      <c r="A448" s="11">
        <v>43665</v>
      </c>
      <c r="B448" s="10">
        <v>1.8620000000000001</v>
      </c>
      <c r="C448" s="12">
        <f t="shared" si="30"/>
        <v>-4.5617631983598139E-2</v>
      </c>
      <c r="E448" s="20">
        <v>43665</v>
      </c>
      <c r="F448" s="18">
        <v>1.9</v>
      </c>
      <c r="G448" s="12">
        <f t="shared" si="31"/>
        <v>-2.6140440799590034E-2</v>
      </c>
      <c r="H448" s="18">
        <v>1.9079999999999999</v>
      </c>
      <c r="I448" s="12">
        <f t="shared" si="32"/>
        <v>-2.5536261491317696E-2</v>
      </c>
      <c r="J448" s="18">
        <v>1.915</v>
      </c>
      <c r="K448" s="12">
        <f t="shared" si="33"/>
        <v>-2.5445292620865163E-2</v>
      </c>
      <c r="L448" s="18">
        <v>1.92</v>
      </c>
      <c r="M448" s="12">
        <f t="shared" si="34"/>
        <v>-2.5380710659898501E-2</v>
      </c>
    </row>
    <row r="449" spans="1:13" x14ac:dyDescent="0.25">
      <c r="A449" s="11">
        <v>43672</v>
      </c>
      <c r="B449" s="10">
        <v>1.8480000000000001</v>
      </c>
      <c r="C449" s="12">
        <f t="shared" si="30"/>
        <v>-7.5187969924812095E-3</v>
      </c>
      <c r="E449" s="20">
        <v>43672</v>
      </c>
      <c r="F449" s="18">
        <v>1.91</v>
      </c>
      <c r="G449" s="12">
        <f t="shared" si="31"/>
        <v>5.2631578947368472E-3</v>
      </c>
      <c r="H449" s="18">
        <v>1.9179999999999999</v>
      </c>
      <c r="I449" s="12">
        <f t="shared" si="32"/>
        <v>5.2410901467505287E-3</v>
      </c>
      <c r="J449" s="18">
        <v>1.9239999999999999</v>
      </c>
      <c r="K449" s="12">
        <f t="shared" si="33"/>
        <v>4.6997389033942016E-3</v>
      </c>
      <c r="L449" s="18">
        <v>1.9279999999999999</v>
      </c>
      <c r="M449" s="12">
        <f t="shared" si="34"/>
        <v>4.1666666666666709E-3</v>
      </c>
    </row>
    <row r="450" spans="1:13" x14ac:dyDescent="0.25">
      <c r="A450" s="11">
        <v>43679</v>
      </c>
      <c r="B450" s="10">
        <v>1.8360000000000001</v>
      </c>
      <c r="C450" s="12">
        <f t="shared" si="30"/>
        <v>-6.4935064935064991E-3</v>
      </c>
      <c r="E450" s="20">
        <v>43679</v>
      </c>
      <c r="F450" s="18">
        <v>1.911</v>
      </c>
      <c r="G450" s="12">
        <f t="shared" si="31"/>
        <v>5.2356020942414237E-4</v>
      </c>
      <c r="H450" s="18">
        <v>1.92</v>
      </c>
      <c r="I450" s="12">
        <f t="shared" si="32"/>
        <v>1.0427528675703867E-3</v>
      </c>
      <c r="J450" s="18">
        <v>1.925</v>
      </c>
      <c r="K450" s="12">
        <f t="shared" si="33"/>
        <v>5.1975051975057789E-4</v>
      </c>
      <c r="L450" s="18">
        <v>1.927</v>
      </c>
      <c r="M450" s="12">
        <f t="shared" si="34"/>
        <v>-5.1867219917006734E-4</v>
      </c>
    </row>
    <row r="451" spans="1:13" x14ac:dyDescent="0.25">
      <c r="A451" s="11">
        <v>43686</v>
      </c>
      <c r="B451" s="10">
        <v>1.6879999999999999</v>
      </c>
      <c r="C451" s="12">
        <f t="shared" si="30"/>
        <v>-8.0610021786492445E-2</v>
      </c>
      <c r="E451" s="20">
        <v>43686</v>
      </c>
      <c r="F451" s="18">
        <v>1.7989999999999999</v>
      </c>
      <c r="G451" s="12">
        <f t="shared" si="31"/>
        <v>-5.8608058608058657E-2</v>
      </c>
      <c r="H451" s="18">
        <v>1.806</v>
      </c>
      <c r="I451" s="12">
        <f t="shared" si="32"/>
        <v>-5.9374999999999942E-2</v>
      </c>
      <c r="J451" s="18">
        <v>1.8089999999999999</v>
      </c>
      <c r="K451" s="12">
        <f t="shared" si="33"/>
        <v>-6.0259740259740312E-2</v>
      </c>
      <c r="L451" s="18">
        <v>1.8109999999999999</v>
      </c>
      <c r="M451" s="12">
        <f t="shared" si="34"/>
        <v>-6.0197197716658067E-2</v>
      </c>
    </row>
    <row r="452" spans="1:13" x14ac:dyDescent="0.25">
      <c r="A452" s="11">
        <v>43693</v>
      </c>
      <c r="B452" s="10">
        <v>1.6819999999999999</v>
      </c>
      <c r="C452" s="12">
        <f t="shared" si="30"/>
        <v>-3.5545023696682498E-3</v>
      </c>
      <c r="E452" s="20">
        <v>43693</v>
      </c>
      <c r="F452" s="18">
        <v>1.83</v>
      </c>
      <c r="G452" s="12">
        <f t="shared" si="31"/>
        <v>1.7231795441912251E-2</v>
      </c>
      <c r="H452" s="18">
        <v>1.837</v>
      </c>
      <c r="I452" s="12">
        <f t="shared" si="32"/>
        <v>1.7165005537098512E-2</v>
      </c>
      <c r="J452" s="18">
        <v>1.841</v>
      </c>
      <c r="K452" s="12">
        <f t="shared" si="33"/>
        <v>1.768933112216696E-2</v>
      </c>
      <c r="L452" s="18">
        <v>1.843</v>
      </c>
      <c r="M452" s="12">
        <f t="shared" si="34"/>
        <v>1.7669795692987315E-2</v>
      </c>
    </row>
    <row r="453" spans="1:13" x14ac:dyDescent="0.25">
      <c r="A453" s="11">
        <v>43700</v>
      </c>
      <c r="B453" s="10">
        <v>1.6950000000000001</v>
      </c>
      <c r="C453" s="12">
        <f t="shared" ref="C453:C516" si="35">(B453-B452)/B452</f>
        <v>7.7288941736029272E-3</v>
      </c>
      <c r="E453" s="20">
        <v>43700</v>
      </c>
      <c r="F453" s="18">
        <v>1.84</v>
      </c>
      <c r="G453" s="12">
        <f t="shared" ref="G453:G516" si="36">(F453-F452)/F452</f>
        <v>5.4644808743169442E-3</v>
      </c>
      <c r="H453" s="18">
        <v>1.847</v>
      </c>
      <c r="I453" s="12">
        <f t="shared" ref="I453:I516" si="37">(H453-H452)/H452</f>
        <v>5.443658138268922E-3</v>
      </c>
      <c r="J453" s="18">
        <v>1.851</v>
      </c>
      <c r="K453" s="12">
        <f t="shared" ref="K453:K516" si="38">(J453-J452)/J452</f>
        <v>5.431830526887566E-3</v>
      </c>
      <c r="L453" s="18">
        <v>1.8520000000000001</v>
      </c>
      <c r="M453" s="12">
        <f t="shared" ref="M453:M516" si="39">(L453-L452)/L452</f>
        <v>4.8833423765600216E-3</v>
      </c>
    </row>
    <row r="454" spans="1:13" x14ac:dyDescent="0.25">
      <c r="A454" s="11">
        <v>43707</v>
      </c>
      <c r="B454" s="10">
        <v>1.679</v>
      </c>
      <c r="C454" s="12">
        <f t="shared" si="35"/>
        <v>-9.4395280235988286E-3</v>
      </c>
      <c r="E454" s="20">
        <v>43707</v>
      </c>
      <c r="F454" s="18">
        <v>1.83</v>
      </c>
      <c r="G454" s="12">
        <f t="shared" si="36"/>
        <v>-5.4347826086956564E-3</v>
      </c>
      <c r="H454" s="18">
        <v>1.8380000000000001</v>
      </c>
      <c r="I454" s="12">
        <f t="shared" si="37"/>
        <v>-4.8727666486193272E-3</v>
      </c>
      <c r="J454" s="18">
        <v>1.84</v>
      </c>
      <c r="K454" s="12">
        <f t="shared" si="38"/>
        <v>-5.9427336574823875E-3</v>
      </c>
      <c r="L454" s="18">
        <v>1.841</v>
      </c>
      <c r="M454" s="12">
        <f t="shared" si="39"/>
        <v>-5.9395248380130243E-3</v>
      </c>
    </row>
    <row r="455" spans="1:13" x14ac:dyDescent="0.25">
      <c r="A455" s="11">
        <v>43714</v>
      </c>
      <c r="B455" s="10">
        <v>1.641</v>
      </c>
      <c r="C455" s="12">
        <f t="shared" si="35"/>
        <v>-2.2632519356759997E-2</v>
      </c>
      <c r="E455" s="20">
        <v>43714</v>
      </c>
      <c r="F455" s="18">
        <v>1.8680000000000001</v>
      </c>
      <c r="G455" s="12">
        <f t="shared" si="36"/>
        <v>2.076502732240439E-2</v>
      </c>
      <c r="H455" s="18">
        <v>1.869</v>
      </c>
      <c r="I455" s="12">
        <f t="shared" si="37"/>
        <v>1.6866158868335101E-2</v>
      </c>
      <c r="J455" s="18">
        <v>1.87</v>
      </c>
      <c r="K455" s="12">
        <f t="shared" si="38"/>
        <v>1.630434782608697E-2</v>
      </c>
      <c r="L455" s="18">
        <v>1.869</v>
      </c>
      <c r="M455" s="12">
        <f t="shared" si="39"/>
        <v>1.5209125475285185E-2</v>
      </c>
    </row>
    <row r="456" spans="1:13" x14ac:dyDescent="0.25">
      <c r="A456" s="11">
        <v>43721</v>
      </c>
      <c r="B456" s="10">
        <v>1.704</v>
      </c>
      <c r="C456" s="12">
        <f t="shared" si="35"/>
        <v>3.839122486288845E-2</v>
      </c>
      <c r="E456" s="20">
        <v>43721</v>
      </c>
      <c r="F456" s="18">
        <v>1.905</v>
      </c>
      <c r="G456" s="12">
        <f t="shared" si="36"/>
        <v>1.9807280513918588E-2</v>
      </c>
      <c r="H456" s="18">
        <v>1.905</v>
      </c>
      <c r="I456" s="12">
        <f t="shared" si="37"/>
        <v>1.9261637239165345E-2</v>
      </c>
      <c r="J456" s="18">
        <v>1.9039999999999999</v>
      </c>
      <c r="K456" s="12">
        <f t="shared" si="38"/>
        <v>1.8181818181818077E-2</v>
      </c>
      <c r="L456" s="18">
        <v>1.9019999999999999</v>
      </c>
      <c r="M456" s="12">
        <f t="shared" si="39"/>
        <v>1.7656500802568174E-2</v>
      </c>
    </row>
    <row r="457" spans="1:13" x14ac:dyDescent="0.25">
      <c r="A457" s="11">
        <v>43728</v>
      </c>
      <c r="B457" s="10">
        <v>1.8080000000000001</v>
      </c>
      <c r="C457" s="12">
        <f t="shared" si="35"/>
        <v>6.1032863849765313E-2</v>
      </c>
      <c r="E457" s="20">
        <v>43728</v>
      </c>
      <c r="F457" s="18">
        <v>2.008</v>
      </c>
      <c r="G457" s="12">
        <f t="shared" si="36"/>
        <v>5.4068241469816265E-2</v>
      </c>
      <c r="H457" s="18">
        <v>2.004</v>
      </c>
      <c r="I457" s="12">
        <f t="shared" si="37"/>
        <v>5.1968503937007859E-2</v>
      </c>
      <c r="J457" s="18">
        <v>1.998</v>
      </c>
      <c r="K457" s="12">
        <f t="shared" si="38"/>
        <v>4.9369747899159711E-2</v>
      </c>
      <c r="L457" s="18">
        <v>1.99</v>
      </c>
      <c r="M457" s="12">
        <f t="shared" si="39"/>
        <v>4.6267087276551044E-2</v>
      </c>
    </row>
    <row r="458" spans="1:13" x14ac:dyDescent="0.25">
      <c r="A458" s="11">
        <v>43735</v>
      </c>
      <c r="B458" s="10">
        <v>1.754</v>
      </c>
      <c r="C458" s="12">
        <f t="shared" si="35"/>
        <v>-2.9867256637168167E-2</v>
      </c>
      <c r="E458" s="20">
        <v>43735</v>
      </c>
      <c r="F458" s="18">
        <v>1.9630000000000001</v>
      </c>
      <c r="G458" s="12">
        <f t="shared" si="36"/>
        <v>-2.2410358565737018E-2</v>
      </c>
      <c r="H458" s="18">
        <v>1.958</v>
      </c>
      <c r="I458" s="12">
        <f t="shared" si="37"/>
        <v>-2.2954091816367286E-2</v>
      </c>
      <c r="J458" s="18">
        <v>1.9510000000000001</v>
      </c>
      <c r="K458" s="12">
        <f t="shared" si="38"/>
        <v>-2.3523523523523489E-2</v>
      </c>
      <c r="L458" s="18">
        <v>1.9419999999999999</v>
      </c>
      <c r="M458" s="12">
        <f t="shared" si="39"/>
        <v>-2.41206030150754E-2</v>
      </c>
    </row>
    <row r="459" spans="1:13" x14ac:dyDescent="0.25">
      <c r="A459" s="11">
        <v>43742</v>
      </c>
      <c r="B459" s="10">
        <v>1.68</v>
      </c>
      <c r="C459" s="12">
        <f t="shared" si="35"/>
        <v>-4.2189281641961271E-2</v>
      </c>
      <c r="E459" s="20">
        <v>43742</v>
      </c>
      <c r="F459" s="18">
        <v>1.89</v>
      </c>
      <c r="G459" s="12">
        <f t="shared" si="36"/>
        <v>-3.7187977585328665E-2</v>
      </c>
      <c r="H459" s="18">
        <v>1.8779999999999999</v>
      </c>
      <c r="I459" s="12">
        <f t="shared" si="37"/>
        <v>-4.0858018386108308E-2</v>
      </c>
      <c r="J459" s="18">
        <v>1.8660000000000001</v>
      </c>
      <c r="K459" s="12">
        <f t="shared" si="38"/>
        <v>-4.3567401332649906E-2</v>
      </c>
      <c r="L459" s="18">
        <v>1.8520000000000001</v>
      </c>
      <c r="M459" s="12">
        <f t="shared" si="39"/>
        <v>-4.6343975283213108E-2</v>
      </c>
    </row>
    <row r="460" spans="1:13" x14ac:dyDescent="0.25">
      <c r="A460" s="11">
        <v>43749</v>
      </c>
      <c r="B460" s="10">
        <v>1.7090000000000001</v>
      </c>
      <c r="C460" s="12">
        <f t="shared" si="35"/>
        <v>1.7261904761904843E-2</v>
      </c>
      <c r="E460" s="20">
        <v>43749</v>
      </c>
      <c r="F460" s="18">
        <v>1.9219999999999999</v>
      </c>
      <c r="G460" s="12">
        <f t="shared" si="36"/>
        <v>1.6931216931216946E-2</v>
      </c>
      <c r="H460" s="18">
        <v>1.9039999999999999</v>
      </c>
      <c r="I460" s="12">
        <f t="shared" si="37"/>
        <v>1.3844515441959545E-2</v>
      </c>
      <c r="J460" s="18">
        <v>1.887</v>
      </c>
      <c r="K460" s="12">
        <f t="shared" si="38"/>
        <v>1.1254019292604452E-2</v>
      </c>
      <c r="L460" s="18">
        <v>1.87</v>
      </c>
      <c r="M460" s="12">
        <f t="shared" si="39"/>
        <v>9.7192224622030324E-3</v>
      </c>
    </row>
    <row r="461" spans="1:13" x14ac:dyDescent="0.25">
      <c r="A461" s="11">
        <v>43756</v>
      </c>
      <c r="B461" s="10">
        <v>1.74</v>
      </c>
      <c r="C461" s="12">
        <f t="shared" si="35"/>
        <v>1.8139262726740733E-2</v>
      </c>
      <c r="E461" s="20">
        <v>43756</v>
      </c>
      <c r="F461" s="18">
        <v>1.9330000000000001</v>
      </c>
      <c r="G461" s="12">
        <f t="shared" si="36"/>
        <v>5.7232049947971491E-3</v>
      </c>
      <c r="H461" s="18">
        <v>1.92</v>
      </c>
      <c r="I461" s="12">
        <f t="shared" si="37"/>
        <v>8.4033613445378234E-3</v>
      </c>
      <c r="J461" s="18">
        <v>1.9079999999999999</v>
      </c>
      <c r="K461" s="12">
        <f t="shared" si="38"/>
        <v>1.1128775834658138E-2</v>
      </c>
      <c r="L461" s="18">
        <v>1.893</v>
      </c>
      <c r="M461" s="12">
        <f t="shared" si="39"/>
        <v>1.2299465240641662E-2</v>
      </c>
    </row>
    <row r="462" spans="1:13" x14ac:dyDescent="0.25">
      <c r="A462" s="11">
        <v>43763</v>
      </c>
      <c r="B462" s="10">
        <v>1.752</v>
      </c>
      <c r="C462" s="12">
        <f t="shared" si="35"/>
        <v>6.896551724137937E-3</v>
      </c>
      <c r="E462" s="20">
        <v>43763</v>
      </c>
      <c r="F462" s="18">
        <v>1.9630000000000001</v>
      </c>
      <c r="G462" s="12">
        <f t="shared" si="36"/>
        <v>1.5519917227108136E-2</v>
      </c>
      <c r="H462" s="18">
        <v>1.95</v>
      </c>
      <c r="I462" s="12">
        <f t="shared" si="37"/>
        <v>1.5625000000000014E-2</v>
      </c>
      <c r="J462" s="18">
        <v>1.9390000000000001</v>
      </c>
      <c r="K462" s="12">
        <f t="shared" si="38"/>
        <v>1.62473794549267E-2</v>
      </c>
      <c r="L462" s="18">
        <v>1.9239999999999999</v>
      </c>
      <c r="M462" s="12">
        <f t="shared" si="39"/>
        <v>1.6376122556788122E-2</v>
      </c>
    </row>
    <row r="463" spans="1:13" x14ac:dyDescent="0.25">
      <c r="A463" s="11">
        <v>43770</v>
      </c>
      <c r="B463" s="10">
        <v>1.76</v>
      </c>
      <c r="C463" s="12">
        <f t="shared" si="35"/>
        <v>4.5662100456621045E-3</v>
      </c>
      <c r="E463" s="20">
        <v>43770</v>
      </c>
      <c r="F463" s="18">
        <v>1.929</v>
      </c>
      <c r="G463" s="12">
        <f t="shared" si="36"/>
        <v>-1.7320427916454422E-2</v>
      </c>
      <c r="H463" s="18">
        <v>1.92</v>
      </c>
      <c r="I463" s="12">
        <f t="shared" si="37"/>
        <v>-1.5384615384615399E-2</v>
      </c>
      <c r="J463" s="18">
        <v>1.9119999999999999</v>
      </c>
      <c r="K463" s="12">
        <f t="shared" si="38"/>
        <v>-1.3924703455389445E-2</v>
      </c>
      <c r="L463" s="18">
        <v>1.899</v>
      </c>
      <c r="M463" s="12">
        <f t="shared" si="39"/>
        <v>-1.2993762993762948E-2</v>
      </c>
    </row>
    <row r="464" spans="1:13" x14ac:dyDescent="0.25">
      <c r="A464" s="11">
        <v>43777</v>
      </c>
      <c r="B464" s="10">
        <v>1.7549999999999999</v>
      </c>
      <c r="C464" s="12">
        <f t="shared" si="35"/>
        <v>-2.8409090909091565E-3</v>
      </c>
      <c r="E464" s="20">
        <v>43777</v>
      </c>
      <c r="F464" s="18">
        <v>1.9330000000000001</v>
      </c>
      <c r="G464" s="12">
        <f t="shared" si="36"/>
        <v>2.0736132711249369E-3</v>
      </c>
      <c r="H464" s="18">
        <v>1.9259999999999999</v>
      </c>
      <c r="I464" s="12">
        <f t="shared" si="37"/>
        <v>3.1250000000000028E-3</v>
      </c>
      <c r="J464" s="18">
        <v>1.917</v>
      </c>
      <c r="K464" s="12">
        <f t="shared" si="38"/>
        <v>2.6150627615063367E-3</v>
      </c>
      <c r="L464" s="18">
        <v>1.901</v>
      </c>
      <c r="M464" s="12">
        <f t="shared" si="39"/>
        <v>1.0531858873091111E-3</v>
      </c>
    </row>
    <row r="465" spans="1:13" x14ac:dyDescent="0.25">
      <c r="A465" s="11">
        <v>43784</v>
      </c>
      <c r="B465" s="10">
        <v>1.708</v>
      </c>
      <c r="C465" s="12">
        <f t="shared" si="35"/>
        <v>-2.6780626780626742E-2</v>
      </c>
      <c r="E465" s="20">
        <v>43784</v>
      </c>
      <c r="F465" s="18">
        <v>1.9179999999999999</v>
      </c>
      <c r="G465" s="12">
        <f t="shared" si="36"/>
        <v>-7.759958613554125E-3</v>
      </c>
      <c r="H465" s="18">
        <v>1.9139999999999999</v>
      </c>
      <c r="I465" s="12">
        <f t="shared" si="37"/>
        <v>-6.2305295950155822E-3</v>
      </c>
      <c r="J465" s="18">
        <v>1.9079999999999999</v>
      </c>
      <c r="K465" s="12">
        <f t="shared" si="38"/>
        <v>-4.6948356807512354E-3</v>
      </c>
      <c r="L465" s="18">
        <v>1.8959999999999999</v>
      </c>
      <c r="M465" s="12">
        <f t="shared" si="39"/>
        <v>-2.6301946344030065E-3</v>
      </c>
    </row>
    <row r="466" spans="1:13" x14ac:dyDescent="0.25">
      <c r="A466" s="11">
        <v>43791</v>
      </c>
      <c r="B466" s="10">
        <v>1.7070000000000001</v>
      </c>
      <c r="C466" s="12">
        <f t="shared" si="35"/>
        <v>-5.8548009367675048E-4</v>
      </c>
      <c r="E466" s="20">
        <v>43791</v>
      </c>
      <c r="F466" s="18">
        <v>1.9059999999999999</v>
      </c>
      <c r="G466" s="12">
        <f t="shared" si="36"/>
        <v>-6.2565172054223203E-3</v>
      </c>
      <c r="H466" s="18">
        <v>1.9039999999999999</v>
      </c>
      <c r="I466" s="12">
        <f t="shared" si="37"/>
        <v>-5.2246603970741946E-3</v>
      </c>
      <c r="J466" s="18">
        <v>1.899</v>
      </c>
      <c r="K466" s="12">
        <f t="shared" si="38"/>
        <v>-4.7169811320754177E-3</v>
      </c>
      <c r="L466" s="18">
        <v>1.889</v>
      </c>
      <c r="M466" s="12">
        <f t="shared" si="39"/>
        <v>-3.6919831223628141E-3</v>
      </c>
    </row>
    <row r="467" spans="1:13" x14ac:dyDescent="0.25">
      <c r="A467" s="11">
        <v>43798</v>
      </c>
      <c r="B467" s="10">
        <v>1.722</v>
      </c>
      <c r="C467" s="12">
        <f t="shared" si="35"/>
        <v>8.7873462214410666E-3</v>
      </c>
      <c r="E467" s="20">
        <v>43798</v>
      </c>
      <c r="F467" s="18">
        <v>1.9350000000000001</v>
      </c>
      <c r="G467" s="12">
        <f t="shared" si="36"/>
        <v>1.5215110178384122E-2</v>
      </c>
      <c r="H467" s="18">
        <v>1.9339999999999999</v>
      </c>
      <c r="I467" s="12">
        <f t="shared" si="37"/>
        <v>1.5756302521008417E-2</v>
      </c>
      <c r="J467" s="18">
        <v>1.931</v>
      </c>
      <c r="K467" s="12">
        <f t="shared" si="38"/>
        <v>1.6850974196945777E-2</v>
      </c>
      <c r="L467" s="18">
        <v>1.92</v>
      </c>
      <c r="M467" s="12">
        <f t="shared" si="39"/>
        <v>1.6410799364743205E-2</v>
      </c>
    </row>
    <row r="468" spans="1:13" x14ac:dyDescent="0.25">
      <c r="A468" s="11">
        <v>43805</v>
      </c>
      <c r="B468" s="10">
        <v>1.641</v>
      </c>
      <c r="C468" s="12">
        <f t="shared" si="35"/>
        <v>-4.7038327526132385E-2</v>
      </c>
      <c r="E468" s="20">
        <v>43805</v>
      </c>
      <c r="F468" s="18">
        <v>1.915</v>
      </c>
      <c r="G468" s="12">
        <f t="shared" si="36"/>
        <v>-1.0335917312661508E-2</v>
      </c>
      <c r="H468" s="18">
        <v>1.913</v>
      </c>
      <c r="I468" s="12">
        <f t="shared" si="37"/>
        <v>-1.0858324715615257E-2</v>
      </c>
      <c r="J468" s="18">
        <v>1.9039999999999999</v>
      </c>
      <c r="K468" s="12">
        <f t="shared" si="38"/>
        <v>-1.3982392542724046E-2</v>
      </c>
      <c r="L468" s="18">
        <v>1.889</v>
      </c>
      <c r="M468" s="12">
        <f t="shared" si="39"/>
        <v>-1.614583333333329E-2</v>
      </c>
    </row>
    <row r="469" spans="1:13" x14ac:dyDescent="0.25">
      <c r="A469" s="11">
        <v>43812</v>
      </c>
      <c r="B469" s="10">
        <v>1.69</v>
      </c>
      <c r="C469" s="12">
        <f t="shared" si="35"/>
        <v>2.9859841560024334E-2</v>
      </c>
      <c r="E469" s="20">
        <v>43812</v>
      </c>
      <c r="F469" s="18">
        <v>1.9550000000000001</v>
      </c>
      <c r="G469" s="12">
        <f t="shared" si="36"/>
        <v>2.0887728459530044E-2</v>
      </c>
      <c r="H469" s="18">
        <v>1.954</v>
      </c>
      <c r="I469" s="12">
        <f t="shared" si="37"/>
        <v>2.1432305279665408E-2</v>
      </c>
      <c r="J469" s="18">
        <v>1.9470000000000001</v>
      </c>
      <c r="K469" s="12">
        <f t="shared" si="38"/>
        <v>2.2584033613445458E-2</v>
      </c>
      <c r="L469" s="18">
        <v>1.931</v>
      </c>
      <c r="M469" s="12">
        <f t="shared" si="39"/>
        <v>2.223398623610378E-2</v>
      </c>
    </row>
    <row r="470" spans="1:13" x14ac:dyDescent="0.25">
      <c r="A470" s="11">
        <v>43819</v>
      </c>
      <c r="B470" s="10">
        <v>1.7330000000000001</v>
      </c>
      <c r="C470" s="12">
        <f t="shared" si="35"/>
        <v>2.5443786982248608E-2</v>
      </c>
      <c r="E470" s="20">
        <v>43819</v>
      </c>
      <c r="F470" s="18">
        <v>2.0219999999999998</v>
      </c>
      <c r="G470" s="12">
        <f t="shared" si="36"/>
        <v>3.427109974424538E-2</v>
      </c>
      <c r="H470" s="18">
        <v>2.0209999999999999</v>
      </c>
      <c r="I470" s="12">
        <f t="shared" si="37"/>
        <v>3.4288638689866917E-2</v>
      </c>
      <c r="J470" s="18">
        <v>2.0129999999999999</v>
      </c>
      <c r="K470" s="12">
        <f t="shared" si="38"/>
        <v>3.3898305084745679E-2</v>
      </c>
      <c r="L470" s="18">
        <v>1.9950000000000001</v>
      </c>
      <c r="M470" s="12">
        <f t="shared" si="39"/>
        <v>3.3143448990160571E-2</v>
      </c>
    </row>
    <row r="471" spans="1:13" x14ac:dyDescent="0.25">
      <c r="A471" s="11">
        <v>43826</v>
      </c>
      <c r="B471" s="10">
        <v>1.7729999999999999</v>
      </c>
      <c r="C471" s="12">
        <f t="shared" si="35"/>
        <v>2.308136180034611E-2</v>
      </c>
      <c r="E471" s="20">
        <v>43826</v>
      </c>
      <c r="F471" s="18">
        <v>2.0390000000000001</v>
      </c>
      <c r="G471" s="12">
        <f t="shared" si="36"/>
        <v>8.4075173095946344E-3</v>
      </c>
      <c r="H471" s="18">
        <v>2.04</v>
      </c>
      <c r="I471" s="12">
        <f t="shared" si="37"/>
        <v>9.4012864918357891E-3</v>
      </c>
      <c r="J471" s="18">
        <v>2.0339999999999998</v>
      </c>
      <c r="K471" s="12">
        <f t="shared" si="38"/>
        <v>1.0432190760059567E-2</v>
      </c>
      <c r="L471" s="18">
        <v>2.0169999999999999</v>
      </c>
      <c r="M471" s="12">
        <f t="shared" si="39"/>
        <v>1.1027568922305662E-2</v>
      </c>
    </row>
    <row r="472" spans="1:13" x14ac:dyDescent="0.25">
      <c r="A472" s="11">
        <v>43833</v>
      </c>
      <c r="B472" s="10">
        <v>1.768</v>
      </c>
      <c r="C472" s="12">
        <f t="shared" si="35"/>
        <v>-2.8200789622108819E-3</v>
      </c>
      <c r="E472" s="20">
        <v>43833</v>
      </c>
      <c r="F472" s="18">
        <v>2.0430000000000001</v>
      </c>
      <c r="G472" s="12">
        <f t="shared" si="36"/>
        <v>1.9617459538989715E-3</v>
      </c>
      <c r="H472" s="18">
        <v>2.04</v>
      </c>
      <c r="I472" s="12">
        <f t="shared" si="37"/>
        <v>0</v>
      </c>
      <c r="J472" s="18">
        <v>2.0259999999999998</v>
      </c>
      <c r="K472" s="12">
        <f t="shared" si="38"/>
        <v>-3.9331366764995121E-3</v>
      </c>
      <c r="L472" s="18">
        <v>2.012</v>
      </c>
      <c r="M472" s="12">
        <f t="shared" si="39"/>
        <v>-2.4789291026276121E-3</v>
      </c>
    </row>
    <row r="473" spans="1:13" x14ac:dyDescent="0.25">
      <c r="A473" s="11">
        <v>43840</v>
      </c>
      <c r="B473" s="10">
        <v>1.7270000000000001</v>
      </c>
      <c r="C473" s="12">
        <f t="shared" si="35"/>
        <v>-2.3190045248868738E-2</v>
      </c>
      <c r="E473" s="20">
        <v>43840</v>
      </c>
      <c r="F473" s="18">
        <v>1.98</v>
      </c>
      <c r="G473" s="12">
        <f t="shared" si="36"/>
        <v>-3.0837004405286424E-2</v>
      </c>
      <c r="H473" s="18">
        <v>1.9810000000000001</v>
      </c>
      <c r="I473" s="12">
        <f t="shared" si="37"/>
        <v>-2.8921568627450951E-2</v>
      </c>
      <c r="J473" s="18">
        <v>1.974</v>
      </c>
      <c r="K473" s="12">
        <f t="shared" si="38"/>
        <v>-2.5666337611056186E-2</v>
      </c>
      <c r="L473" s="18">
        <v>1.9650000000000001</v>
      </c>
      <c r="M473" s="12">
        <f t="shared" si="39"/>
        <v>-2.3359840954274319E-2</v>
      </c>
    </row>
    <row r="474" spans="1:13" x14ac:dyDescent="0.25">
      <c r="A474" s="11">
        <v>43847</v>
      </c>
      <c r="B474" s="10">
        <v>1.694</v>
      </c>
      <c r="C474" s="12">
        <f t="shared" si="35"/>
        <v>-1.9108280254777149E-2</v>
      </c>
      <c r="E474" s="20">
        <v>43847</v>
      </c>
      <c r="F474" s="18">
        <v>1.881</v>
      </c>
      <c r="G474" s="12">
        <f t="shared" si="36"/>
        <v>-4.9999999999999989E-2</v>
      </c>
      <c r="H474" s="18">
        <v>1.885</v>
      </c>
      <c r="I474" s="12">
        <f t="shared" si="37"/>
        <v>-4.8460373548712812E-2</v>
      </c>
      <c r="J474" s="18">
        <v>1.88</v>
      </c>
      <c r="K474" s="12">
        <f t="shared" si="38"/>
        <v>-4.7619047619047665E-2</v>
      </c>
      <c r="L474" s="18">
        <v>1.875</v>
      </c>
      <c r="M474" s="12">
        <f t="shared" si="39"/>
        <v>-4.5801526717557293E-2</v>
      </c>
    </row>
    <row r="475" spans="1:13" x14ac:dyDescent="0.25">
      <c r="A475" s="11">
        <v>43854</v>
      </c>
      <c r="B475" s="10">
        <v>1.6140000000000001</v>
      </c>
      <c r="C475" s="12">
        <f t="shared" si="35"/>
        <v>-4.7225501770956226E-2</v>
      </c>
      <c r="E475" s="20">
        <v>43854</v>
      </c>
      <c r="F475" s="18">
        <v>1.7889999999999999</v>
      </c>
      <c r="G475" s="12">
        <f t="shared" si="36"/>
        <v>-4.8910154173312112E-2</v>
      </c>
      <c r="H475" s="18">
        <v>1.7929999999999999</v>
      </c>
      <c r="I475" s="12">
        <f t="shared" si="37"/>
        <v>-4.8806366047745402E-2</v>
      </c>
      <c r="J475" s="18">
        <v>1.794</v>
      </c>
      <c r="K475" s="12">
        <f t="shared" si="38"/>
        <v>-4.5744680851063757E-2</v>
      </c>
      <c r="L475" s="18">
        <v>1.796</v>
      </c>
      <c r="M475" s="12">
        <f t="shared" si="39"/>
        <v>-4.2133333333333314E-2</v>
      </c>
    </row>
    <row r="476" spans="1:13" x14ac:dyDescent="0.25">
      <c r="A476" s="11">
        <v>43861</v>
      </c>
      <c r="B476" s="10">
        <v>1.5449999999999999</v>
      </c>
      <c r="C476" s="12">
        <f t="shared" si="35"/>
        <v>-4.2750929368029843E-2</v>
      </c>
      <c r="E476" s="20">
        <v>43861</v>
      </c>
      <c r="F476" s="18">
        <v>1.673</v>
      </c>
      <c r="G476" s="12">
        <f t="shared" si="36"/>
        <v>-6.4840693124650572E-2</v>
      </c>
      <c r="H476" s="18">
        <v>1.675</v>
      </c>
      <c r="I476" s="12">
        <f t="shared" si="37"/>
        <v>-6.5811489124372499E-2</v>
      </c>
      <c r="J476" s="18">
        <v>1.677</v>
      </c>
      <c r="K476" s="12">
        <f t="shared" si="38"/>
        <v>-6.5217391304347824E-2</v>
      </c>
      <c r="L476" s="18">
        <v>1.68</v>
      </c>
      <c r="M476" s="12">
        <f t="shared" si="39"/>
        <v>-6.4587973273942154E-2</v>
      </c>
    </row>
    <row r="477" spans="1:13" x14ac:dyDescent="0.25">
      <c r="A477" s="11">
        <v>43868</v>
      </c>
      <c r="B477" s="10">
        <v>1.5229999999999999</v>
      </c>
      <c r="C477" s="12">
        <f t="shared" si="35"/>
        <v>-1.4239482200647262E-2</v>
      </c>
      <c r="E477" s="20">
        <v>43868</v>
      </c>
      <c r="F477" s="18">
        <v>1.623</v>
      </c>
      <c r="G477" s="12">
        <f t="shared" si="36"/>
        <v>-2.9886431560071754E-2</v>
      </c>
      <c r="H477" s="18">
        <v>1.6240000000000001</v>
      </c>
      <c r="I477" s="12">
        <f t="shared" si="37"/>
        <v>-3.044776119402981E-2</v>
      </c>
      <c r="J477" s="18">
        <v>1.627</v>
      </c>
      <c r="K477" s="12">
        <f t="shared" si="38"/>
        <v>-2.9815146094215886E-2</v>
      </c>
      <c r="L477" s="18">
        <v>1.633</v>
      </c>
      <c r="M477" s="12">
        <f t="shared" si="39"/>
        <v>-2.7976190476190436E-2</v>
      </c>
    </row>
    <row r="478" spans="1:13" x14ac:dyDescent="0.25">
      <c r="A478" s="11">
        <v>43875</v>
      </c>
      <c r="B478" s="10">
        <v>1.595</v>
      </c>
      <c r="C478" s="12">
        <f t="shared" si="35"/>
        <v>4.727511490479322E-2</v>
      </c>
      <c r="E478" s="20">
        <v>43875</v>
      </c>
      <c r="F478" s="18">
        <v>1.659</v>
      </c>
      <c r="G478" s="12">
        <f t="shared" si="36"/>
        <v>2.2181146025878024E-2</v>
      </c>
      <c r="H478" s="18">
        <v>1.6559999999999999</v>
      </c>
      <c r="I478" s="12">
        <f t="shared" si="37"/>
        <v>1.9704433497536825E-2</v>
      </c>
      <c r="J478" s="18">
        <v>1.6539999999999999</v>
      </c>
      <c r="K478" s="12">
        <f t="shared" si="38"/>
        <v>1.6594960049170198E-2</v>
      </c>
      <c r="L478" s="18">
        <v>1.655</v>
      </c>
      <c r="M478" s="12">
        <f t="shared" si="39"/>
        <v>1.3472137170851207E-2</v>
      </c>
    </row>
    <row r="479" spans="1:13" x14ac:dyDescent="0.25">
      <c r="A479" s="11">
        <v>43882</v>
      </c>
      <c r="B479" s="10">
        <v>1.6879999999999999</v>
      </c>
      <c r="C479" s="12">
        <f t="shared" si="35"/>
        <v>5.8307210031347943E-2</v>
      </c>
      <c r="E479" s="20">
        <v>43882</v>
      </c>
      <c r="F479" s="18">
        <v>1.6910000000000001</v>
      </c>
      <c r="G479" s="12">
        <f t="shared" si="36"/>
        <v>1.928872814948766E-2</v>
      </c>
      <c r="H479" s="18">
        <v>1.6870000000000001</v>
      </c>
      <c r="I479" s="12">
        <f t="shared" si="37"/>
        <v>1.8719806763285107E-2</v>
      </c>
      <c r="J479" s="18">
        <v>1.6830000000000001</v>
      </c>
      <c r="K479" s="12">
        <f t="shared" si="38"/>
        <v>1.7533252720677229E-2</v>
      </c>
      <c r="L479" s="18">
        <v>1.6830000000000001</v>
      </c>
      <c r="M479" s="12">
        <f t="shared" si="39"/>
        <v>1.6918429003021162E-2</v>
      </c>
    </row>
    <row r="480" spans="1:13" x14ac:dyDescent="0.25">
      <c r="A480" s="11">
        <v>43889</v>
      </c>
      <c r="B480" s="10">
        <v>1.5369999999999999</v>
      </c>
      <c r="C480" s="12">
        <f t="shared" si="35"/>
        <v>-8.9454976303317557E-2</v>
      </c>
      <c r="E480" s="20">
        <v>43889</v>
      </c>
      <c r="F480" s="18">
        <v>1.532</v>
      </c>
      <c r="G480" s="12">
        <f t="shared" si="36"/>
        <v>-9.4027202838557075E-2</v>
      </c>
      <c r="H480" s="18">
        <v>1.5269999999999999</v>
      </c>
      <c r="I480" s="12">
        <f t="shared" si="37"/>
        <v>-9.4842916419679985E-2</v>
      </c>
      <c r="J480" s="18">
        <v>1.524</v>
      </c>
      <c r="K480" s="12">
        <f t="shared" si="38"/>
        <v>-9.4474153297682731E-2</v>
      </c>
      <c r="L480" s="18">
        <v>1.526</v>
      </c>
      <c r="M480" s="12">
        <f t="shared" si="39"/>
        <v>-9.328579916815212E-2</v>
      </c>
    </row>
    <row r="481" spans="1:13" x14ac:dyDescent="0.25">
      <c r="A481" s="11">
        <v>43896</v>
      </c>
      <c r="B481" s="10">
        <v>1.492</v>
      </c>
      <c r="C481" s="12">
        <f t="shared" si="35"/>
        <v>-2.9277813923227022E-2</v>
      </c>
      <c r="E481" s="20">
        <v>43896</v>
      </c>
      <c r="F481" s="18">
        <v>1.494</v>
      </c>
      <c r="G481" s="12">
        <f t="shared" si="36"/>
        <v>-2.4804177545691926E-2</v>
      </c>
      <c r="H481" s="18">
        <v>1.488</v>
      </c>
      <c r="I481" s="12">
        <f t="shared" si="37"/>
        <v>-2.5540275049115865E-2</v>
      </c>
      <c r="J481" s="18">
        <v>1.49</v>
      </c>
      <c r="K481" s="12">
        <f t="shared" si="38"/>
        <v>-2.2309711286089259E-2</v>
      </c>
      <c r="L481" s="18">
        <v>1.4970000000000001</v>
      </c>
      <c r="M481" s="12">
        <f t="shared" si="39"/>
        <v>-1.9003931847968489E-2</v>
      </c>
    </row>
    <row r="482" spans="1:13" x14ac:dyDescent="0.25">
      <c r="A482" s="11">
        <v>43903</v>
      </c>
      <c r="B482" s="10">
        <v>1.044</v>
      </c>
      <c r="C482" s="12">
        <f t="shared" si="35"/>
        <v>-0.30026809651474529</v>
      </c>
      <c r="E482" s="20">
        <v>43903</v>
      </c>
      <c r="F482" s="18">
        <v>1.19</v>
      </c>
      <c r="G482" s="12">
        <f t="shared" si="36"/>
        <v>-0.20348058902275773</v>
      </c>
      <c r="H482" s="18">
        <v>1.1950000000000001</v>
      </c>
      <c r="I482" s="12">
        <f t="shared" si="37"/>
        <v>-0.1969086021505376</v>
      </c>
      <c r="J482" s="18">
        <v>1.206</v>
      </c>
      <c r="K482" s="12">
        <f t="shared" si="38"/>
        <v>-0.1906040268456376</v>
      </c>
      <c r="L482" s="18">
        <v>1.2250000000000001</v>
      </c>
      <c r="M482" s="12">
        <f t="shared" si="39"/>
        <v>-0.18169672678690715</v>
      </c>
    </row>
    <row r="483" spans="1:13" x14ac:dyDescent="0.25">
      <c r="A483" s="11">
        <v>43910</v>
      </c>
      <c r="B483" s="10">
        <v>0.66700000000000004</v>
      </c>
      <c r="C483" s="12">
        <f t="shared" si="35"/>
        <v>-0.3611111111111111</v>
      </c>
      <c r="E483" s="20">
        <v>43910</v>
      </c>
      <c r="F483" s="18">
        <v>1.0169999999999999</v>
      </c>
      <c r="G483" s="12">
        <f t="shared" si="36"/>
        <v>-0.14537815126050424</v>
      </c>
      <c r="H483" s="18">
        <v>1.0229999999999999</v>
      </c>
      <c r="I483" s="12">
        <f t="shared" si="37"/>
        <v>-0.14393305439330556</v>
      </c>
      <c r="J483" s="18">
        <v>1.04</v>
      </c>
      <c r="K483" s="12">
        <f t="shared" si="38"/>
        <v>-0.13764510779436148</v>
      </c>
      <c r="L483" s="18">
        <v>1.0649999999999999</v>
      </c>
      <c r="M483" s="12">
        <f t="shared" si="39"/>
        <v>-0.13061224489795928</v>
      </c>
    </row>
    <row r="484" spans="1:13" x14ac:dyDescent="0.25">
      <c r="A484" s="11">
        <v>43917</v>
      </c>
      <c r="B484" s="10">
        <v>0.499</v>
      </c>
      <c r="C484" s="12">
        <f t="shared" si="35"/>
        <v>-0.25187406296851578</v>
      </c>
      <c r="E484" s="20">
        <v>43917</v>
      </c>
      <c r="F484" s="18">
        <v>1.0629999999999999</v>
      </c>
      <c r="G484" s="12">
        <f t="shared" si="36"/>
        <v>4.5231071779744392E-2</v>
      </c>
      <c r="H484" s="18">
        <v>1.0660000000000001</v>
      </c>
      <c r="I484" s="12">
        <f t="shared" si="37"/>
        <v>4.2033235581622828E-2</v>
      </c>
      <c r="J484" s="18">
        <v>1.081</v>
      </c>
      <c r="K484" s="12">
        <f t="shared" si="38"/>
        <v>3.9423076923076852E-2</v>
      </c>
      <c r="L484" s="18">
        <v>1.103</v>
      </c>
      <c r="M484" s="12">
        <f t="shared" si="39"/>
        <v>3.5680751173708954E-2</v>
      </c>
    </row>
    <row r="485" spans="1:13" x14ac:dyDescent="0.25">
      <c r="A485" s="11">
        <v>43924</v>
      </c>
      <c r="B485" s="10">
        <v>0.52800000000000002</v>
      </c>
      <c r="C485" s="12">
        <f t="shared" si="35"/>
        <v>5.8116232464929911E-2</v>
      </c>
      <c r="E485" s="20">
        <v>43924</v>
      </c>
      <c r="F485" s="18">
        <v>1.006</v>
      </c>
      <c r="G485" s="12">
        <f t="shared" si="36"/>
        <v>-5.3621825023518289E-2</v>
      </c>
      <c r="H485" s="18">
        <v>1.0169999999999999</v>
      </c>
      <c r="I485" s="12">
        <f t="shared" si="37"/>
        <v>-4.5966228893058306E-2</v>
      </c>
      <c r="J485" s="18">
        <v>1.0429999999999999</v>
      </c>
      <c r="K485" s="12">
        <f t="shared" si="38"/>
        <v>-3.5152636447733615E-2</v>
      </c>
      <c r="L485" s="18">
        <v>1.075</v>
      </c>
      <c r="M485" s="12">
        <f t="shared" si="39"/>
        <v>-2.5385312783318247E-2</v>
      </c>
    </row>
    <row r="486" spans="1:13" x14ac:dyDescent="0.25">
      <c r="A486" s="11">
        <v>43931</v>
      </c>
      <c r="B486" s="10">
        <v>0.61</v>
      </c>
      <c r="C486" s="12">
        <f t="shared" si="35"/>
        <v>0.15530303030303022</v>
      </c>
      <c r="E486" s="20">
        <v>43931</v>
      </c>
      <c r="F486" s="18">
        <v>1.0149999999999999</v>
      </c>
      <c r="G486" s="12">
        <f t="shared" si="36"/>
        <v>8.9463220675943308E-3</v>
      </c>
      <c r="H486" s="18">
        <v>1.0469999999999999</v>
      </c>
      <c r="I486" s="12">
        <f t="shared" si="37"/>
        <v>2.949852507374634E-2</v>
      </c>
      <c r="J486" s="18">
        <v>1.087</v>
      </c>
      <c r="K486" s="12">
        <f t="shared" si="38"/>
        <v>4.2186001917545582E-2</v>
      </c>
      <c r="L486" s="18">
        <v>1.127</v>
      </c>
      <c r="M486" s="12">
        <f t="shared" si="39"/>
        <v>4.837209302325586E-2</v>
      </c>
    </row>
    <row r="487" spans="1:13" x14ac:dyDescent="0.25">
      <c r="A487" s="11">
        <v>43938</v>
      </c>
      <c r="B487" s="10">
        <v>0.60899999999999999</v>
      </c>
      <c r="C487" s="12">
        <f t="shared" si="35"/>
        <v>-1.6393442622950835E-3</v>
      </c>
      <c r="E487" s="20">
        <v>43938</v>
      </c>
      <c r="F487" s="18">
        <v>0.95099999999999996</v>
      </c>
      <c r="G487" s="12">
        <f t="shared" si="36"/>
        <v>-6.305418719211818E-2</v>
      </c>
      <c r="H487" s="18">
        <v>0.98499999999999999</v>
      </c>
      <c r="I487" s="12">
        <f t="shared" si="37"/>
        <v>-5.921680993314226E-2</v>
      </c>
      <c r="J487" s="18">
        <v>1.0289999999999999</v>
      </c>
      <c r="K487" s="12">
        <f t="shared" si="38"/>
        <v>-5.3357865685372631E-2</v>
      </c>
      <c r="L487" s="18">
        <v>1.0740000000000001</v>
      </c>
      <c r="M487" s="12">
        <f t="shared" si="39"/>
        <v>-4.7027506654835793E-2</v>
      </c>
    </row>
    <row r="488" spans="1:13" x14ac:dyDescent="0.25">
      <c r="A488" s="11">
        <v>43945</v>
      </c>
      <c r="B488" s="10">
        <v>0.56799999999999995</v>
      </c>
      <c r="C488" s="12">
        <f t="shared" si="35"/>
        <v>-6.7323481116584621E-2</v>
      </c>
      <c r="E488" s="20">
        <v>43945</v>
      </c>
      <c r="F488" s="18">
        <v>0.746</v>
      </c>
      <c r="G488" s="12">
        <f t="shared" si="36"/>
        <v>-0.21556256572029439</v>
      </c>
      <c r="H488" s="18">
        <v>0.79800000000000004</v>
      </c>
      <c r="I488" s="12">
        <f t="shared" si="37"/>
        <v>-0.18984771573604056</v>
      </c>
      <c r="J488" s="18">
        <v>0.85299999999999998</v>
      </c>
      <c r="K488" s="12">
        <f t="shared" si="38"/>
        <v>-0.17103984450923221</v>
      </c>
      <c r="L488" s="18">
        <v>0.90900000000000003</v>
      </c>
      <c r="M488" s="12">
        <f t="shared" si="39"/>
        <v>-0.15363128491620115</v>
      </c>
    </row>
    <row r="489" spans="1:13" x14ac:dyDescent="0.25">
      <c r="A489" s="11">
        <v>43952</v>
      </c>
      <c r="B489" s="10">
        <v>0.65200000000000002</v>
      </c>
      <c r="C489" s="12">
        <f t="shared" si="35"/>
        <v>0.14788732394366211</v>
      </c>
      <c r="E489" s="20">
        <v>43952</v>
      </c>
      <c r="F489" s="18">
        <v>0.69299999999999995</v>
      </c>
      <c r="G489" s="12">
        <f t="shared" si="36"/>
        <v>-7.1045576407506764E-2</v>
      </c>
      <c r="H489" s="18">
        <v>0.77500000000000002</v>
      </c>
      <c r="I489" s="12">
        <f t="shared" si="37"/>
        <v>-2.8822055137844634E-2</v>
      </c>
      <c r="J489" s="18">
        <v>0.83099999999999996</v>
      </c>
      <c r="K489" s="12">
        <f t="shared" si="38"/>
        <v>-2.5791324736225113E-2</v>
      </c>
      <c r="L489" s="18">
        <v>0.88</v>
      </c>
      <c r="M489" s="12">
        <f t="shared" si="39"/>
        <v>-3.1903190319031931E-2</v>
      </c>
    </row>
    <row r="490" spans="1:13" x14ac:dyDescent="0.25">
      <c r="A490" s="11">
        <v>43959</v>
      </c>
      <c r="B490" s="10">
        <v>0.82499999999999996</v>
      </c>
      <c r="C490" s="12">
        <f t="shared" si="35"/>
        <v>0.26533742331288335</v>
      </c>
      <c r="E490" s="20">
        <v>43959</v>
      </c>
      <c r="F490" s="18">
        <v>0.85199999999999998</v>
      </c>
      <c r="G490" s="12">
        <f t="shared" si="36"/>
        <v>0.2294372294372295</v>
      </c>
      <c r="H490" s="18">
        <v>0.89600000000000002</v>
      </c>
      <c r="I490" s="12">
        <f t="shared" si="37"/>
        <v>0.15612903225806452</v>
      </c>
      <c r="J490" s="18">
        <v>0.93700000000000006</v>
      </c>
      <c r="K490" s="12">
        <f t="shared" si="38"/>
        <v>0.12755716004813489</v>
      </c>
      <c r="L490" s="18">
        <v>0.97299999999999998</v>
      </c>
      <c r="M490" s="12">
        <f t="shared" si="39"/>
        <v>0.10568181818181815</v>
      </c>
    </row>
    <row r="491" spans="1:13" x14ac:dyDescent="0.25">
      <c r="A491" s="11">
        <v>43966</v>
      </c>
      <c r="B491" s="10">
        <v>0.82799999999999996</v>
      </c>
      <c r="C491" s="12">
        <f t="shared" si="35"/>
        <v>3.6363636363636398E-3</v>
      </c>
      <c r="E491" s="20">
        <v>43966</v>
      </c>
      <c r="F491" s="18">
        <v>0.871</v>
      </c>
      <c r="G491" s="12">
        <f t="shared" si="36"/>
        <v>2.2300469483568095E-2</v>
      </c>
      <c r="H491" s="18">
        <v>0.90800000000000003</v>
      </c>
      <c r="I491" s="12">
        <f t="shared" si="37"/>
        <v>1.3392857142857154E-2</v>
      </c>
      <c r="J491" s="18">
        <v>0.94299999999999995</v>
      </c>
      <c r="K491" s="12">
        <f t="shared" si="38"/>
        <v>6.4034151547490868E-3</v>
      </c>
      <c r="L491" s="18">
        <v>0.97599999999999998</v>
      </c>
      <c r="M491" s="12">
        <f t="shared" si="39"/>
        <v>3.0832476875642372E-3</v>
      </c>
    </row>
    <row r="492" spans="1:13" x14ac:dyDescent="0.25">
      <c r="A492" s="11">
        <v>43973</v>
      </c>
      <c r="B492" s="10">
        <v>0.96499999999999997</v>
      </c>
      <c r="C492" s="12">
        <f t="shared" si="35"/>
        <v>0.16545893719806765</v>
      </c>
      <c r="E492" s="20">
        <v>43973</v>
      </c>
      <c r="F492" s="18">
        <v>0.98799999999999999</v>
      </c>
      <c r="G492" s="12">
        <f t="shared" si="36"/>
        <v>0.13432835820895522</v>
      </c>
      <c r="H492" s="18">
        <v>1.028</v>
      </c>
      <c r="I492" s="12">
        <f t="shared" si="37"/>
        <v>0.13215859030837004</v>
      </c>
      <c r="J492" s="18">
        <v>1.0620000000000001</v>
      </c>
      <c r="K492" s="12">
        <f t="shared" si="38"/>
        <v>0.12619300106044551</v>
      </c>
      <c r="L492" s="18">
        <v>1.0940000000000001</v>
      </c>
      <c r="M492" s="12">
        <f t="shared" si="39"/>
        <v>0.1209016393442624</v>
      </c>
    </row>
    <row r="493" spans="1:13" x14ac:dyDescent="0.25">
      <c r="A493" s="11">
        <v>43980</v>
      </c>
      <c r="B493" s="10">
        <v>0.93799999999999994</v>
      </c>
      <c r="C493" s="12">
        <f t="shared" si="35"/>
        <v>-2.7979274611398989E-2</v>
      </c>
      <c r="E493" s="20">
        <v>43980</v>
      </c>
      <c r="F493" s="18">
        <v>0.96399999999999997</v>
      </c>
      <c r="G493" s="12">
        <f t="shared" si="36"/>
        <v>-2.4291497975708523E-2</v>
      </c>
      <c r="H493" s="18">
        <v>1.0129999999999999</v>
      </c>
      <c r="I493" s="12">
        <f t="shared" si="37"/>
        <v>-1.4591439688716073E-2</v>
      </c>
      <c r="J493" s="18">
        <v>1.0469999999999999</v>
      </c>
      <c r="K493" s="12">
        <f t="shared" si="38"/>
        <v>-1.4124293785310851E-2</v>
      </c>
      <c r="L493" s="18">
        <v>1.0780000000000001</v>
      </c>
      <c r="M493" s="12">
        <f t="shared" si="39"/>
        <v>-1.4625228519195625E-2</v>
      </c>
    </row>
    <row r="494" spans="1:13" x14ac:dyDescent="0.25">
      <c r="A494" s="11">
        <v>43987</v>
      </c>
      <c r="B494" s="10">
        <v>1.0389999999999999</v>
      </c>
      <c r="C494" s="12">
        <f t="shared" si="35"/>
        <v>0.10767590618336885</v>
      </c>
      <c r="E494" s="20">
        <v>43987</v>
      </c>
      <c r="F494" s="18">
        <v>1.0820000000000001</v>
      </c>
      <c r="G494" s="12">
        <f t="shared" si="36"/>
        <v>0.12240663900414948</v>
      </c>
      <c r="H494" s="18">
        <v>1.1120000000000001</v>
      </c>
      <c r="I494" s="12">
        <f t="shared" si="37"/>
        <v>9.7729516288252924E-2</v>
      </c>
      <c r="J494" s="18">
        <v>1.1399999999999999</v>
      </c>
      <c r="K494" s="12">
        <f t="shared" si="38"/>
        <v>8.8825214899713442E-2</v>
      </c>
      <c r="L494" s="18">
        <v>1.163</v>
      </c>
      <c r="M494" s="12">
        <f t="shared" si="39"/>
        <v>7.8849721706864523E-2</v>
      </c>
    </row>
    <row r="495" spans="1:13" x14ac:dyDescent="0.25">
      <c r="A495" s="11">
        <v>43994</v>
      </c>
      <c r="B495" s="10">
        <v>1.0920000000000001</v>
      </c>
      <c r="C495" s="12">
        <f t="shared" si="35"/>
        <v>5.1010587102983791E-2</v>
      </c>
      <c r="E495" s="20">
        <v>43994</v>
      </c>
      <c r="F495" s="18">
        <v>1.1279999999999999</v>
      </c>
      <c r="G495" s="12">
        <f t="shared" si="36"/>
        <v>4.2513863216266004E-2</v>
      </c>
      <c r="H495" s="18">
        <v>1.153</v>
      </c>
      <c r="I495" s="12">
        <f t="shared" si="37"/>
        <v>3.6870503597122233E-2</v>
      </c>
      <c r="J495" s="18">
        <v>1.177</v>
      </c>
      <c r="K495" s="12">
        <f t="shared" si="38"/>
        <v>3.2456140350877322E-2</v>
      </c>
      <c r="L495" s="18">
        <v>1.1990000000000001</v>
      </c>
      <c r="M495" s="12">
        <f t="shared" si="39"/>
        <v>3.09544282029235E-2</v>
      </c>
    </row>
    <row r="496" spans="1:13" x14ac:dyDescent="0.25">
      <c r="A496" s="11">
        <v>44001</v>
      </c>
      <c r="B496" s="10">
        <v>1.157</v>
      </c>
      <c r="C496" s="12">
        <f t="shared" si="35"/>
        <v>5.9523809523809472E-2</v>
      </c>
      <c r="E496" s="20">
        <v>44001</v>
      </c>
      <c r="F496" s="18">
        <v>1.1819999999999999</v>
      </c>
      <c r="G496" s="12">
        <f t="shared" si="36"/>
        <v>4.7872340425531963E-2</v>
      </c>
      <c r="H496" s="18">
        <v>1.1970000000000001</v>
      </c>
      <c r="I496" s="12">
        <f t="shared" si="37"/>
        <v>3.8161318300086761E-2</v>
      </c>
      <c r="J496" s="18">
        <v>1.2150000000000001</v>
      </c>
      <c r="K496" s="12">
        <f t="shared" si="38"/>
        <v>3.2285471537808016E-2</v>
      </c>
      <c r="L496" s="18">
        <v>1.232</v>
      </c>
      <c r="M496" s="12">
        <f t="shared" si="39"/>
        <v>2.7522935779816442E-2</v>
      </c>
    </row>
    <row r="497" spans="1:13" x14ac:dyDescent="0.25">
      <c r="A497" s="11">
        <v>44008</v>
      </c>
      <c r="B497" s="10">
        <v>1.1819999999999999</v>
      </c>
      <c r="C497" s="12">
        <f t="shared" si="35"/>
        <v>2.1607605877268721E-2</v>
      </c>
      <c r="E497" s="20">
        <v>44008</v>
      </c>
      <c r="F497" s="18">
        <v>1.173</v>
      </c>
      <c r="G497" s="12">
        <f t="shared" si="36"/>
        <v>-7.6142131979694567E-3</v>
      </c>
      <c r="H497" s="18">
        <v>1.1870000000000001</v>
      </c>
      <c r="I497" s="12">
        <f t="shared" si="37"/>
        <v>-8.3542188805346765E-3</v>
      </c>
      <c r="J497" s="18">
        <v>1.208</v>
      </c>
      <c r="K497" s="12">
        <f t="shared" si="38"/>
        <v>-5.7613168724280793E-3</v>
      </c>
      <c r="L497" s="18">
        <v>1.2290000000000001</v>
      </c>
      <c r="M497" s="12">
        <f t="shared" si="39"/>
        <v>-2.435064935064847E-3</v>
      </c>
    </row>
    <row r="498" spans="1:13" x14ac:dyDescent="0.25">
      <c r="A498" s="11">
        <v>44015</v>
      </c>
      <c r="B498" s="10">
        <v>1.173</v>
      </c>
      <c r="C498" s="12">
        <f t="shared" si="35"/>
        <v>-7.6142131979694567E-3</v>
      </c>
      <c r="E498" s="20">
        <v>44015</v>
      </c>
      <c r="F498" s="18">
        <v>1.194</v>
      </c>
      <c r="G498" s="12">
        <f t="shared" si="36"/>
        <v>1.7902813299232656E-2</v>
      </c>
      <c r="H498" s="18">
        <v>1.206</v>
      </c>
      <c r="I498" s="12">
        <f t="shared" si="37"/>
        <v>1.6006739679865125E-2</v>
      </c>
      <c r="J498" s="18">
        <v>1.2230000000000001</v>
      </c>
      <c r="K498" s="12">
        <f t="shared" si="38"/>
        <v>1.2417218543046461E-2</v>
      </c>
      <c r="L498" s="18">
        <v>1.2410000000000001</v>
      </c>
      <c r="M498" s="12">
        <f t="shared" si="39"/>
        <v>9.7640358014646125E-3</v>
      </c>
    </row>
    <row r="499" spans="1:13" x14ac:dyDescent="0.25">
      <c r="A499" s="11">
        <v>44022</v>
      </c>
      <c r="B499" s="10">
        <v>1.2310000000000001</v>
      </c>
      <c r="C499" s="12">
        <f t="shared" si="35"/>
        <v>4.944586530264284E-2</v>
      </c>
      <c r="E499" s="20">
        <v>44022</v>
      </c>
      <c r="F499" s="18">
        <v>1.2370000000000001</v>
      </c>
      <c r="G499" s="12">
        <f t="shared" si="36"/>
        <v>3.6013400335008501E-2</v>
      </c>
      <c r="H499" s="18">
        <v>1.2490000000000001</v>
      </c>
      <c r="I499" s="12">
        <f t="shared" si="37"/>
        <v>3.5655058043117867E-2</v>
      </c>
      <c r="J499" s="18">
        <v>1.2629999999999999</v>
      </c>
      <c r="K499" s="12">
        <f t="shared" si="38"/>
        <v>3.2706459525756182E-2</v>
      </c>
      <c r="L499" s="18">
        <v>1.2769999999999999</v>
      </c>
      <c r="M499" s="12">
        <f t="shared" si="39"/>
        <v>2.9008863819500248E-2</v>
      </c>
    </row>
    <row r="500" spans="1:13" x14ac:dyDescent="0.25">
      <c r="A500" s="11">
        <v>44029</v>
      </c>
      <c r="B500" s="10">
        <v>1.2210000000000001</v>
      </c>
      <c r="C500" s="12">
        <f t="shared" si="35"/>
        <v>-8.1234768480909891E-3</v>
      </c>
      <c r="E500" s="20">
        <v>44029</v>
      </c>
      <c r="F500" s="18">
        <v>1.2270000000000001</v>
      </c>
      <c r="G500" s="12">
        <f t="shared" si="36"/>
        <v>-8.0840743734842419E-3</v>
      </c>
      <c r="H500" s="18">
        <v>1.24</v>
      </c>
      <c r="I500" s="12">
        <f t="shared" si="37"/>
        <v>-7.2057646116894464E-3</v>
      </c>
      <c r="J500" s="18">
        <v>1.2549999999999999</v>
      </c>
      <c r="K500" s="12">
        <f t="shared" si="38"/>
        <v>-6.3341250989707104E-3</v>
      </c>
      <c r="L500" s="18">
        <v>1.27</v>
      </c>
      <c r="M500" s="12">
        <f t="shared" si="39"/>
        <v>-5.4815974941267781E-3</v>
      </c>
    </row>
    <row r="501" spans="1:13" x14ac:dyDescent="0.25">
      <c r="A501" s="11">
        <v>44036</v>
      </c>
      <c r="B501" s="10">
        <v>1.238</v>
      </c>
      <c r="C501" s="12">
        <f t="shared" si="35"/>
        <v>1.3923013923013844E-2</v>
      </c>
      <c r="E501" s="20">
        <v>44036</v>
      </c>
      <c r="F501" s="18">
        <v>1.2589999999999999</v>
      </c>
      <c r="G501" s="12">
        <f t="shared" si="36"/>
        <v>2.6079869600651836E-2</v>
      </c>
      <c r="H501" s="18">
        <v>1.2689999999999999</v>
      </c>
      <c r="I501" s="12">
        <f t="shared" si="37"/>
        <v>2.338709677419348E-2</v>
      </c>
      <c r="J501" s="18">
        <v>1.2809999999999999</v>
      </c>
      <c r="K501" s="12">
        <f t="shared" si="38"/>
        <v>2.0717131474103607E-2</v>
      </c>
      <c r="L501" s="18">
        <v>1.2949999999999999</v>
      </c>
      <c r="M501" s="12">
        <f t="shared" si="39"/>
        <v>1.968503937007867E-2</v>
      </c>
    </row>
    <row r="502" spans="1:13" x14ac:dyDescent="0.25">
      <c r="A502" s="11">
        <v>44043</v>
      </c>
      <c r="B502" s="10">
        <v>1.2</v>
      </c>
      <c r="C502" s="12">
        <f t="shared" si="35"/>
        <v>-3.069466882067854E-2</v>
      </c>
      <c r="E502" s="20">
        <v>44043</v>
      </c>
      <c r="F502" s="18">
        <v>1.236</v>
      </c>
      <c r="G502" s="12">
        <f t="shared" si="36"/>
        <v>-1.8268467037331145E-2</v>
      </c>
      <c r="H502" s="18">
        <v>1.2430000000000001</v>
      </c>
      <c r="I502" s="12">
        <f t="shared" si="37"/>
        <v>-2.0488573680062887E-2</v>
      </c>
      <c r="J502" s="18">
        <v>1.258</v>
      </c>
      <c r="K502" s="12">
        <f t="shared" si="38"/>
        <v>-1.7954722872755589E-2</v>
      </c>
      <c r="L502" s="18">
        <v>1.276</v>
      </c>
      <c r="M502" s="12">
        <f t="shared" si="39"/>
        <v>-1.4671814671814601E-2</v>
      </c>
    </row>
    <row r="503" spans="1:13" x14ac:dyDescent="0.25">
      <c r="A503" s="11">
        <v>44050</v>
      </c>
      <c r="B503" s="10">
        <v>1.1859999999999999</v>
      </c>
      <c r="C503" s="12">
        <f t="shared" si="35"/>
        <v>-1.1666666666666678E-2</v>
      </c>
      <c r="E503" s="20">
        <v>44050</v>
      </c>
      <c r="F503" s="18">
        <v>1.246</v>
      </c>
      <c r="G503" s="12">
        <f t="shared" si="36"/>
        <v>8.0906148867313996E-3</v>
      </c>
      <c r="H503" s="18">
        <v>1.2649999999999999</v>
      </c>
      <c r="I503" s="12">
        <f t="shared" si="37"/>
        <v>1.7699115044247624E-2</v>
      </c>
      <c r="J503" s="18">
        <v>1.284</v>
      </c>
      <c r="K503" s="12">
        <f t="shared" si="38"/>
        <v>2.0667726550079511E-2</v>
      </c>
      <c r="L503" s="18">
        <v>1.3029999999999999</v>
      </c>
      <c r="M503" s="12">
        <f t="shared" si="39"/>
        <v>2.11598746081504E-2</v>
      </c>
    </row>
    <row r="504" spans="1:13" x14ac:dyDescent="0.25">
      <c r="A504" s="11">
        <v>44057</v>
      </c>
      <c r="B504" s="10">
        <v>1.212</v>
      </c>
      <c r="C504" s="12">
        <f t="shared" si="35"/>
        <v>2.1922428330522787E-2</v>
      </c>
      <c r="E504" s="20">
        <v>44057</v>
      </c>
      <c r="F504" s="18">
        <v>1.2410000000000001</v>
      </c>
      <c r="G504" s="12">
        <f t="shared" si="36"/>
        <v>-4.0128410914926915E-3</v>
      </c>
      <c r="H504" s="18">
        <v>1.2629999999999999</v>
      </c>
      <c r="I504" s="12">
        <f t="shared" si="37"/>
        <v>-1.5810276679841912E-3</v>
      </c>
      <c r="J504" s="18">
        <v>1.2849999999999999</v>
      </c>
      <c r="K504" s="12">
        <f t="shared" si="38"/>
        <v>7.7881619937686126E-4</v>
      </c>
      <c r="L504" s="18">
        <v>1.306</v>
      </c>
      <c r="M504" s="12">
        <f t="shared" si="39"/>
        <v>2.3023791250960197E-3</v>
      </c>
    </row>
    <row r="505" spans="1:13" x14ac:dyDescent="0.25">
      <c r="A505" s="11">
        <v>44064</v>
      </c>
      <c r="B505" s="10">
        <v>1.274</v>
      </c>
      <c r="C505" s="12">
        <f t="shared" si="35"/>
        <v>5.1155115511551205E-2</v>
      </c>
      <c r="E505" s="20">
        <v>44064</v>
      </c>
      <c r="F505" s="18">
        <v>1.2410000000000001</v>
      </c>
      <c r="G505" s="12">
        <f t="shared" si="36"/>
        <v>0</v>
      </c>
      <c r="H505" s="18">
        <v>1.262</v>
      </c>
      <c r="I505" s="12">
        <f t="shared" si="37"/>
        <v>-7.9176563737125099E-4</v>
      </c>
      <c r="J505" s="18">
        <v>1.284</v>
      </c>
      <c r="K505" s="12">
        <f t="shared" si="38"/>
        <v>-7.782101167314318E-4</v>
      </c>
      <c r="L505" s="18">
        <v>1.304</v>
      </c>
      <c r="M505" s="12">
        <f t="shared" si="39"/>
        <v>-1.5313935681470151E-3</v>
      </c>
    </row>
    <row r="506" spans="1:13" x14ac:dyDescent="0.25">
      <c r="A506" s="11">
        <v>44071</v>
      </c>
      <c r="B506" s="10">
        <v>1.323</v>
      </c>
      <c r="C506" s="12">
        <f t="shared" si="35"/>
        <v>3.8461538461538408E-2</v>
      </c>
      <c r="E506" s="20">
        <v>44071</v>
      </c>
      <c r="F506" s="18">
        <v>1.236</v>
      </c>
      <c r="G506" s="12">
        <f t="shared" si="36"/>
        <v>-4.0290088638195928E-3</v>
      </c>
      <c r="H506" s="18">
        <v>1.254</v>
      </c>
      <c r="I506" s="12">
        <f t="shared" si="37"/>
        <v>-6.3391442155309088E-3</v>
      </c>
      <c r="J506" s="18">
        <v>1.274</v>
      </c>
      <c r="K506" s="12">
        <f t="shared" si="38"/>
        <v>-7.7881619937694773E-3</v>
      </c>
      <c r="L506" s="18">
        <v>1.2949999999999999</v>
      </c>
      <c r="M506" s="12">
        <f t="shared" si="39"/>
        <v>-6.9018404907976371E-3</v>
      </c>
    </row>
    <row r="507" spans="1:13" x14ac:dyDescent="0.25">
      <c r="A507" s="11">
        <v>44078</v>
      </c>
      <c r="B507" s="10">
        <v>1.2490000000000001</v>
      </c>
      <c r="C507" s="12">
        <f t="shared" si="35"/>
        <v>-5.5933484504912957E-2</v>
      </c>
      <c r="E507" s="20">
        <v>44078</v>
      </c>
      <c r="F507" s="18">
        <v>1.1870000000000001</v>
      </c>
      <c r="G507" s="12">
        <f t="shared" si="36"/>
        <v>-3.9644012944983764E-2</v>
      </c>
      <c r="H507" s="18">
        <v>1.208</v>
      </c>
      <c r="I507" s="12">
        <f t="shared" si="37"/>
        <v>-3.6682615629984081E-2</v>
      </c>
      <c r="J507" s="18">
        <v>1.23</v>
      </c>
      <c r="K507" s="12">
        <f t="shared" si="38"/>
        <v>-3.4536891679748855E-2</v>
      </c>
      <c r="L507" s="18">
        <v>1.2509999999999999</v>
      </c>
      <c r="M507" s="12">
        <f t="shared" si="39"/>
        <v>-3.3976833976834007E-2</v>
      </c>
    </row>
    <row r="508" spans="1:13" x14ac:dyDescent="0.25">
      <c r="A508" s="11">
        <v>44085</v>
      </c>
      <c r="B508" s="10">
        <v>1.155</v>
      </c>
      <c r="C508" s="12">
        <f t="shared" si="35"/>
        <v>-7.5260208166533282E-2</v>
      </c>
      <c r="E508" s="20">
        <v>44085</v>
      </c>
      <c r="F508" s="18">
        <v>1.089</v>
      </c>
      <c r="G508" s="12">
        <f t="shared" si="36"/>
        <v>-8.2561078348778502E-2</v>
      </c>
      <c r="H508" s="18">
        <v>1.1060000000000001</v>
      </c>
      <c r="I508" s="12">
        <f t="shared" si="37"/>
        <v>-8.4437086092715122E-2</v>
      </c>
      <c r="J508" s="18">
        <v>1.1259999999999999</v>
      </c>
      <c r="K508" s="12">
        <f t="shared" si="38"/>
        <v>-8.4552845528455364E-2</v>
      </c>
      <c r="L508" s="18">
        <v>1.1459999999999999</v>
      </c>
      <c r="M508" s="12">
        <f t="shared" si="39"/>
        <v>-8.3932853717026371E-2</v>
      </c>
    </row>
    <row r="509" spans="1:13" x14ac:dyDescent="0.25">
      <c r="A509" s="11">
        <v>44092</v>
      </c>
      <c r="B509" s="10">
        <v>1.2350000000000001</v>
      </c>
      <c r="C509" s="12">
        <f t="shared" si="35"/>
        <v>6.926406926406932E-2</v>
      </c>
      <c r="E509" s="20">
        <v>44092</v>
      </c>
      <c r="F509" s="18">
        <v>1.125</v>
      </c>
      <c r="G509" s="12">
        <f t="shared" si="36"/>
        <v>3.305785123966945E-2</v>
      </c>
      <c r="H509" s="18">
        <v>1.141</v>
      </c>
      <c r="I509" s="12">
        <f t="shared" si="37"/>
        <v>3.164556962025309E-2</v>
      </c>
      <c r="J509" s="18">
        <v>1.159</v>
      </c>
      <c r="K509" s="12">
        <f t="shared" si="38"/>
        <v>2.930728241563068E-2</v>
      </c>
      <c r="L509" s="18">
        <v>1.179</v>
      </c>
      <c r="M509" s="12">
        <f t="shared" si="39"/>
        <v>2.8795811518324731E-2</v>
      </c>
    </row>
    <row r="510" spans="1:13" x14ac:dyDescent="0.25">
      <c r="A510" s="11">
        <v>44099</v>
      </c>
      <c r="B510" s="10">
        <v>1.238</v>
      </c>
      <c r="C510" s="12">
        <f t="shared" si="35"/>
        <v>2.4291497975707623E-3</v>
      </c>
      <c r="E510" s="20">
        <v>44099</v>
      </c>
      <c r="F510" s="18">
        <v>1.111</v>
      </c>
      <c r="G510" s="12">
        <f t="shared" si="36"/>
        <v>-1.2444444444444456E-2</v>
      </c>
      <c r="H510" s="18">
        <v>1.121</v>
      </c>
      <c r="I510" s="12">
        <f t="shared" si="37"/>
        <v>-1.7528483786152512E-2</v>
      </c>
      <c r="J510" s="18">
        <v>1.1379999999999999</v>
      </c>
      <c r="K510" s="12">
        <f t="shared" si="38"/>
        <v>-1.8119068162208912E-2</v>
      </c>
      <c r="L510" s="18">
        <v>1.157</v>
      </c>
      <c r="M510" s="12">
        <f t="shared" si="39"/>
        <v>-1.8659881255301117E-2</v>
      </c>
    </row>
    <row r="511" spans="1:13" x14ac:dyDescent="0.25">
      <c r="A511" s="11">
        <v>44106</v>
      </c>
      <c r="B511" s="10">
        <v>1.236</v>
      </c>
      <c r="C511" s="12">
        <f t="shared" si="35"/>
        <v>-1.6155088852988705E-3</v>
      </c>
      <c r="E511" s="20">
        <v>44106</v>
      </c>
      <c r="F511" s="18">
        <v>1.121</v>
      </c>
      <c r="G511" s="12">
        <f t="shared" si="36"/>
        <v>9.0009000900090098E-3</v>
      </c>
      <c r="H511" s="18">
        <v>1.1299999999999999</v>
      </c>
      <c r="I511" s="12">
        <f t="shared" si="37"/>
        <v>8.0285459411239043E-3</v>
      </c>
      <c r="J511" s="18">
        <v>1.145</v>
      </c>
      <c r="K511" s="12">
        <f t="shared" si="38"/>
        <v>6.1511423550088913E-3</v>
      </c>
      <c r="L511" s="18">
        <v>1.1599999999999999</v>
      </c>
      <c r="M511" s="12">
        <f t="shared" si="39"/>
        <v>2.592912705272162E-3</v>
      </c>
    </row>
    <row r="512" spans="1:13" x14ac:dyDescent="0.25">
      <c r="A512" s="11">
        <v>44113</v>
      </c>
      <c r="B512" s="10">
        <v>1.2669999999999999</v>
      </c>
      <c r="C512" s="12">
        <f t="shared" si="35"/>
        <v>2.5080906148867245E-2</v>
      </c>
      <c r="E512" s="20">
        <v>44113</v>
      </c>
      <c r="F512" s="18">
        <v>1.1739999999999999</v>
      </c>
      <c r="G512" s="12">
        <f t="shared" si="36"/>
        <v>4.7279214986619036E-2</v>
      </c>
      <c r="H512" s="18">
        <v>1.1839999999999999</v>
      </c>
      <c r="I512" s="12">
        <f t="shared" si="37"/>
        <v>4.7787610619469074E-2</v>
      </c>
      <c r="J512" s="18">
        <v>1.198</v>
      </c>
      <c r="K512" s="12">
        <f t="shared" si="38"/>
        <v>4.628820960698684E-2</v>
      </c>
      <c r="L512" s="18">
        <v>1.212</v>
      </c>
      <c r="M512" s="12">
        <f t="shared" si="39"/>
        <v>4.4827586206896593E-2</v>
      </c>
    </row>
    <row r="513" spans="1:13" x14ac:dyDescent="0.25">
      <c r="A513" s="11">
        <v>44120</v>
      </c>
      <c r="B513" s="10">
        <v>1.23</v>
      </c>
      <c r="C513" s="12">
        <f t="shared" si="35"/>
        <v>-2.920284135753743E-2</v>
      </c>
      <c r="E513" s="20">
        <v>44120</v>
      </c>
      <c r="F513" s="18">
        <v>1.177</v>
      </c>
      <c r="G513" s="12">
        <f t="shared" si="36"/>
        <v>2.555366269165344E-3</v>
      </c>
      <c r="H513" s="18">
        <v>1.1839999999999999</v>
      </c>
      <c r="I513" s="12">
        <f t="shared" si="37"/>
        <v>0</v>
      </c>
      <c r="J513" s="18">
        <v>1.196</v>
      </c>
      <c r="K513" s="12">
        <f t="shared" si="38"/>
        <v>-1.6694490818030066E-3</v>
      </c>
      <c r="L513" s="18">
        <v>1.2090000000000001</v>
      </c>
      <c r="M513" s="12">
        <f t="shared" si="39"/>
        <v>-2.4752475247523859E-3</v>
      </c>
    </row>
    <row r="514" spans="1:13" x14ac:dyDescent="0.25">
      <c r="A514" s="11">
        <v>44127</v>
      </c>
      <c r="B514" s="10">
        <v>1.1919999999999999</v>
      </c>
      <c r="C514" s="12">
        <f t="shared" si="35"/>
        <v>-3.0894308943089459E-2</v>
      </c>
      <c r="E514" s="20">
        <v>44127</v>
      </c>
      <c r="F514" s="18">
        <v>1.157</v>
      </c>
      <c r="G514" s="12">
        <f t="shared" si="36"/>
        <v>-1.6992353440951586E-2</v>
      </c>
      <c r="H514" s="18">
        <v>1.1639999999999999</v>
      </c>
      <c r="I514" s="12">
        <f t="shared" si="37"/>
        <v>-1.6891891891891907E-2</v>
      </c>
      <c r="J514" s="18">
        <v>1.1779999999999999</v>
      </c>
      <c r="K514" s="12">
        <f t="shared" si="38"/>
        <v>-1.5050167224080282E-2</v>
      </c>
      <c r="L514" s="18">
        <v>1.1910000000000001</v>
      </c>
      <c r="M514" s="12">
        <f t="shared" si="39"/>
        <v>-1.4888337468982642E-2</v>
      </c>
    </row>
    <row r="515" spans="1:13" x14ac:dyDescent="0.25">
      <c r="A515" s="11">
        <v>44134</v>
      </c>
      <c r="B515" s="10">
        <v>1.1160000000000001</v>
      </c>
      <c r="C515" s="12">
        <f t="shared" si="35"/>
        <v>-6.3758389261744833E-2</v>
      </c>
      <c r="E515" s="20">
        <v>44134</v>
      </c>
      <c r="F515" s="18">
        <v>1.113</v>
      </c>
      <c r="G515" s="12">
        <f t="shared" si="36"/>
        <v>-3.8029386343993117E-2</v>
      </c>
      <c r="H515" s="18">
        <v>1.115</v>
      </c>
      <c r="I515" s="12">
        <f t="shared" si="37"/>
        <v>-4.2096219931271425E-2</v>
      </c>
      <c r="J515" s="18">
        <v>1.1240000000000001</v>
      </c>
      <c r="K515" s="12">
        <f t="shared" si="38"/>
        <v>-4.5840407470288481E-2</v>
      </c>
      <c r="L515" s="18">
        <v>1.135</v>
      </c>
      <c r="M515" s="12">
        <f t="shared" si="39"/>
        <v>-4.7019311502938747E-2</v>
      </c>
    </row>
    <row r="516" spans="1:13" x14ac:dyDescent="0.25">
      <c r="A516" s="11">
        <v>44141</v>
      </c>
      <c r="B516" s="10">
        <v>1.1220000000000001</v>
      </c>
      <c r="C516" s="12">
        <f t="shared" si="35"/>
        <v>5.3763440860215093E-3</v>
      </c>
      <c r="E516" s="20">
        <v>44141</v>
      </c>
      <c r="F516" s="18">
        <v>1.145</v>
      </c>
      <c r="G516" s="12">
        <f t="shared" si="36"/>
        <v>2.8751123090745758E-2</v>
      </c>
      <c r="H516" s="18">
        <v>1.1539999999999999</v>
      </c>
      <c r="I516" s="12">
        <f t="shared" si="37"/>
        <v>3.4977578475336252E-2</v>
      </c>
      <c r="J516" s="18">
        <v>1.1639999999999999</v>
      </c>
      <c r="K516" s="12">
        <f t="shared" si="38"/>
        <v>3.5587188612099474E-2</v>
      </c>
      <c r="L516" s="18">
        <v>1.1719999999999999</v>
      </c>
      <c r="M516" s="12">
        <f t="shared" si="39"/>
        <v>3.2599118942731209E-2</v>
      </c>
    </row>
    <row r="517" spans="1:13" x14ac:dyDescent="0.25">
      <c r="A517" s="11">
        <v>44148</v>
      </c>
      <c r="B517" s="10">
        <v>1.1930000000000001</v>
      </c>
      <c r="C517" s="12">
        <f t="shared" ref="C517:C576" si="40">(B517-B516)/B516</f>
        <v>6.3279857397504413E-2</v>
      </c>
      <c r="E517" s="20">
        <v>44148</v>
      </c>
      <c r="F517" s="18">
        <v>1.2310000000000001</v>
      </c>
      <c r="G517" s="12">
        <f t="shared" ref="G517:G576" si="41">(F517-F516)/F516</f>
        <v>7.5109170305676917E-2</v>
      </c>
      <c r="H517" s="18">
        <v>1.242</v>
      </c>
      <c r="I517" s="12">
        <f t="shared" ref="I517:I576" si="42">(H517-H516)/H516</f>
        <v>7.6256499133448952E-2</v>
      </c>
      <c r="J517" s="18">
        <v>1.254</v>
      </c>
      <c r="K517" s="12">
        <f t="shared" ref="K517:K576" si="43">(J517-J516)/J516</f>
        <v>7.7319587628866052E-2</v>
      </c>
      <c r="L517" s="18">
        <v>1.2629999999999999</v>
      </c>
      <c r="M517" s="12">
        <f t="shared" ref="M517:M576" si="44">(L517-L516)/L516</f>
        <v>7.7645051194539225E-2</v>
      </c>
    </row>
    <row r="518" spans="1:13" x14ac:dyDescent="0.25">
      <c r="A518" s="11">
        <v>44155</v>
      </c>
      <c r="B518" s="10">
        <v>1.1890000000000001</v>
      </c>
      <c r="C518" s="12">
        <f t="shared" si="40"/>
        <v>-3.3528918692372197E-3</v>
      </c>
      <c r="E518" s="20">
        <v>44155</v>
      </c>
      <c r="F518" s="18">
        <v>1.258</v>
      </c>
      <c r="G518" s="12">
        <f t="shared" si="41"/>
        <v>2.1933387489845583E-2</v>
      </c>
      <c r="H518" s="18">
        <v>1.266</v>
      </c>
      <c r="I518" s="12">
        <f t="shared" si="42"/>
        <v>1.9323671497584557E-2</v>
      </c>
      <c r="J518" s="18">
        <v>1.2749999999999999</v>
      </c>
      <c r="K518" s="12">
        <f t="shared" si="43"/>
        <v>1.6746411483253516E-2</v>
      </c>
      <c r="L518" s="18">
        <v>1.284</v>
      </c>
      <c r="M518" s="12">
        <f t="shared" si="44"/>
        <v>1.6627078384798204E-2</v>
      </c>
    </row>
    <row r="519" spans="1:13" x14ac:dyDescent="0.25">
      <c r="A519" s="11">
        <v>44162</v>
      </c>
      <c r="B519" s="10">
        <v>1.272</v>
      </c>
      <c r="C519" s="12">
        <f t="shared" si="40"/>
        <v>6.9806560134566834E-2</v>
      </c>
      <c r="E519" s="20">
        <v>44162</v>
      </c>
      <c r="F519" s="18">
        <v>1.353</v>
      </c>
      <c r="G519" s="12">
        <f t="shared" si="41"/>
        <v>7.5516693163751966E-2</v>
      </c>
      <c r="H519" s="18">
        <v>1.3560000000000001</v>
      </c>
      <c r="I519" s="12">
        <f t="shared" si="42"/>
        <v>7.1090047393364997E-2</v>
      </c>
      <c r="J519" s="18">
        <v>1.363</v>
      </c>
      <c r="K519" s="12">
        <f t="shared" si="43"/>
        <v>6.9019607843137321E-2</v>
      </c>
      <c r="L519" s="18">
        <v>1.37</v>
      </c>
      <c r="M519" s="12">
        <f t="shared" si="44"/>
        <v>6.6978193146417508E-2</v>
      </c>
    </row>
    <row r="520" spans="1:13" x14ac:dyDescent="0.25">
      <c r="A520" s="11">
        <v>44169</v>
      </c>
      <c r="B520" s="10">
        <v>1.2749999999999999</v>
      </c>
      <c r="C520" s="12">
        <f t="shared" si="40"/>
        <v>2.3584905660376508E-3</v>
      </c>
      <c r="E520" s="20">
        <v>44169</v>
      </c>
      <c r="F520" s="18">
        <v>1.373</v>
      </c>
      <c r="G520" s="12">
        <f t="shared" si="41"/>
        <v>1.478196600147821E-2</v>
      </c>
      <c r="H520" s="18">
        <v>1.3819999999999999</v>
      </c>
      <c r="I520" s="12">
        <f t="shared" si="42"/>
        <v>1.9174041297934954E-2</v>
      </c>
      <c r="J520" s="18">
        <v>1.39</v>
      </c>
      <c r="K520" s="12">
        <f t="shared" si="43"/>
        <v>1.9809244314013142E-2</v>
      </c>
      <c r="L520" s="18">
        <v>1.393</v>
      </c>
      <c r="M520" s="12">
        <f t="shared" si="44"/>
        <v>1.6788321167883143E-2</v>
      </c>
    </row>
    <row r="521" spans="1:13" x14ac:dyDescent="0.25">
      <c r="A521" s="11">
        <v>44176</v>
      </c>
      <c r="B521" s="10">
        <v>1.3140000000000001</v>
      </c>
      <c r="C521" s="12">
        <f t="shared" si="40"/>
        <v>3.0588235294117763E-2</v>
      </c>
      <c r="E521" s="20">
        <v>44176</v>
      </c>
      <c r="F521" s="18">
        <v>1.4159999999999999</v>
      </c>
      <c r="G521" s="12">
        <f t="shared" si="41"/>
        <v>3.1318281136198056E-2</v>
      </c>
      <c r="H521" s="18">
        <v>1.4219999999999999</v>
      </c>
      <c r="I521" s="12">
        <f t="shared" si="42"/>
        <v>2.8943560057887147E-2</v>
      </c>
      <c r="J521" s="18">
        <v>1.4259999999999999</v>
      </c>
      <c r="K521" s="12">
        <f t="shared" si="43"/>
        <v>2.5899280575539592E-2</v>
      </c>
      <c r="L521" s="18">
        <v>1.427</v>
      </c>
      <c r="M521" s="12">
        <f t="shared" si="44"/>
        <v>2.4407753050969153E-2</v>
      </c>
    </row>
    <row r="522" spans="1:13" x14ac:dyDescent="0.25">
      <c r="A522" s="11">
        <v>44183</v>
      </c>
      <c r="B522" s="10">
        <v>1.3879999999999999</v>
      </c>
      <c r="C522" s="12">
        <f t="shared" si="40"/>
        <v>5.6316590563165785E-2</v>
      </c>
      <c r="E522" s="20">
        <v>44183</v>
      </c>
      <c r="F522" s="18">
        <v>1.4810000000000001</v>
      </c>
      <c r="G522" s="12">
        <f t="shared" si="41"/>
        <v>4.5903954802260005E-2</v>
      </c>
      <c r="H522" s="18">
        <v>1.4830000000000001</v>
      </c>
      <c r="I522" s="12">
        <f t="shared" si="42"/>
        <v>4.2897327707454407E-2</v>
      </c>
      <c r="J522" s="18">
        <v>1.4850000000000001</v>
      </c>
      <c r="K522" s="12">
        <f t="shared" si="43"/>
        <v>4.1374474053296049E-2</v>
      </c>
      <c r="L522" s="18">
        <v>1.4850000000000001</v>
      </c>
      <c r="M522" s="12">
        <f t="shared" si="44"/>
        <v>4.0644709180098146E-2</v>
      </c>
    </row>
    <row r="523" spans="1:13" x14ac:dyDescent="0.25">
      <c r="A523" s="11">
        <v>44190</v>
      </c>
      <c r="B523" s="10">
        <v>1.397</v>
      </c>
      <c r="C523" s="12">
        <f t="shared" si="40"/>
        <v>6.484149855907867E-3</v>
      </c>
      <c r="E523" s="20">
        <v>44190</v>
      </c>
      <c r="F523" s="18">
        <v>1.482</v>
      </c>
      <c r="G523" s="12">
        <f t="shared" si="41"/>
        <v>6.7521944631997958E-4</v>
      </c>
      <c r="H523" s="18">
        <v>1.482</v>
      </c>
      <c r="I523" s="12">
        <f t="shared" si="42"/>
        <v>-6.7430883344579359E-4</v>
      </c>
      <c r="J523" s="18">
        <v>1.482</v>
      </c>
      <c r="K523" s="12">
        <f t="shared" si="43"/>
        <v>-2.0202020202020965E-3</v>
      </c>
      <c r="L523" s="18">
        <v>1.4810000000000001</v>
      </c>
      <c r="M523" s="12">
        <f t="shared" si="44"/>
        <v>-2.6936026936026959E-3</v>
      </c>
    </row>
    <row r="524" spans="1:13" x14ac:dyDescent="0.25">
      <c r="A524" s="11">
        <v>44197</v>
      </c>
      <c r="B524" s="10">
        <v>1.4219999999999999</v>
      </c>
      <c r="C524" s="12">
        <f t="shared" si="40"/>
        <v>1.7895490336435154E-2</v>
      </c>
      <c r="E524" s="20">
        <v>44197</v>
      </c>
      <c r="F524" s="18">
        <v>1.4830000000000001</v>
      </c>
      <c r="G524" s="12">
        <f t="shared" si="41"/>
        <v>6.7476383265864504E-4</v>
      </c>
      <c r="H524" s="18">
        <v>1.486</v>
      </c>
      <c r="I524" s="12">
        <f t="shared" si="42"/>
        <v>2.6990553306342805E-3</v>
      </c>
      <c r="J524" s="18">
        <v>1.486</v>
      </c>
      <c r="K524" s="12">
        <f t="shared" si="43"/>
        <v>2.6990553306342805E-3</v>
      </c>
      <c r="L524" s="18">
        <v>1.4850000000000001</v>
      </c>
      <c r="M524" s="12">
        <f t="shared" si="44"/>
        <v>2.7008777852802184E-3</v>
      </c>
    </row>
    <row r="525" spans="1:13" x14ac:dyDescent="0.25">
      <c r="A525" s="11">
        <v>44204</v>
      </c>
      <c r="B525" s="10">
        <v>1.496</v>
      </c>
      <c r="C525" s="12">
        <f t="shared" si="40"/>
        <v>5.2039381153305253E-2</v>
      </c>
      <c r="E525" s="20">
        <v>44204</v>
      </c>
      <c r="F525" s="18">
        <v>1.526</v>
      </c>
      <c r="G525" s="12">
        <f t="shared" si="41"/>
        <v>2.8995279838165831E-2</v>
      </c>
      <c r="H525" s="18">
        <v>1.5269999999999999</v>
      </c>
      <c r="I525" s="12">
        <f t="shared" si="42"/>
        <v>2.7590847913862668E-2</v>
      </c>
      <c r="J525" s="18">
        <v>1.526</v>
      </c>
      <c r="K525" s="12">
        <f t="shared" si="43"/>
        <v>2.6917900403768531E-2</v>
      </c>
      <c r="L525" s="18">
        <v>1.5269999999999999</v>
      </c>
      <c r="M525" s="12">
        <f t="shared" si="44"/>
        <v>2.8282828282828156E-2</v>
      </c>
    </row>
    <row r="526" spans="1:13" x14ac:dyDescent="0.25">
      <c r="A526" s="11">
        <v>44211</v>
      </c>
      <c r="B526" s="10">
        <v>1.573</v>
      </c>
      <c r="C526" s="12">
        <f t="shared" si="40"/>
        <v>5.1470588235294087E-2</v>
      </c>
      <c r="E526" s="20">
        <v>44211</v>
      </c>
      <c r="F526" s="18">
        <v>1.5960000000000001</v>
      </c>
      <c r="G526" s="12">
        <f t="shared" si="41"/>
        <v>4.587155963302756E-2</v>
      </c>
      <c r="H526" s="18">
        <v>1.5980000000000001</v>
      </c>
      <c r="I526" s="12">
        <f t="shared" si="42"/>
        <v>4.6496398166339346E-2</v>
      </c>
      <c r="J526" s="18">
        <v>1.595</v>
      </c>
      <c r="K526" s="12">
        <f t="shared" si="43"/>
        <v>4.5216251638269957E-2</v>
      </c>
      <c r="L526" s="18">
        <v>1.593</v>
      </c>
      <c r="M526" s="12">
        <f t="shared" si="44"/>
        <v>4.3222003929273126E-2</v>
      </c>
    </row>
    <row r="527" spans="1:13" x14ac:dyDescent="0.25">
      <c r="A527" s="11">
        <v>44218</v>
      </c>
      <c r="B527" s="10">
        <v>1.581</v>
      </c>
      <c r="C527" s="12">
        <f t="shared" si="40"/>
        <v>5.0858232676414539E-3</v>
      </c>
      <c r="E527" s="20">
        <v>44218</v>
      </c>
      <c r="F527" s="18">
        <v>1.5940000000000001</v>
      </c>
      <c r="G527" s="12">
        <f t="shared" si="41"/>
        <v>-1.2531328320802015E-3</v>
      </c>
      <c r="H527" s="18">
        <v>1.5960000000000001</v>
      </c>
      <c r="I527" s="12">
        <f t="shared" si="42"/>
        <v>-1.2515644555694629E-3</v>
      </c>
      <c r="J527" s="18">
        <v>1.5940000000000001</v>
      </c>
      <c r="K527" s="12">
        <f t="shared" si="43"/>
        <v>-6.269592476488338E-4</v>
      </c>
      <c r="L527" s="18">
        <v>1.5940000000000001</v>
      </c>
      <c r="M527" s="12">
        <f t="shared" si="44"/>
        <v>6.2774639045832517E-4</v>
      </c>
    </row>
    <row r="528" spans="1:13" x14ac:dyDescent="0.25">
      <c r="A528" s="11">
        <v>44225</v>
      </c>
      <c r="B528" s="10">
        <v>1.6060000000000001</v>
      </c>
      <c r="C528" s="12">
        <f t="shared" si="40"/>
        <v>1.5812776723592749E-2</v>
      </c>
      <c r="E528" s="20">
        <v>44225</v>
      </c>
      <c r="F528" s="18">
        <v>1.601</v>
      </c>
      <c r="G528" s="12">
        <f t="shared" si="41"/>
        <v>4.3914680050187544E-3</v>
      </c>
      <c r="H528" s="18">
        <v>1.6</v>
      </c>
      <c r="I528" s="12">
        <f t="shared" si="42"/>
        <v>2.506265664160403E-3</v>
      </c>
      <c r="J528" s="18">
        <v>1.597</v>
      </c>
      <c r="K528" s="12">
        <f t="shared" si="43"/>
        <v>1.8820577164365693E-3</v>
      </c>
      <c r="L528" s="18">
        <v>1.595</v>
      </c>
      <c r="M528" s="12">
        <f t="shared" si="44"/>
        <v>6.2735257214547669E-4</v>
      </c>
    </row>
    <row r="529" spans="1:13" x14ac:dyDescent="0.25">
      <c r="A529" s="11">
        <v>44232</v>
      </c>
      <c r="B529" s="10">
        <v>1.665</v>
      </c>
      <c r="C529" s="12">
        <f t="shared" si="40"/>
        <v>3.6737235367372313E-2</v>
      </c>
      <c r="E529" s="20">
        <v>44232</v>
      </c>
      <c r="F529" s="18">
        <v>1.6859999999999999</v>
      </c>
      <c r="G529" s="12">
        <f t="shared" si="41"/>
        <v>5.3091817613991232E-2</v>
      </c>
      <c r="H529" s="18">
        <v>1.677</v>
      </c>
      <c r="I529" s="12">
        <f t="shared" si="42"/>
        <v>4.8124999999999973E-2</v>
      </c>
      <c r="J529" s="18">
        <v>1.673</v>
      </c>
      <c r="K529" s="12">
        <f t="shared" si="43"/>
        <v>4.7589229805886077E-2</v>
      </c>
      <c r="L529" s="18">
        <v>1.671</v>
      </c>
      <c r="M529" s="12">
        <f t="shared" si="44"/>
        <v>4.764890282131666E-2</v>
      </c>
    </row>
    <row r="530" spans="1:13" x14ac:dyDescent="0.25">
      <c r="A530" s="11">
        <v>44239</v>
      </c>
      <c r="B530" s="10">
        <v>1.6850000000000001</v>
      </c>
      <c r="C530" s="12">
        <f t="shared" si="40"/>
        <v>1.2012012012012022E-2</v>
      </c>
      <c r="E530" s="20">
        <v>44239</v>
      </c>
      <c r="F530" s="18">
        <v>1.756</v>
      </c>
      <c r="G530" s="12">
        <f t="shared" si="41"/>
        <v>4.1518386714116291E-2</v>
      </c>
      <c r="H530" s="18">
        <v>1.7490000000000001</v>
      </c>
      <c r="I530" s="12">
        <f t="shared" si="42"/>
        <v>4.2933810375670879E-2</v>
      </c>
      <c r="J530" s="18">
        <v>1.744</v>
      </c>
      <c r="K530" s="12">
        <f t="shared" si="43"/>
        <v>4.2438732815301826E-2</v>
      </c>
      <c r="L530" s="18">
        <v>1.7410000000000001</v>
      </c>
      <c r="M530" s="12">
        <f t="shared" si="44"/>
        <v>4.1891083183722359E-2</v>
      </c>
    </row>
    <row r="531" spans="1:13" x14ac:dyDescent="0.25">
      <c r="A531" s="11">
        <v>44246</v>
      </c>
      <c r="B531" s="10">
        <v>1.8069999999999999</v>
      </c>
      <c r="C531" s="12">
        <f t="shared" si="40"/>
        <v>7.2403560830860469E-2</v>
      </c>
      <c r="E531" s="20">
        <v>44246</v>
      </c>
      <c r="F531" s="18">
        <v>1.8280000000000001</v>
      </c>
      <c r="G531" s="12">
        <f t="shared" si="41"/>
        <v>4.1002277904328054E-2</v>
      </c>
      <c r="H531" s="18">
        <v>1.8149999999999999</v>
      </c>
      <c r="I531" s="12">
        <f t="shared" si="42"/>
        <v>3.7735849056603675E-2</v>
      </c>
      <c r="J531" s="18">
        <v>1.8049999999999999</v>
      </c>
      <c r="K531" s="12">
        <f t="shared" si="43"/>
        <v>3.4977064220183457E-2</v>
      </c>
      <c r="L531" s="18">
        <v>1.8</v>
      </c>
      <c r="M531" s="12">
        <f t="shared" si="44"/>
        <v>3.3888569787478423E-2</v>
      </c>
    </row>
    <row r="532" spans="1:13" x14ac:dyDescent="0.25">
      <c r="A532" s="11">
        <v>44253</v>
      </c>
      <c r="B532" s="10">
        <v>1.897</v>
      </c>
      <c r="C532" s="12">
        <f t="shared" si="40"/>
        <v>4.9806308799114601E-2</v>
      </c>
      <c r="E532" s="20">
        <v>44253</v>
      </c>
      <c r="F532" s="18">
        <v>1.88</v>
      </c>
      <c r="G532" s="12">
        <f t="shared" si="41"/>
        <v>2.8446389496717628E-2</v>
      </c>
      <c r="H532" s="18">
        <v>1.871</v>
      </c>
      <c r="I532" s="12">
        <f t="shared" si="42"/>
        <v>3.0853994490358156E-2</v>
      </c>
      <c r="J532" s="18">
        <v>1.861</v>
      </c>
      <c r="K532" s="12">
        <f t="shared" si="43"/>
        <v>3.1024930747922466E-2</v>
      </c>
      <c r="L532" s="18">
        <v>1.8540000000000001</v>
      </c>
      <c r="M532" s="12">
        <f t="shared" si="44"/>
        <v>3.0000000000000027E-2</v>
      </c>
    </row>
    <row r="533" spans="1:13" x14ac:dyDescent="0.25">
      <c r="A533" s="11">
        <v>44260</v>
      </c>
      <c r="B533" s="10">
        <v>1.94</v>
      </c>
      <c r="C533" s="12">
        <f t="shared" si="40"/>
        <v>2.2667369530838127E-2</v>
      </c>
      <c r="E533" s="20">
        <v>44260</v>
      </c>
      <c r="F533" s="18">
        <v>1.861</v>
      </c>
      <c r="G533" s="12">
        <f t="shared" si="41"/>
        <v>-1.0106382978723355E-2</v>
      </c>
      <c r="H533" s="18">
        <v>1.8560000000000001</v>
      </c>
      <c r="I533" s="12">
        <f t="shared" si="42"/>
        <v>-8.0171031533938543E-3</v>
      </c>
      <c r="J533" s="18">
        <v>1.851</v>
      </c>
      <c r="K533" s="12">
        <f t="shared" si="43"/>
        <v>-5.3734551316496557E-3</v>
      </c>
      <c r="L533" s="18">
        <v>1.8480000000000001</v>
      </c>
      <c r="M533" s="12">
        <f t="shared" si="44"/>
        <v>-3.2362459546925594E-3</v>
      </c>
    </row>
    <row r="534" spans="1:13" x14ac:dyDescent="0.25">
      <c r="A534" s="11">
        <v>44267</v>
      </c>
      <c r="B534" s="10">
        <v>2.081</v>
      </c>
      <c r="C534" s="12">
        <f t="shared" si="40"/>
        <v>7.2680412371134026E-2</v>
      </c>
      <c r="E534" s="20">
        <v>44267</v>
      </c>
      <c r="F534" s="18">
        <v>1.9319999999999999</v>
      </c>
      <c r="G534" s="12">
        <f t="shared" si="41"/>
        <v>3.8151531434712498E-2</v>
      </c>
      <c r="H534" s="18">
        <v>1.931</v>
      </c>
      <c r="I534" s="12">
        <f t="shared" si="42"/>
        <v>4.0409482758620663E-2</v>
      </c>
      <c r="J534" s="18">
        <v>1.929</v>
      </c>
      <c r="K534" s="12">
        <f t="shared" si="43"/>
        <v>4.2139384116693719E-2</v>
      </c>
      <c r="L534" s="18">
        <v>1.927</v>
      </c>
      <c r="M534" s="12">
        <f t="shared" si="44"/>
        <v>4.2748917748917724E-2</v>
      </c>
    </row>
    <row r="535" spans="1:13" x14ac:dyDescent="0.25">
      <c r="A535" s="11">
        <v>44274</v>
      </c>
      <c r="B535" s="10">
        <v>2.04</v>
      </c>
      <c r="C535" s="12">
        <f t="shared" si="40"/>
        <v>-1.9702066314271949E-2</v>
      </c>
      <c r="E535" s="20">
        <v>44274</v>
      </c>
      <c r="F535" s="18">
        <v>1.879</v>
      </c>
      <c r="G535" s="12">
        <f t="shared" si="41"/>
        <v>-2.7432712215320877E-2</v>
      </c>
      <c r="H535" s="18">
        <v>1.879</v>
      </c>
      <c r="I535" s="12">
        <f t="shared" si="42"/>
        <v>-2.6929052304505461E-2</v>
      </c>
      <c r="J535" s="18">
        <v>1.8779999999999999</v>
      </c>
      <c r="K535" s="12">
        <f t="shared" si="43"/>
        <v>-2.6438569206843003E-2</v>
      </c>
      <c r="L535" s="18">
        <v>1.8779999999999999</v>
      </c>
      <c r="M535" s="12">
        <f t="shared" si="44"/>
        <v>-2.5428126621691829E-2</v>
      </c>
    </row>
    <row r="536" spans="1:13" x14ac:dyDescent="0.25">
      <c r="A536" s="11">
        <v>44281</v>
      </c>
      <c r="B536" s="10">
        <v>1.9079999999999999</v>
      </c>
      <c r="C536" s="12">
        <f t="shared" si="40"/>
        <v>-6.4705882352941238E-2</v>
      </c>
      <c r="E536" s="20">
        <v>44281</v>
      </c>
      <c r="F536" s="18">
        <v>1.792</v>
      </c>
      <c r="G536" s="12">
        <f t="shared" si="41"/>
        <v>-4.6301224055348575E-2</v>
      </c>
      <c r="H536" s="18">
        <v>1.794</v>
      </c>
      <c r="I536" s="12">
        <f t="shared" si="42"/>
        <v>-4.5236828100053202E-2</v>
      </c>
      <c r="J536" s="18">
        <v>1.7949999999999999</v>
      </c>
      <c r="K536" s="12">
        <f t="shared" si="43"/>
        <v>-4.4195953141640022E-2</v>
      </c>
      <c r="L536" s="18">
        <v>1.798</v>
      </c>
      <c r="M536" s="12">
        <f t="shared" si="44"/>
        <v>-4.2598509052183098E-2</v>
      </c>
    </row>
    <row r="537" spans="1:13" x14ac:dyDescent="0.25">
      <c r="A537" s="11">
        <v>44288</v>
      </c>
      <c r="B537" s="10">
        <v>1.9590000000000001</v>
      </c>
      <c r="C537" s="12">
        <f t="shared" si="40"/>
        <v>2.6729559748427757E-2</v>
      </c>
      <c r="E537" s="20">
        <v>44288</v>
      </c>
      <c r="F537" s="18">
        <v>1.8009999999999999</v>
      </c>
      <c r="G537" s="12">
        <f t="shared" si="41"/>
        <v>5.0223214285713708E-3</v>
      </c>
      <c r="H537" s="18">
        <v>1.802</v>
      </c>
      <c r="I537" s="12">
        <f t="shared" si="42"/>
        <v>4.4593088071348983E-3</v>
      </c>
      <c r="J537" s="18">
        <v>1.8049999999999999</v>
      </c>
      <c r="K537" s="12">
        <f t="shared" si="43"/>
        <v>5.5710306406685289E-3</v>
      </c>
      <c r="L537" s="18">
        <v>1.8080000000000001</v>
      </c>
      <c r="M537" s="12">
        <f t="shared" si="44"/>
        <v>5.5617352614015618E-3</v>
      </c>
    </row>
    <row r="538" spans="1:13" x14ac:dyDescent="0.25">
      <c r="A538" s="11">
        <v>44295</v>
      </c>
      <c r="B538" s="10">
        <v>1.9450000000000001</v>
      </c>
      <c r="C538" s="12">
        <f t="shared" si="40"/>
        <v>-7.1465033180194036E-3</v>
      </c>
      <c r="E538" s="20">
        <v>44295</v>
      </c>
      <c r="F538" s="18">
        <v>1.798</v>
      </c>
      <c r="G538" s="12">
        <f t="shared" si="41"/>
        <v>-1.665741254858352E-3</v>
      </c>
      <c r="H538" s="18">
        <v>1.8</v>
      </c>
      <c r="I538" s="12">
        <f t="shared" si="42"/>
        <v>-1.1098779134295236E-3</v>
      </c>
      <c r="J538" s="18">
        <v>1.8029999999999999</v>
      </c>
      <c r="K538" s="12">
        <f t="shared" si="43"/>
        <v>-1.1080332409972309E-3</v>
      </c>
      <c r="L538" s="18">
        <v>1.806</v>
      </c>
      <c r="M538" s="12">
        <f t="shared" si="44"/>
        <v>-1.1061946902654876E-3</v>
      </c>
    </row>
    <row r="539" spans="1:13" x14ac:dyDescent="0.25">
      <c r="A539" s="11">
        <v>44302</v>
      </c>
      <c r="B539" s="10">
        <v>2.0030000000000001</v>
      </c>
      <c r="C539" s="12">
        <f t="shared" si="40"/>
        <v>2.9820051413881773E-2</v>
      </c>
      <c r="E539" s="20">
        <v>44302</v>
      </c>
      <c r="F539" s="18">
        <v>1.8620000000000001</v>
      </c>
      <c r="G539" s="12">
        <f t="shared" si="41"/>
        <v>3.5595105672969994E-2</v>
      </c>
      <c r="H539" s="18">
        <v>1.863</v>
      </c>
      <c r="I539" s="12">
        <f t="shared" si="42"/>
        <v>3.4999999999999969E-2</v>
      </c>
      <c r="J539" s="18">
        <v>1.8660000000000001</v>
      </c>
      <c r="K539" s="12">
        <f t="shared" si="43"/>
        <v>3.4941763727121558E-2</v>
      </c>
      <c r="L539" s="18">
        <v>1.87</v>
      </c>
      <c r="M539" s="12">
        <f t="shared" si="44"/>
        <v>3.5437430786268029E-2</v>
      </c>
    </row>
    <row r="540" spans="1:13" x14ac:dyDescent="0.25">
      <c r="A540" s="11">
        <v>44309</v>
      </c>
      <c r="B540" s="10">
        <v>1.9790000000000001</v>
      </c>
      <c r="C540" s="12">
        <f t="shared" si="40"/>
        <v>-1.1982026959560669E-2</v>
      </c>
      <c r="E540" s="20">
        <v>44309</v>
      </c>
      <c r="F540" s="18">
        <v>1.8720000000000001</v>
      </c>
      <c r="G540" s="12">
        <f t="shared" si="41"/>
        <v>5.3705692803437208E-3</v>
      </c>
      <c r="H540" s="18">
        <v>1.8740000000000001</v>
      </c>
      <c r="I540" s="12">
        <f t="shared" si="42"/>
        <v>5.9044551798175639E-3</v>
      </c>
      <c r="J540" s="18">
        <v>1.877</v>
      </c>
      <c r="K540" s="12">
        <f t="shared" si="43"/>
        <v>5.8949624866023037E-3</v>
      </c>
      <c r="L540" s="18">
        <v>1.88</v>
      </c>
      <c r="M540" s="12">
        <f t="shared" si="44"/>
        <v>5.3475935828875866E-3</v>
      </c>
    </row>
    <row r="541" spans="1:13" x14ac:dyDescent="0.25">
      <c r="A541" s="11">
        <v>44316</v>
      </c>
      <c r="B541" s="10">
        <v>2.0230000000000001</v>
      </c>
      <c r="C541" s="12">
        <f t="shared" si="40"/>
        <v>2.2233451237999007E-2</v>
      </c>
      <c r="E541" s="20">
        <v>44316</v>
      </c>
      <c r="F541" s="18">
        <v>1.921</v>
      </c>
      <c r="G541" s="12">
        <f t="shared" si="41"/>
        <v>2.6175213675213638E-2</v>
      </c>
      <c r="H541" s="18">
        <v>1.923</v>
      </c>
      <c r="I541" s="12">
        <f t="shared" si="42"/>
        <v>2.6147278548559194E-2</v>
      </c>
      <c r="J541" s="18">
        <v>1.9239999999999999</v>
      </c>
      <c r="K541" s="12">
        <f t="shared" si="43"/>
        <v>2.5039957378795913E-2</v>
      </c>
      <c r="L541" s="18">
        <v>1.927</v>
      </c>
      <c r="M541" s="12">
        <f t="shared" si="44"/>
        <v>2.5000000000000081E-2</v>
      </c>
    </row>
    <row r="542" spans="1:13" x14ac:dyDescent="0.25">
      <c r="A542" s="11">
        <v>44323</v>
      </c>
      <c r="B542" s="10">
        <v>2.12</v>
      </c>
      <c r="C542" s="12">
        <f t="shared" si="40"/>
        <v>4.7948591201186344E-2</v>
      </c>
      <c r="E542" s="20">
        <v>44323</v>
      </c>
      <c r="F542" s="18">
        <v>1.9910000000000001</v>
      </c>
      <c r="G542" s="12">
        <f t="shared" si="41"/>
        <v>3.6439354502863126E-2</v>
      </c>
      <c r="H542" s="18">
        <v>1.992</v>
      </c>
      <c r="I542" s="12">
        <f t="shared" si="42"/>
        <v>3.588143525741027E-2</v>
      </c>
      <c r="J542" s="18">
        <v>1.994</v>
      </c>
      <c r="K542" s="12">
        <f t="shared" si="43"/>
        <v>3.6382536382536419E-2</v>
      </c>
      <c r="L542" s="18">
        <v>1.9970000000000001</v>
      </c>
      <c r="M542" s="12">
        <f t="shared" si="44"/>
        <v>3.6325895173845386E-2</v>
      </c>
    </row>
    <row r="543" spans="1:13" x14ac:dyDescent="0.25">
      <c r="A543" s="11">
        <v>44330</v>
      </c>
      <c r="B543" s="10">
        <v>2.1349999999999998</v>
      </c>
      <c r="C543" s="12">
        <f t="shared" si="40"/>
        <v>7.0754716981130568E-3</v>
      </c>
      <c r="E543" s="20">
        <v>44330</v>
      </c>
      <c r="F543" s="18">
        <v>2.0329999999999999</v>
      </c>
      <c r="G543" s="12">
        <f t="shared" si="41"/>
        <v>2.1094927172275145E-2</v>
      </c>
      <c r="H543" s="18">
        <v>2.0310000000000001</v>
      </c>
      <c r="I543" s="12">
        <f t="shared" si="42"/>
        <v>1.9578313253012122E-2</v>
      </c>
      <c r="J543" s="18">
        <v>2.032</v>
      </c>
      <c r="K543" s="12">
        <f t="shared" si="43"/>
        <v>1.9057171514543648E-2</v>
      </c>
      <c r="L543" s="18">
        <v>2.0339999999999998</v>
      </c>
      <c r="M543" s="12">
        <f t="shared" si="44"/>
        <v>1.8527791687531145E-2</v>
      </c>
    </row>
    <row r="544" spans="1:13" x14ac:dyDescent="0.25">
      <c r="A544" s="11">
        <v>44337</v>
      </c>
      <c r="B544" s="10">
        <v>2.105</v>
      </c>
      <c r="C544" s="12">
        <f t="shared" si="40"/>
        <v>-1.405152224824347E-2</v>
      </c>
      <c r="E544" s="20">
        <v>44337</v>
      </c>
      <c r="F544" s="18">
        <v>2.0150000000000001</v>
      </c>
      <c r="G544" s="12">
        <f t="shared" si="41"/>
        <v>-8.8539104771272973E-3</v>
      </c>
      <c r="H544" s="18">
        <v>2.0139999999999998</v>
      </c>
      <c r="I544" s="12">
        <f t="shared" si="42"/>
        <v>-8.3702609551946569E-3</v>
      </c>
      <c r="J544" s="18">
        <v>2.0150000000000001</v>
      </c>
      <c r="K544" s="12">
        <f t="shared" si="43"/>
        <v>-8.3661417322834167E-3</v>
      </c>
      <c r="L544" s="18">
        <v>2.0169999999999999</v>
      </c>
      <c r="M544" s="12">
        <f t="shared" si="44"/>
        <v>-8.3579154375614095E-3</v>
      </c>
    </row>
    <row r="545" spans="1:13" x14ac:dyDescent="0.25">
      <c r="A545" s="11">
        <v>44344</v>
      </c>
      <c r="B545" s="10">
        <v>2.1059999999999999</v>
      </c>
      <c r="C545" s="12">
        <f t="shared" si="40"/>
        <v>4.7505938242275054E-4</v>
      </c>
      <c r="E545" s="20">
        <v>44344</v>
      </c>
      <c r="F545" s="18">
        <v>2.0449999999999999</v>
      </c>
      <c r="G545" s="12">
        <f t="shared" si="41"/>
        <v>1.4888337468982533E-2</v>
      </c>
      <c r="H545" s="18">
        <v>2.0419999999999998</v>
      </c>
      <c r="I545" s="12">
        <f t="shared" si="42"/>
        <v>1.3902681231380351E-2</v>
      </c>
      <c r="J545" s="18">
        <v>2.044</v>
      </c>
      <c r="K545" s="12">
        <f t="shared" si="43"/>
        <v>1.4392059553349833E-2</v>
      </c>
      <c r="L545" s="18">
        <v>2.0459999999999998</v>
      </c>
      <c r="M545" s="12">
        <f t="shared" si="44"/>
        <v>1.4377788795240414E-2</v>
      </c>
    </row>
    <row r="546" spans="1:13" x14ac:dyDescent="0.25">
      <c r="A546" s="11">
        <v>44351</v>
      </c>
      <c r="B546" s="10">
        <v>2.1560000000000001</v>
      </c>
      <c r="C546" s="12">
        <f t="shared" si="40"/>
        <v>2.3741690408357202E-2</v>
      </c>
      <c r="E546" s="20">
        <v>44351</v>
      </c>
      <c r="F546" s="18">
        <v>2.1</v>
      </c>
      <c r="G546" s="12">
        <f t="shared" si="41"/>
        <v>2.689486552567245E-2</v>
      </c>
      <c r="H546" s="18">
        <v>2.1019999999999999</v>
      </c>
      <c r="I546" s="12">
        <f t="shared" si="42"/>
        <v>2.9382957884427061E-2</v>
      </c>
      <c r="J546" s="18">
        <v>2.105</v>
      </c>
      <c r="K546" s="12">
        <f t="shared" si="43"/>
        <v>2.9843444227005841E-2</v>
      </c>
      <c r="L546" s="18">
        <v>2.1059999999999999</v>
      </c>
      <c r="M546" s="12">
        <f t="shared" si="44"/>
        <v>2.9325513196480968E-2</v>
      </c>
    </row>
    <row r="547" spans="1:13" x14ac:dyDescent="0.25">
      <c r="A547" s="11">
        <v>44358</v>
      </c>
      <c r="B547" s="10">
        <v>2.1619999999999999</v>
      </c>
      <c r="C547" s="12">
        <f t="shared" si="40"/>
        <v>2.7829313543598251E-3</v>
      </c>
      <c r="E547" s="20">
        <v>44358</v>
      </c>
      <c r="F547" s="18">
        <v>2.129</v>
      </c>
      <c r="G547" s="12">
        <f t="shared" si="41"/>
        <v>1.3809523809523768E-2</v>
      </c>
      <c r="H547" s="18">
        <v>2.1320000000000001</v>
      </c>
      <c r="I547" s="12">
        <f t="shared" si="42"/>
        <v>1.4272121788772716E-2</v>
      </c>
      <c r="J547" s="18">
        <v>2.1349999999999998</v>
      </c>
      <c r="K547" s="12">
        <f t="shared" si="43"/>
        <v>1.4251781472683992E-2</v>
      </c>
      <c r="L547" s="18">
        <v>2.1360000000000001</v>
      </c>
      <c r="M547" s="12">
        <f t="shared" si="44"/>
        <v>1.4245014245014363E-2</v>
      </c>
    </row>
    <row r="548" spans="1:13" x14ac:dyDescent="0.25">
      <c r="A548" s="11">
        <v>44365</v>
      </c>
      <c r="B548" s="10">
        <v>2.121</v>
      </c>
      <c r="C548" s="12">
        <f t="shared" si="40"/>
        <v>-1.8963922294172028E-2</v>
      </c>
      <c r="E548" s="20">
        <v>44365</v>
      </c>
      <c r="F548" s="18">
        <v>2.097</v>
      </c>
      <c r="G548" s="12">
        <f t="shared" si="41"/>
        <v>-1.5030530765617674E-2</v>
      </c>
      <c r="H548" s="18">
        <v>2.1</v>
      </c>
      <c r="I548" s="12">
        <f t="shared" si="42"/>
        <v>-1.5009380863039412E-2</v>
      </c>
      <c r="J548" s="18">
        <v>2.1040000000000001</v>
      </c>
      <c r="K548" s="12">
        <f t="shared" si="43"/>
        <v>-1.451990632318487E-2</v>
      </c>
      <c r="L548" s="18">
        <v>2.105</v>
      </c>
      <c r="M548" s="12">
        <f t="shared" si="44"/>
        <v>-1.4513108614232273E-2</v>
      </c>
    </row>
    <row r="549" spans="1:13" x14ac:dyDescent="0.25">
      <c r="A549" s="11">
        <v>44372</v>
      </c>
      <c r="B549" s="10">
        <v>2.2080000000000002</v>
      </c>
      <c r="C549" s="12">
        <f t="shared" si="40"/>
        <v>4.1018387553041109E-2</v>
      </c>
      <c r="E549" s="20">
        <v>44372</v>
      </c>
      <c r="F549" s="18">
        <v>2.15</v>
      </c>
      <c r="G549" s="12">
        <f t="shared" si="41"/>
        <v>2.5274201239866446E-2</v>
      </c>
      <c r="H549" s="18">
        <v>2.153</v>
      </c>
      <c r="I549" s="12">
        <f t="shared" si="42"/>
        <v>2.5238095238095205E-2</v>
      </c>
      <c r="J549" s="18">
        <v>2.1549999999999998</v>
      </c>
      <c r="K549" s="12">
        <f t="shared" si="43"/>
        <v>2.4239543726235605E-2</v>
      </c>
      <c r="L549" s="18">
        <v>2.1560000000000001</v>
      </c>
      <c r="M549" s="12">
        <f t="shared" si="44"/>
        <v>2.422802850356302E-2</v>
      </c>
    </row>
    <row r="550" spans="1:13" x14ac:dyDescent="0.25">
      <c r="A550" s="11">
        <v>44379</v>
      </c>
      <c r="B550" s="10">
        <v>2.2210000000000001</v>
      </c>
      <c r="C550" s="12">
        <f t="shared" si="40"/>
        <v>5.887681159420244E-3</v>
      </c>
      <c r="E550" s="20">
        <v>44379</v>
      </c>
      <c r="F550" s="18">
        <v>2.141</v>
      </c>
      <c r="G550" s="12">
        <f t="shared" si="41"/>
        <v>-4.1860465116278596E-3</v>
      </c>
      <c r="H550" s="18">
        <v>2.1429999999999998</v>
      </c>
      <c r="I550" s="12">
        <f t="shared" si="42"/>
        <v>-4.6446818392941154E-3</v>
      </c>
      <c r="J550" s="18">
        <v>2.1440000000000001</v>
      </c>
      <c r="K550" s="12">
        <f t="shared" si="43"/>
        <v>-5.1044083526680635E-3</v>
      </c>
      <c r="L550" s="18">
        <v>2.1440000000000001</v>
      </c>
      <c r="M550" s="12">
        <f t="shared" si="44"/>
        <v>-5.5658627087198558E-3</v>
      </c>
    </row>
    <row r="551" spans="1:13" x14ac:dyDescent="0.25">
      <c r="A551" s="11">
        <v>44386</v>
      </c>
      <c r="B551" s="10">
        <v>2.2200000000000002</v>
      </c>
      <c r="C551" s="12">
        <f t="shared" si="40"/>
        <v>-4.5024763619986034E-4</v>
      </c>
      <c r="E551" s="20">
        <v>44386</v>
      </c>
      <c r="F551" s="18">
        <v>2.117</v>
      </c>
      <c r="G551" s="12">
        <f t="shared" si="41"/>
        <v>-1.120971508640823E-2</v>
      </c>
      <c r="H551" s="18">
        <v>2.1190000000000002</v>
      </c>
      <c r="I551" s="12">
        <f t="shared" si="42"/>
        <v>-1.1199253383107597E-2</v>
      </c>
      <c r="J551" s="18">
        <v>2.1190000000000002</v>
      </c>
      <c r="K551" s="12">
        <f t="shared" si="43"/>
        <v>-1.1660447761193987E-2</v>
      </c>
      <c r="L551" s="18">
        <v>2.117</v>
      </c>
      <c r="M551" s="12">
        <f t="shared" si="44"/>
        <v>-1.2593283582089615E-2</v>
      </c>
    </row>
    <row r="552" spans="1:13" x14ac:dyDescent="0.25">
      <c r="A552" s="11">
        <v>44393</v>
      </c>
      <c r="B552" s="10">
        <v>2.2679999999999998</v>
      </c>
      <c r="C552" s="12">
        <f t="shared" si="40"/>
        <v>2.1621621621621439E-2</v>
      </c>
      <c r="E552" s="20">
        <v>44393</v>
      </c>
      <c r="F552" s="18">
        <v>2.141</v>
      </c>
      <c r="G552" s="12">
        <f t="shared" si="41"/>
        <v>1.1336797354747293E-2</v>
      </c>
      <c r="H552" s="18">
        <v>2.1429999999999998</v>
      </c>
      <c r="I552" s="12">
        <f t="shared" si="42"/>
        <v>1.1326097215667567E-2</v>
      </c>
      <c r="J552" s="18">
        <v>2.1429999999999998</v>
      </c>
      <c r="K552" s="12">
        <f t="shared" si="43"/>
        <v>1.1326097215667567E-2</v>
      </c>
      <c r="L552" s="18">
        <v>2.14</v>
      </c>
      <c r="M552" s="12">
        <f t="shared" si="44"/>
        <v>1.0864430798299542E-2</v>
      </c>
    </row>
    <row r="553" spans="1:13" x14ac:dyDescent="0.25">
      <c r="A553" s="11">
        <v>44400</v>
      </c>
      <c r="B553" s="10">
        <v>2.2040000000000002</v>
      </c>
      <c r="C553" s="12">
        <f t="shared" si="40"/>
        <v>-2.8218694885361384E-2</v>
      </c>
      <c r="E553" s="20">
        <v>44400</v>
      </c>
      <c r="F553" s="18">
        <v>2.0699999999999998</v>
      </c>
      <c r="G553" s="12">
        <f t="shared" si="41"/>
        <v>-3.3162073797291067E-2</v>
      </c>
      <c r="H553" s="18">
        <v>2.0720000000000001</v>
      </c>
      <c r="I553" s="12">
        <f t="shared" si="42"/>
        <v>-3.3131124591693761E-2</v>
      </c>
      <c r="J553" s="18">
        <v>2.0710000000000002</v>
      </c>
      <c r="K553" s="12">
        <f t="shared" si="43"/>
        <v>-3.3597760149323204E-2</v>
      </c>
      <c r="L553" s="18">
        <v>2.069</v>
      </c>
      <c r="M553" s="12">
        <f t="shared" si="44"/>
        <v>-3.3177570093458023E-2</v>
      </c>
    </row>
    <row r="554" spans="1:13" x14ac:dyDescent="0.25">
      <c r="A554" s="11">
        <v>44407</v>
      </c>
      <c r="B554" s="10">
        <v>2.33</v>
      </c>
      <c r="C554" s="12">
        <f t="shared" si="40"/>
        <v>5.7168784029038057E-2</v>
      </c>
      <c r="E554" s="20">
        <v>44407</v>
      </c>
      <c r="F554" s="18">
        <v>2.1680000000000001</v>
      </c>
      <c r="G554" s="12">
        <f t="shared" si="41"/>
        <v>4.7342995169082282E-2</v>
      </c>
      <c r="H554" s="18">
        <v>2.169</v>
      </c>
      <c r="I554" s="12">
        <f t="shared" si="42"/>
        <v>4.6814671814671804E-2</v>
      </c>
      <c r="J554" s="18">
        <v>2.1680000000000001</v>
      </c>
      <c r="K554" s="12">
        <f t="shared" si="43"/>
        <v>4.6837276677933352E-2</v>
      </c>
      <c r="L554" s="18">
        <v>2.1659999999999999</v>
      </c>
      <c r="M554" s="12">
        <f t="shared" si="44"/>
        <v>4.6882551957467364E-2</v>
      </c>
    </row>
    <row r="555" spans="1:13" x14ac:dyDescent="0.25">
      <c r="A555" s="11">
        <v>44414</v>
      </c>
      <c r="B555" s="10">
        <v>2.282</v>
      </c>
      <c r="C555" s="12">
        <f t="shared" si="40"/>
        <v>-2.060085836909873E-2</v>
      </c>
      <c r="E555" s="20">
        <v>44414</v>
      </c>
      <c r="F555" s="18">
        <v>2.105</v>
      </c>
      <c r="G555" s="12">
        <f t="shared" si="41"/>
        <v>-2.9059040590405979E-2</v>
      </c>
      <c r="H555" s="18">
        <v>2.1080000000000001</v>
      </c>
      <c r="I555" s="12">
        <f t="shared" si="42"/>
        <v>-2.8123559243891167E-2</v>
      </c>
      <c r="J555" s="18">
        <v>2.1080000000000001</v>
      </c>
      <c r="K555" s="12">
        <f t="shared" si="43"/>
        <v>-2.7675276752767552E-2</v>
      </c>
      <c r="L555" s="18">
        <v>2.1059999999999999</v>
      </c>
      <c r="M555" s="12">
        <f t="shared" si="44"/>
        <v>-2.7700831024930775E-2</v>
      </c>
    </row>
    <row r="556" spans="1:13" x14ac:dyDescent="0.25">
      <c r="A556" s="11">
        <v>44421</v>
      </c>
      <c r="B556" s="10">
        <v>2.2839999999999998</v>
      </c>
      <c r="C556" s="12">
        <f t="shared" si="40"/>
        <v>8.7642418930752831E-4</v>
      </c>
      <c r="E556" s="20">
        <v>44421</v>
      </c>
      <c r="F556" s="18">
        <v>2.0819999999999999</v>
      </c>
      <c r="G556" s="12">
        <f t="shared" si="41"/>
        <v>-1.0926365795724528E-2</v>
      </c>
      <c r="H556" s="18">
        <v>2.085</v>
      </c>
      <c r="I556" s="12">
        <f t="shared" si="42"/>
        <v>-1.0910815939278999E-2</v>
      </c>
      <c r="J556" s="18">
        <v>2.0859999999999999</v>
      </c>
      <c r="K556" s="12">
        <f t="shared" si="43"/>
        <v>-1.0436432637571271E-2</v>
      </c>
      <c r="L556" s="18">
        <v>2.0840000000000001</v>
      </c>
      <c r="M556" s="12">
        <f t="shared" si="44"/>
        <v>-1.0446343779677018E-2</v>
      </c>
    </row>
    <row r="557" spans="1:13" x14ac:dyDescent="0.25">
      <c r="A557" s="11">
        <v>44428</v>
      </c>
      <c r="B557" s="10">
        <v>2.1219999999999999</v>
      </c>
      <c r="C557" s="12">
        <f t="shared" si="40"/>
        <v>-7.0928196147110309E-2</v>
      </c>
      <c r="E557" s="20">
        <v>44428</v>
      </c>
      <c r="F557" s="18">
        <v>1.996</v>
      </c>
      <c r="G557" s="12">
        <f t="shared" si="41"/>
        <v>-4.130643611911617E-2</v>
      </c>
      <c r="H557" s="18">
        <v>1.9990000000000001</v>
      </c>
      <c r="I557" s="12">
        <f t="shared" si="42"/>
        <v>-4.1247002398081468E-2</v>
      </c>
      <c r="J557" s="18">
        <v>2</v>
      </c>
      <c r="K557" s="12">
        <f t="shared" si="43"/>
        <v>-4.1227229146692169E-2</v>
      </c>
      <c r="L557" s="18">
        <v>1.998</v>
      </c>
      <c r="M557" s="12">
        <f t="shared" si="44"/>
        <v>-4.1266794625719805E-2</v>
      </c>
    </row>
    <row r="558" spans="1:13" x14ac:dyDescent="0.25">
      <c r="A558" s="11">
        <v>44435</v>
      </c>
      <c r="B558" s="10">
        <v>2.2250000000000001</v>
      </c>
      <c r="C558" s="12">
        <f t="shared" si="40"/>
        <v>4.8539114043355425E-2</v>
      </c>
      <c r="E558" s="20">
        <v>44435</v>
      </c>
      <c r="F558" s="18">
        <v>2.0760000000000001</v>
      </c>
      <c r="G558" s="12">
        <f t="shared" si="41"/>
        <v>4.0080160320641316E-2</v>
      </c>
      <c r="H558" s="18">
        <v>2.077</v>
      </c>
      <c r="I558" s="12">
        <f t="shared" si="42"/>
        <v>3.9019509754877363E-2</v>
      </c>
      <c r="J558" s="18">
        <v>2.0739999999999998</v>
      </c>
      <c r="K558" s="12">
        <f t="shared" si="43"/>
        <v>3.6999999999999922E-2</v>
      </c>
      <c r="L558" s="18">
        <v>2.0699999999999998</v>
      </c>
      <c r="M558" s="12">
        <f t="shared" si="44"/>
        <v>3.6036036036035959E-2</v>
      </c>
    </row>
    <row r="559" spans="1:13" x14ac:dyDescent="0.25">
      <c r="A559" s="11">
        <v>44442</v>
      </c>
      <c r="B559" s="10">
        <v>2.319</v>
      </c>
      <c r="C559" s="12">
        <f t="shared" si="40"/>
        <v>4.2247191011235891E-2</v>
      </c>
      <c r="E559" s="20">
        <v>44442</v>
      </c>
      <c r="F559" s="18">
        <v>2.145</v>
      </c>
      <c r="G559" s="12">
        <f t="shared" si="41"/>
        <v>3.3236994219653156E-2</v>
      </c>
      <c r="H559" s="18">
        <v>2.1419999999999999</v>
      </c>
      <c r="I559" s="12">
        <f t="shared" si="42"/>
        <v>3.1295137217140084E-2</v>
      </c>
      <c r="J559" s="18">
        <v>2.1360000000000001</v>
      </c>
      <c r="K559" s="12">
        <f t="shared" si="43"/>
        <v>2.9893924783028099E-2</v>
      </c>
      <c r="L559" s="18">
        <v>2.1309999999999998</v>
      </c>
      <c r="M559" s="12">
        <f t="shared" si="44"/>
        <v>2.9468599033816399E-2</v>
      </c>
    </row>
    <row r="560" spans="1:13" x14ac:dyDescent="0.25">
      <c r="A560" s="11">
        <v>44449</v>
      </c>
      <c r="B560" s="10">
        <v>2.2869999999999999</v>
      </c>
      <c r="C560" s="12">
        <f t="shared" si="40"/>
        <v>-1.3799051315222091E-2</v>
      </c>
      <c r="E560" s="20">
        <v>44449</v>
      </c>
      <c r="F560" s="18">
        <v>2.13</v>
      </c>
      <c r="G560" s="12">
        <f t="shared" si="41"/>
        <v>-6.9930069930070511E-3</v>
      </c>
      <c r="H560" s="18">
        <v>2.1269999999999998</v>
      </c>
      <c r="I560" s="12">
        <f t="shared" si="42"/>
        <v>-7.0028011204482377E-3</v>
      </c>
      <c r="J560" s="18">
        <v>2.1230000000000002</v>
      </c>
      <c r="K560" s="12">
        <f t="shared" si="43"/>
        <v>-6.0861423220973316E-3</v>
      </c>
      <c r="L560" s="18">
        <v>2.117</v>
      </c>
      <c r="M560" s="12">
        <f t="shared" si="44"/>
        <v>-6.5696855936179218E-3</v>
      </c>
    </row>
    <row r="561" spans="1:13" x14ac:dyDescent="0.25">
      <c r="A561" s="11">
        <v>44456</v>
      </c>
      <c r="B561" s="10">
        <v>2.3029999999999999</v>
      </c>
      <c r="C561" s="12">
        <f t="shared" si="40"/>
        <v>6.996064713598607E-3</v>
      </c>
      <c r="E561" s="20">
        <v>44456</v>
      </c>
      <c r="F561" s="18">
        <v>2.1890000000000001</v>
      </c>
      <c r="G561" s="12">
        <f t="shared" si="41"/>
        <v>2.7699530516432001E-2</v>
      </c>
      <c r="H561" s="18">
        <v>2.1869999999999998</v>
      </c>
      <c r="I561" s="12">
        <f t="shared" si="42"/>
        <v>2.8208744710860396E-2</v>
      </c>
      <c r="J561" s="18">
        <v>2.1819999999999999</v>
      </c>
      <c r="K561" s="12">
        <f t="shared" si="43"/>
        <v>2.7790861987753046E-2</v>
      </c>
      <c r="L561" s="18">
        <v>2.1749999999999998</v>
      </c>
      <c r="M561" s="12">
        <f t="shared" si="44"/>
        <v>2.7397260273972521E-2</v>
      </c>
    </row>
    <row r="562" spans="1:13" x14ac:dyDescent="0.25">
      <c r="A562" s="11">
        <v>44463</v>
      </c>
      <c r="B562" s="10">
        <v>2.238</v>
      </c>
      <c r="C562" s="12">
        <f t="shared" si="40"/>
        <v>-2.8224055579678657E-2</v>
      </c>
      <c r="E562" s="20">
        <v>44463</v>
      </c>
      <c r="F562" s="18">
        <v>2.2120000000000002</v>
      </c>
      <c r="G562" s="12">
        <f t="shared" si="41"/>
        <v>1.0507080858839713E-2</v>
      </c>
      <c r="H562" s="18">
        <v>2.2090000000000001</v>
      </c>
      <c r="I562" s="12">
        <f t="shared" si="42"/>
        <v>1.0059442158207702E-2</v>
      </c>
      <c r="J562" s="18">
        <v>2.2029999999999998</v>
      </c>
      <c r="K562" s="12">
        <f t="shared" si="43"/>
        <v>9.6241979835013335E-3</v>
      </c>
      <c r="L562" s="18">
        <v>2.194</v>
      </c>
      <c r="M562" s="12">
        <f t="shared" si="44"/>
        <v>8.7356321839081059E-3</v>
      </c>
    </row>
    <row r="563" spans="1:13" x14ac:dyDescent="0.25">
      <c r="A563" s="11">
        <v>44470</v>
      </c>
      <c r="B563" s="10">
        <v>2.294</v>
      </c>
      <c r="C563" s="12">
        <f t="shared" si="40"/>
        <v>2.5022341376228798E-2</v>
      </c>
      <c r="E563" s="20">
        <v>44470</v>
      </c>
      <c r="F563" s="18">
        <v>2.3239999999999998</v>
      </c>
      <c r="G563" s="12">
        <f t="shared" si="41"/>
        <v>5.0632911392404903E-2</v>
      </c>
      <c r="H563" s="18">
        <v>2.3199999999999998</v>
      </c>
      <c r="I563" s="12">
        <f t="shared" si="42"/>
        <v>5.0248981439565306E-2</v>
      </c>
      <c r="J563" s="18">
        <v>2.3130000000000002</v>
      </c>
      <c r="K563" s="12">
        <f t="shared" si="43"/>
        <v>4.9931911030413223E-2</v>
      </c>
      <c r="L563" s="18">
        <v>2.3029999999999999</v>
      </c>
      <c r="M563" s="12">
        <f t="shared" si="44"/>
        <v>4.9680948040109384E-2</v>
      </c>
    </row>
    <row r="564" spans="1:13" x14ac:dyDescent="0.25">
      <c r="A564" s="11">
        <v>44477</v>
      </c>
      <c r="B564" s="10">
        <v>2.4140000000000001</v>
      </c>
      <c r="C564" s="12">
        <f t="shared" si="40"/>
        <v>5.2310374891020098E-2</v>
      </c>
      <c r="E564" s="20">
        <v>44477</v>
      </c>
      <c r="F564" s="18">
        <v>2.4609999999999999</v>
      </c>
      <c r="G564" s="12">
        <f t="shared" si="41"/>
        <v>5.8950086058519799E-2</v>
      </c>
      <c r="H564" s="18">
        <v>2.4540000000000002</v>
      </c>
      <c r="I564" s="12">
        <f t="shared" si="42"/>
        <v>5.7758620689655323E-2</v>
      </c>
      <c r="J564" s="18">
        <v>2.4420000000000002</v>
      </c>
      <c r="K564" s="12">
        <f t="shared" si="43"/>
        <v>5.5771725032425418E-2</v>
      </c>
      <c r="L564" s="18">
        <v>2.4239999999999999</v>
      </c>
      <c r="M564" s="12">
        <f t="shared" si="44"/>
        <v>5.2540165002171083E-2</v>
      </c>
    </row>
    <row r="565" spans="1:13" x14ac:dyDescent="0.25">
      <c r="A565" s="11">
        <v>44484</v>
      </c>
      <c r="B565" s="10">
        <v>2.5019999999999998</v>
      </c>
      <c r="C565" s="12">
        <f t="shared" si="40"/>
        <v>3.6454018227008958E-2</v>
      </c>
      <c r="E565" s="20">
        <v>44484</v>
      </c>
      <c r="F565" s="18">
        <v>2.536</v>
      </c>
      <c r="G565" s="12">
        <f t="shared" si="41"/>
        <v>3.0475416497358871E-2</v>
      </c>
      <c r="H565" s="18">
        <v>2.5259999999999998</v>
      </c>
      <c r="I565" s="12">
        <f t="shared" si="42"/>
        <v>2.933985330073334E-2</v>
      </c>
      <c r="J565" s="18">
        <v>2.5129999999999999</v>
      </c>
      <c r="K565" s="12">
        <f t="shared" si="43"/>
        <v>2.9074529074528961E-2</v>
      </c>
      <c r="L565" s="18">
        <v>2.4940000000000002</v>
      </c>
      <c r="M565" s="12">
        <f t="shared" si="44"/>
        <v>2.8877887788778995E-2</v>
      </c>
    </row>
    <row r="566" spans="1:13" x14ac:dyDescent="0.25">
      <c r="A566" s="11">
        <v>44491</v>
      </c>
      <c r="B566" s="10">
        <v>2.5670000000000002</v>
      </c>
      <c r="C566" s="12">
        <f t="shared" si="40"/>
        <v>2.59792166266988E-2</v>
      </c>
      <c r="E566" s="20">
        <v>44491</v>
      </c>
      <c r="F566" s="18">
        <v>2.5579999999999998</v>
      </c>
      <c r="G566" s="12">
        <f t="shared" si="41"/>
        <v>8.6750788643532323E-3</v>
      </c>
      <c r="H566" s="18">
        <v>2.5499999999999998</v>
      </c>
      <c r="I566" s="12">
        <f t="shared" si="42"/>
        <v>9.5011876484560661E-3</v>
      </c>
      <c r="J566" s="18">
        <v>2.5369999999999999</v>
      </c>
      <c r="K566" s="12">
        <f t="shared" si="43"/>
        <v>9.5503382411460495E-3</v>
      </c>
      <c r="L566" s="18">
        <v>2.5169999999999999</v>
      </c>
      <c r="M566" s="12">
        <f t="shared" si="44"/>
        <v>9.2221331194866415E-3</v>
      </c>
    </row>
    <row r="567" spans="1:13" x14ac:dyDescent="0.25">
      <c r="A567" s="11">
        <v>44498</v>
      </c>
      <c r="B567" s="10">
        <v>2.5489999999999999</v>
      </c>
      <c r="C567" s="12">
        <f t="shared" si="40"/>
        <v>-7.0120763537203879E-3</v>
      </c>
      <c r="E567" s="20">
        <v>44498</v>
      </c>
      <c r="F567" s="18">
        <v>2.5339999999999998</v>
      </c>
      <c r="G567" s="12">
        <f t="shared" si="41"/>
        <v>-9.3823299452697514E-3</v>
      </c>
      <c r="H567" s="18">
        <v>2.5190000000000001</v>
      </c>
      <c r="I567" s="12">
        <f t="shared" si="42"/>
        <v>-1.215686274509792E-2</v>
      </c>
      <c r="J567" s="18">
        <v>2.504</v>
      </c>
      <c r="K567" s="12">
        <f t="shared" si="43"/>
        <v>-1.3007489160425668E-2</v>
      </c>
      <c r="L567" s="18">
        <v>2.4809999999999999</v>
      </c>
      <c r="M567" s="12">
        <f t="shared" si="44"/>
        <v>-1.4302741358760442E-2</v>
      </c>
    </row>
    <row r="568" spans="1:13" x14ac:dyDescent="0.25">
      <c r="A568" s="11">
        <v>44505</v>
      </c>
      <c r="B568" s="10">
        <v>2.4950000000000001</v>
      </c>
      <c r="C568" s="12">
        <f t="shared" si="40"/>
        <v>-2.1184778344448735E-2</v>
      </c>
      <c r="E568" s="20">
        <v>44505</v>
      </c>
      <c r="F568" s="18">
        <v>2.4620000000000002</v>
      </c>
      <c r="G568" s="12">
        <f t="shared" si="41"/>
        <v>-2.8413575374901193E-2</v>
      </c>
      <c r="H568" s="18">
        <v>2.448</v>
      </c>
      <c r="I568" s="12">
        <f t="shared" si="42"/>
        <v>-2.8185788011115591E-2</v>
      </c>
      <c r="J568" s="18">
        <v>2.4249999999999998</v>
      </c>
      <c r="K568" s="12">
        <f t="shared" si="43"/>
        <v>-3.1549520766773233E-2</v>
      </c>
      <c r="L568" s="18">
        <v>2.3969999999999998</v>
      </c>
      <c r="M568" s="12">
        <f t="shared" si="44"/>
        <v>-3.3857315598549001E-2</v>
      </c>
    </row>
    <row r="569" spans="1:13" x14ac:dyDescent="0.25">
      <c r="A569" s="11">
        <v>44512</v>
      </c>
      <c r="B569" s="10">
        <v>2.4300000000000002</v>
      </c>
      <c r="C569" s="12">
        <f t="shared" si="40"/>
        <v>-2.6052104208416811E-2</v>
      </c>
      <c r="E569" s="20">
        <v>44512</v>
      </c>
      <c r="F569" s="18">
        <v>2.456</v>
      </c>
      <c r="G569" s="12">
        <f t="shared" si="41"/>
        <v>-2.4370430544273869E-3</v>
      </c>
      <c r="H569" s="18">
        <v>2.4430000000000001</v>
      </c>
      <c r="I569" s="12">
        <f t="shared" si="42"/>
        <v>-2.0424836601306753E-3</v>
      </c>
      <c r="J569" s="18">
        <v>2.4209999999999998</v>
      </c>
      <c r="K569" s="12">
        <f t="shared" si="43"/>
        <v>-1.6494845360824758E-3</v>
      </c>
      <c r="L569" s="18">
        <v>2.3940000000000001</v>
      </c>
      <c r="M569" s="12">
        <f t="shared" si="44"/>
        <v>-1.2515644555693242E-3</v>
      </c>
    </row>
    <row r="570" spans="1:13" x14ac:dyDescent="0.25">
      <c r="A570" s="11">
        <v>44519</v>
      </c>
      <c r="B570" s="10">
        <v>2.3780000000000001</v>
      </c>
      <c r="C570" s="12">
        <f t="shared" si="40"/>
        <v>-2.1399176954732528E-2</v>
      </c>
      <c r="E570" s="20">
        <v>44519</v>
      </c>
      <c r="F570" s="18">
        <v>2.3740000000000001</v>
      </c>
      <c r="G570" s="12">
        <f t="shared" si="41"/>
        <v>-3.3387622149837072E-2</v>
      </c>
      <c r="H570" s="18">
        <v>2.3660000000000001</v>
      </c>
      <c r="I570" s="12">
        <f t="shared" si="42"/>
        <v>-3.151862464183379E-2</v>
      </c>
      <c r="J570" s="18">
        <v>2.3530000000000002</v>
      </c>
      <c r="K570" s="12">
        <f t="shared" si="43"/>
        <v>-2.8087567121024212E-2</v>
      </c>
      <c r="L570" s="18">
        <v>2.3319999999999999</v>
      </c>
      <c r="M570" s="12">
        <f t="shared" si="44"/>
        <v>-2.589807852965759E-2</v>
      </c>
    </row>
    <row r="571" spans="1:13" x14ac:dyDescent="0.25">
      <c r="A571" s="11">
        <v>44526</v>
      </c>
      <c r="B571" s="10">
        <v>2.3759999999999999</v>
      </c>
      <c r="C571" s="12">
        <f t="shared" si="40"/>
        <v>-8.4104289318764664E-4</v>
      </c>
      <c r="E571" s="20">
        <v>44526</v>
      </c>
      <c r="F571" s="18">
        <v>2.3639999999999999</v>
      </c>
      <c r="G571" s="12">
        <f t="shared" si="41"/>
        <v>-4.2122999157540985E-3</v>
      </c>
      <c r="H571" s="18">
        <v>2.3620000000000001</v>
      </c>
      <c r="I571" s="12">
        <f t="shared" si="42"/>
        <v>-1.6906170752324613E-3</v>
      </c>
      <c r="J571" s="18">
        <v>2.355</v>
      </c>
      <c r="K571" s="12">
        <f t="shared" si="43"/>
        <v>8.4997875053114303E-4</v>
      </c>
      <c r="L571" s="18">
        <v>2.3420000000000001</v>
      </c>
      <c r="M571" s="12">
        <f t="shared" si="44"/>
        <v>4.2881646655232551E-3</v>
      </c>
    </row>
    <row r="572" spans="1:13" x14ac:dyDescent="0.25">
      <c r="A572" s="11">
        <v>44533</v>
      </c>
      <c r="B572" s="10">
        <v>2.0510000000000002</v>
      </c>
      <c r="C572" s="12">
        <f t="shared" si="40"/>
        <v>-0.13678451178451168</v>
      </c>
      <c r="E572" s="20">
        <v>44533</v>
      </c>
      <c r="F572" s="18">
        <v>2.0990000000000002</v>
      </c>
      <c r="G572" s="12">
        <f t="shared" si="41"/>
        <v>-0.11209813874788481</v>
      </c>
      <c r="H572" s="18">
        <v>2.0910000000000002</v>
      </c>
      <c r="I572" s="12">
        <f t="shared" si="42"/>
        <v>-0.11473327688399657</v>
      </c>
      <c r="J572" s="18">
        <v>2.08</v>
      </c>
      <c r="K572" s="12">
        <f t="shared" si="43"/>
        <v>-0.11677282377919317</v>
      </c>
      <c r="L572" s="18">
        <v>2.0619999999999998</v>
      </c>
      <c r="M572" s="12">
        <f t="shared" si="44"/>
        <v>-0.11955593509820676</v>
      </c>
    </row>
    <row r="573" spans="1:13" x14ac:dyDescent="0.25">
      <c r="A573" s="11">
        <v>44540</v>
      </c>
      <c r="B573" s="10">
        <v>2.1960000000000002</v>
      </c>
      <c r="C573" s="12">
        <f t="shared" si="40"/>
        <v>7.0697220867869337E-2</v>
      </c>
      <c r="E573" s="20">
        <v>44540</v>
      </c>
      <c r="F573" s="18">
        <v>2.2320000000000002</v>
      </c>
      <c r="G573" s="12">
        <f t="shared" si="41"/>
        <v>6.3363506431634103E-2</v>
      </c>
      <c r="H573" s="18">
        <v>2.2250000000000001</v>
      </c>
      <c r="I573" s="12">
        <f t="shared" si="42"/>
        <v>6.4084170253467188E-2</v>
      </c>
      <c r="J573" s="18">
        <v>2.2109999999999999</v>
      </c>
      <c r="K573" s="12">
        <f t="shared" si="43"/>
        <v>6.2980769230769118E-2</v>
      </c>
      <c r="L573" s="18">
        <v>2.1890000000000001</v>
      </c>
      <c r="M573" s="12">
        <f t="shared" si="44"/>
        <v>6.1590688651794491E-2</v>
      </c>
    </row>
    <row r="574" spans="1:13" x14ac:dyDescent="0.25">
      <c r="A574" s="11">
        <v>44547</v>
      </c>
      <c r="B574" s="10">
        <v>2.2109999999999999</v>
      </c>
      <c r="C574" s="12">
        <f t="shared" si="40"/>
        <v>6.8306010928960289E-3</v>
      </c>
      <c r="E574" s="20">
        <v>44547</v>
      </c>
      <c r="F574" s="18">
        <v>2.2309999999999999</v>
      </c>
      <c r="G574" s="12">
        <f t="shared" si="41"/>
        <v>-4.4802867383527501E-4</v>
      </c>
      <c r="H574" s="18">
        <v>2.2280000000000002</v>
      </c>
      <c r="I574" s="12">
        <f t="shared" si="42"/>
        <v>1.3483146067416242E-3</v>
      </c>
      <c r="J574" s="18">
        <v>2.214</v>
      </c>
      <c r="K574" s="12">
        <f t="shared" si="43"/>
        <v>1.3568521031208113E-3</v>
      </c>
      <c r="L574" s="18">
        <v>2.1909999999999998</v>
      </c>
      <c r="M574" s="12">
        <f t="shared" si="44"/>
        <v>9.1365920511639093E-4</v>
      </c>
    </row>
    <row r="575" spans="1:13" x14ac:dyDescent="0.25">
      <c r="A575" s="11">
        <v>44554</v>
      </c>
      <c r="B575" s="10">
        <v>2.2090000000000001</v>
      </c>
      <c r="C575" s="12">
        <f t="shared" si="40"/>
        <v>-9.045680687470737E-4</v>
      </c>
      <c r="E575" s="20">
        <v>44554</v>
      </c>
      <c r="F575" s="18">
        <v>2.2679999999999998</v>
      </c>
      <c r="G575" s="12">
        <f t="shared" si="41"/>
        <v>1.6584491259524842E-2</v>
      </c>
      <c r="H575" s="18">
        <v>2.2610000000000001</v>
      </c>
      <c r="I575" s="12">
        <f t="shared" si="42"/>
        <v>1.4811490125673211E-2</v>
      </c>
      <c r="J575" s="18">
        <v>2.242</v>
      </c>
      <c r="K575" s="12">
        <f t="shared" si="43"/>
        <v>1.2646793134598024E-2</v>
      </c>
      <c r="L575" s="18">
        <v>2.218</v>
      </c>
      <c r="M575" s="12">
        <f t="shared" si="44"/>
        <v>1.2323140118667338E-2</v>
      </c>
    </row>
    <row r="576" spans="1:13" x14ac:dyDescent="0.25">
      <c r="A576" s="11">
        <v>44561</v>
      </c>
      <c r="B576" s="10">
        <v>2.298</v>
      </c>
      <c r="C576" s="12">
        <f t="shared" si="40"/>
        <v>4.0289723856948831E-2</v>
      </c>
      <c r="E576" s="20">
        <v>44561</v>
      </c>
      <c r="F576" s="18">
        <v>2.3660000000000001</v>
      </c>
      <c r="G576" s="12">
        <f t="shared" si="41"/>
        <v>4.320987654321002E-2</v>
      </c>
      <c r="H576" s="18">
        <v>2.3570000000000002</v>
      </c>
      <c r="I576" s="12">
        <f t="shared" si="42"/>
        <v>4.2459088898717419E-2</v>
      </c>
      <c r="J576" s="18">
        <v>2.339</v>
      </c>
      <c r="K576" s="12">
        <f t="shared" si="43"/>
        <v>4.326494201605708E-2</v>
      </c>
      <c r="L576" s="18">
        <v>2.3149999999999999</v>
      </c>
      <c r="M576" s="12">
        <f t="shared" si="44"/>
        <v>4.3733092876465277E-2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ED553-1554-4B95-84EB-981391143D7D}">
  <dimension ref="A1:S576"/>
  <sheetViews>
    <sheetView tabSelected="1" topLeftCell="B1" workbookViewId="0">
      <selection activeCell="Q5" sqref="Q5"/>
    </sheetView>
  </sheetViews>
  <sheetFormatPr defaultRowHeight="15" x14ac:dyDescent="0.25"/>
  <cols>
    <col min="1" max="1" width="22.28515625" customWidth="1"/>
    <col min="2" max="2" width="18.5703125" customWidth="1"/>
    <col min="5" max="5" width="16.42578125" customWidth="1"/>
    <col min="6" max="6" width="20.28515625" customWidth="1"/>
    <col min="7" max="7" width="9.140625" style="12"/>
    <col min="8" max="8" width="17.140625" customWidth="1"/>
    <col min="9" max="9" width="9.140625" style="12"/>
    <col min="10" max="10" width="16.85546875" customWidth="1"/>
    <col min="11" max="11" width="9.140625" style="12"/>
    <col min="12" max="12" width="18.5703125" customWidth="1"/>
    <col min="13" max="13" width="9.140625" style="12"/>
    <col min="14" max="14" width="9.140625" style="6"/>
    <col min="15" max="15" width="22.42578125" customWidth="1"/>
    <col min="16" max="16" width="18.7109375" customWidth="1"/>
    <col min="18" max="18" width="14.7109375" customWidth="1"/>
  </cols>
  <sheetData>
    <row r="1" spans="1:19" x14ac:dyDescent="0.25">
      <c r="A1" s="2" t="s">
        <v>1</v>
      </c>
      <c r="C1" s="12"/>
      <c r="D1" s="6"/>
      <c r="E1" s="2" t="s">
        <v>29</v>
      </c>
    </row>
    <row r="2" spans="1:19" ht="95.25" customHeight="1" x14ac:dyDescent="0.25">
      <c r="A2" s="19" t="s">
        <v>0</v>
      </c>
      <c r="B2" s="22" t="s">
        <v>2</v>
      </c>
      <c r="C2" s="14" t="s">
        <v>3</v>
      </c>
      <c r="D2" s="6"/>
      <c r="E2" s="19" t="s">
        <v>0</v>
      </c>
      <c r="F2" s="24" t="s">
        <v>25</v>
      </c>
      <c r="G2" s="17" t="s">
        <v>7</v>
      </c>
      <c r="H2" s="25" t="s">
        <v>26</v>
      </c>
      <c r="I2" s="17" t="s">
        <v>10</v>
      </c>
      <c r="J2" s="26" t="s">
        <v>27</v>
      </c>
      <c r="K2" s="17" t="s">
        <v>11</v>
      </c>
      <c r="L2" s="27" t="s">
        <v>28</v>
      </c>
      <c r="M2" s="17" t="s">
        <v>12</v>
      </c>
      <c r="P2" s="2" t="s">
        <v>13</v>
      </c>
      <c r="Q2" s="2" t="s">
        <v>56</v>
      </c>
      <c r="S2" s="2" t="s">
        <v>19</v>
      </c>
    </row>
    <row r="3" spans="1:19" x14ac:dyDescent="0.25">
      <c r="A3" s="23">
        <v>40550</v>
      </c>
      <c r="B3" s="21">
        <v>2.4420000000000002</v>
      </c>
      <c r="C3" s="12"/>
      <c r="D3" s="6"/>
      <c r="E3" s="23">
        <v>40550</v>
      </c>
      <c r="F3" s="21">
        <v>89.53</v>
      </c>
      <c r="H3" s="21">
        <v>90.65</v>
      </c>
      <c r="J3" s="21">
        <v>91.58</v>
      </c>
      <c r="L3" s="21">
        <v>92.37</v>
      </c>
    </row>
    <row r="4" spans="1:19" x14ac:dyDescent="0.25">
      <c r="A4" s="23">
        <v>40557</v>
      </c>
      <c r="B4" s="21">
        <v>2.4740000000000002</v>
      </c>
      <c r="C4" s="12">
        <f>(B4-B3)/B3</f>
        <v>1.3104013104013115E-2</v>
      </c>
      <c r="D4" s="6"/>
      <c r="E4" s="23">
        <v>40557</v>
      </c>
      <c r="F4" s="21">
        <v>91.03</v>
      </c>
      <c r="G4" s="12">
        <f>(F4-F3)/F3</f>
        <v>1.6754160616553111E-2</v>
      </c>
      <c r="H4" s="21">
        <v>92.14</v>
      </c>
      <c r="I4" s="12">
        <f>(H4-H3)/H3</f>
        <v>1.6436845008273523E-2</v>
      </c>
      <c r="J4" s="21">
        <v>93.11</v>
      </c>
      <c r="K4" s="12">
        <f>(J4-J3)/J3</f>
        <v>1.6706704520637706E-2</v>
      </c>
      <c r="L4" s="21">
        <v>93.94</v>
      </c>
      <c r="M4" s="12">
        <f>(L4-L3)/L3</f>
        <v>1.6996860452527802E-2</v>
      </c>
      <c r="O4" s="16" t="s">
        <v>1</v>
      </c>
      <c r="P4">
        <f>STDEV(C2:C576)</f>
        <v>4.6382412731998252E-2</v>
      </c>
    </row>
    <row r="5" spans="1:19" x14ac:dyDescent="0.25">
      <c r="A5" s="23">
        <v>40564</v>
      </c>
      <c r="B5" s="21">
        <v>2.464</v>
      </c>
      <c r="C5" s="12">
        <f t="shared" ref="C5:C68" si="0">(B5-B4)/B4</f>
        <v>-4.0420371867422112E-3</v>
      </c>
      <c r="D5" s="6"/>
      <c r="E5" s="23">
        <v>40564</v>
      </c>
      <c r="F5" s="21">
        <v>90.05</v>
      </c>
      <c r="G5" s="12">
        <f t="shared" ref="G5:G68" si="1">(F5-F4)/F4</f>
        <v>-1.0765681643414302E-2</v>
      </c>
      <c r="H5" s="21">
        <v>91.09</v>
      </c>
      <c r="I5" s="12">
        <f t="shared" ref="I5:I68" si="2">(H5-H4)/H4</f>
        <v>-1.1395702192316009E-2</v>
      </c>
      <c r="J5" s="21">
        <v>92.33</v>
      </c>
      <c r="K5" s="12">
        <f t="shared" ref="K5:K68" si="3">(J5-J4)/J4</f>
        <v>-8.3771882719364324E-3</v>
      </c>
      <c r="L5" s="21">
        <v>93.37</v>
      </c>
      <c r="M5" s="12">
        <f t="shared" ref="M5:M68" si="4">(L5-L4)/L4</f>
        <v>-6.067702789014192E-3</v>
      </c>
      <c r="O5" t="s">
        <v>14</v>
      </c>
      <c r="P5">
        <f>STDEV(G2:G576)</f>
        <v>0.13869844432093478</v>
      </c>
      <c r="Q5" s="68">
        <f>CORREL(C:C, G:G)</f>
        <v>0.38505275336348394</v>
      </c>
      <c r="S5">
        <f>Q5*(P4/P5)</f>
        <v>0.12876622962527162</v>
      </c>
    </row>
    <row r="6" spans="1:19" x14ac:dyDescent="0.25">
      <c r="A6" s="23">
        <v>40571</v>
      </c>
      <c r="B6" s="21">
        <v>2.411</v>
      </c>
      <c r="C6" s="12">
        <f t="shared" si="0"/>
        <v>-2.1509740259740236E-2</v>
      </c>
      <c r="D6" s="6"/>
      <c r="E6" s="23">
        <v>40571</v>
      </c>
      <c r="F6" s="21">
        <v>87.27</v>
      </c>
      <c r="G6" s="12">
        <f t="shared" si="1"/>
        <v>-3.0871737923375917E-2</v>
      </c>
      <c r="H6" s="21">
        <v>89.35</v>
      </c>
      <c r="I6" s="12">
        <f t="shared" si="2"/>
        <v>-1.9101987045778999E-2</v>
      </c>
      <c r="J6" s="21">
        <v>91.09</v>
      </c>
      <c r="K6" s="12">
        <f t="shared" si="3"/>
        <v>-1.3430087728798818E-2</v>
      </c>
      <c r="L6" s="21">
        <v>92.32</v>
      </c>
      <c r="M6" s="12">
        <f t="shared" si="4"/>
        <v>-1.1245582092749399E-2</v>
      </c>
      <c r="O6" t="s">
        <v>16</v>
      </c>
      <c r="P6">
        <f>STDEV(I:I)</f>
        <v>4.344666129675654E-2</v>
      </c>
      <c r="Q6">
        <f>CORREL(C:C, I:I)</f>
        <v>0.74230474313857797</v>
      </c>
      <c r="S6">
        <f>Q6*(P4/P6)</f>
        <v>0.79246330883758354</v>
      </c>
    </row>
    <row r="7" spans="1:19" x14ac:dyDescent="0.25">
      <c r="A7" s="23">
        <v>40578</v>
      </c>
      <c r="B7" s="21">
        <v>2.4660000000000002</v>
      </c>
      <c r="C7" s="12">
        <f t="shared" si="0"/>
        <v>2.2812111157196249E-2</v>
      </c>
      <c r="D7" s="6"/>
      <c r="E7" s="23">
        <v>40578</v>
      </c>
      <c r="F7" s="21">
        <v>90.68</v>
      </c>
      <c r="G7" s="12">
        <f t="shared" si="1"/>
        <v>3.9074137733470966E-2</v>
      </c>
      <c r="H7" s="21">
        <v>93.31</v>
      </c>
      <c r="I7" s="12">
        <f t="shared" si="2"/>
        <v>4.4320089535534506E-2</v>
      </c>
      <c r="J7" s="21">
        <v>95.28</v>
      </c>
      <c r="K7" s="12">
        <f t="shared" si="3"/>
        <v>4.5998463058513531E-2</v>
      </c>
      <c r="L7" s="21">
        <v>96.46</v>
      </c>
      <c r="M7" s="12">
        <f t="shared" si="4"/>
        <v>4.4844020797227047E-2</v>
      </c>
      <c r="O7" t="s">
        <v>17</v>
      </c>
      <c r="P7">
        <f>STDEV(K:K)</f>
        <v>4.0490740197962623E-2</v>
      </c>
      <c r="Q7">
        <f>CORREL(C:C, K:K)</f>
        <v>0.72643686754490178</v>
      </c>
      <c r="S7">
        <f>Q7*(P4/P7)</f>
        <v>0.83213827283658692</v>
      </c>
    </row>
    <row r="8" spans="1:19" x14ac:dyDescent="0.25">
      <c r="A8" s="23">
        <v>40585</v>
      </c>
      <c r="B8" s="21">
        <v>2.4710000000000001</v>
      </c>
      <c r="C8" s="12">
        <f t="shared" si="0"/>
        <v>2.0275750202757067E-3</v>
      </c>
      <c r="D8" s="6"/>
      <c r="E8" s="23">
        <v>40585</v>
      </c>
      <c r="F8" s="21">
        <v>86.69</v>
      </c>
      <c r="G8" s="12">
        <f t="shared" si="1"/>
        <v>-4.4000882223202566E-2</v>
      </c>
      <c r="H8" s="21">
        <v>90.01</v>
      </c>
      <c r="I8" s="12">
        <f t="shared" si="2"/>
        <v>-3.5365984353231135E-2</v>
      </c>
      <c r="J8" s="21">
        <v>92.95</v>
      </c>
      <c r="K8" s="12">
        <f t="shared" si="3"/>
        <v>-2.445424013434087E-2</v>
      </c>
      <c r="L8" s="21">
        <v>94.71</v>
      </c>
      <c r="M8" s="12">
        <f t="shared" si="4"/>
        <v>-1.8142235123367201E-2</v>
      </c>
      <c r="O8" t="s">
        <v>15</v>
      </c>
      <c r="P8">
        <f>STDEV(M:M)</f>
        <v>3.8312704719294002E-2</v>
      </c>
      <c r="Q8">
        <f>CORREL(C:C, M:M)</f>
        <v>0.71929089414906799</v>
      </c>
      <c r="S8">
        <f>Q8*(P4/P8)</f>
        <v>0.87079331441690278</v>
      </c>
    </row>
    <row r="9" spans="1:19" x14ac:dyDescent="0.25">
      <c r="A9" s="23">
        <v>40592</v>
      </c>
      <c r="B9" s="21">
        <v>2.5110000000000001</v>
      </c>
      <c r="C9" s="12">
        <f t="shared" si="0"/>
        <v>1.6187778227438297E-2</v>
      </c>
      <c r="D9" s="6"/>
      <c r="E9" s="23">
        <v>40592</v>
      </c>
      <c r="F9" s="21">
        <v>85.34</v>
      </c>
      <c r="G9" s="12">
        <f t="shared" si="1"/>
        <v>-1.5572730418733353E-2</v>
      </c>
      <c r="H9" s="21">
        <v>88.54</v>
      </c>
      <c r="I9" s="12">
        <f t="shared" si="2"/>
        <v>-1.6331518720142192E-2</v>
      </c>
      <c r="J9" s="21">
        <v>91.51</v>
      </c>
      <c r="K9" s="12">
        <f t="shared" si="3"/>
        <v>-1.5492200107584697E-2</v>
      </c>
      <c r="L9" s="21">
        <v>93.26</v>
      </c>
      <c r="M9" s="12">
        <f t="shared" si="4"/>
        <v>-1.5309893358673728E-2</v>
      </c>
    </row>
    <row r="10" spans="1:19" x14ac:dyDescent="0.25">
      <c r="A10" s="23">
        <v>40599</v>
      </c>
      <c r="B10" s="21">
        <v>2.7309999999999999</v>
      </c>
      <c r="C10" s="12">
        <f t="shared" si="0"/>
        <v>8.7614496216646645E-2</v>
      </c>
      <c r="D10" s="6"/>
      <c r="E10" s="23">
        <v>40599</v>
      </c>
      <c r="F10" s="21">
        <v>96.71</v>
      </c>
      <c r="G10" s="12">
        <f t="shared" si="1"/>
        <v>0.13323177876728368</v>
      </c>
      <c r="H10" s="21">
        <v>98.34</v>
      </c>
      <c r="I10" s="12">
        <f t="shared" si="2"/>
        <v>0.11068443641292067</v>
      </c>
      <c r="J10" s="21">
        <v>99.24</v>
      </c>
      <c r="K10" s="12">
        <f t="shared" si="3"/>
        <v>8.447164244344868E-2</v>
      </c>
      <c r="L10" s="21">
        <v>99.9</v>
      </c>
      <c r="M10" s="12">
        <f t="shared" si="4"/>
        <v>7.119879905640146E-2</v>
      </c>
    </row>
    <row r="11" spans="1:19" x14ac:dyDescent="0.25">
      <c r="A11" s="23">
        <v>40606</v>
      </c>
      <c r="B11" s="21">
        <v>2.8639999999999999</v>
      </c>
      <c r="C11" s="12">
        <f t="shared" si="0"/>
        <v>4.8700109849871845E-2</v>
      </c>
      <c r="D11" s="6"/>
      <c r="E11" s="23">
        <v>40606</v>
      </c>
      <c r="F11" s="21">
        <v>101.03</v>
      </c>
      <c r="G11" s="12">
        <f t="shared" si="1"/>
        <v>4.4669630855133986E-2</v>
      </c>
      <c r="H11" s="21">
        <v>102.44</v>
      </c>
      <c r="I11" s="12">
        <f t="shared" si="2"/>
        <v>4.1692088671954383E-2</v>
      </c>
      <c r="J11" s="21">
        <v>103.12</v>
      </c>
      <c r="K11" s="12">
        <f t="shared" si="3"/>
        <v>3.909713825070546E-2</v>
      </c>
      <c r="L11" s="21">
        <v>103.62</v>
      </c>
      <c r="M11" s="12">
        <f t="shared" si="4"/>
        <v>3.7237237237237222E-2</v>
      </c>
    </row>
    <row r="12" spans="1:19" x14ac:dyDescent="0.25">
      <c r="A12" s="23">
        <v>40613</v>
      </c>
      <c r="B12" s="21">
        <v>2.8319999999999999</v>
      </c>
      <c r="C12" s="12">
        <f t="shared" si="0"/>
        <v>-1.117318435754191E-2</v>
      </c>
      <c r="D12" s="6"/>
      <c r="E12" s="23">
        <v>40613</v>
      </c>
      <c r="F12" s="21">
        <v>103.74</v>
      </c>
      <c r="G12" s="12">
        <f t="shared" si="1"/>
        <v>2.6823715728001522E-2</v>
      </c>
      <c r="H12" s="21">
        <v>104.91</v>
      </c>
      <c r="I12" s="12">
        <f t="shared" si="2"/>
        <v>2.4111675126903542E-2</v>
      </c>
      <c r="J12" s="21">
        <v>105.51</v>
      </c>
      <c r="K12" s="12">
        <f t="shared" si="3"/>
        <v>2.3176881303335922E-2</v>
      </c>
      <c r="L12" s="21">
        <v>105.95</v>
      </c>
      <c r="M12" s="12">
        <f t="shared" si="4"/>
        <v>2.2486006562439667E-2</v>
      </c>
    </row>
    <row r="13" spans="1:19" x14ac:dyDescent="0.25">
      <c r="A13" s="23">
        <v>40620</v>
      </c>
      <c r="B13" s="21">
        <v>2.734</v>
      </c>
      <c r="C13" s="12">
        <f t="shared" si="0"/>
        <v>-3.4604519774011251E-2</v>
      </c>
      <c r="D13" s="6"/>
      <c r="E13" s="23">
        <v>40620</v>
      </c>
      <c r="F13" s="21">
        <v>99.77</v>
      </c>
      <c r="G13" s="12">
        <f t="shared" si="1"/>
        <v>-3.8268748795064575E-2</v>
      </c>
      <c r="H13" s="21">
        <v>100.67</v>
      </c>
      <c r="I13" s="12">
        <f t="shared" si="2"/>
        <v>-4.0415594318939999E-2</v>
      </c>
      <c r="J13" s="21">
        <v>101.29</v>
      </c>
      <c r="K13" s="12">
        <f t="shared" si="3"/>
        <v>-3.9996208890152582E-2</v>
      </c>
      <c r="L13" s="21">
        <v>101.83</v>
      </c>
      <c r="M13" s="12">
        <f t="shared" si="4"/>
        <v>-3.8886267107126046E-2</v>
      </c>
    </row>
    <row r="14" spans="1:19" x14ac:dyDescent="0.25">
      <c r="A14" s="23">
        <v>40627</v>
      </c>
      <c r="B14" s="21">
        <v>2.8460000000000001</v>
      </c>
      <c r="C14" s="12">
        <f t="shared" si="0"/>
        <v>4.096561814191664E-2</v>
      </c>
      <c r="D14" s="6"/>
      <c r="E14" s="23">
        <v>40627</v>
      </c>
      <c r="F14" s="21">
        <v>104.62</v>
      </c>
      <c r="G14" s="12">
        <f t="shared" si="1"/>
        <v>4.8611807156459942E-2</v>
      </c>
      <c r="H14" s="21">
        <v>105.26</v>
      </c>
      <c r="I14" s="12">
        <f t="shared" si="2"/>
        <v>4.5594516737856396E-2</v>
      </c>
      <c r="J14" s="21">
        <v>105.74</v>
      </c>
      <c r="K14" s="12">
        <f t="shared" si="3"/>
        <v>4.3933260933951904E-2</v>
      </c>
      <c r="L14" s="21">
        <v>106.08</v>
      </c>
      <c r="M14" s="12">
        <f t="shared" si="4"/>
        <v>4.1736227045075125E-2</v>
      </c>
    </row>
    <row r="15" spans="1:19" x14ac:dyDescent="0.25">
      <c r="A15" s="23">
        <v>40634</v>
      </c>
      <c r="B15" s="21">
        <v>2.972</v>
      </c>
      <c r="C15" s="12">
        <f t="shared" si="0"/>
        <v>4.427266338721008E-2</v>
      </c>
      <c r="D15" s="6"/>
      <c r="E15" s="23">
        <v>40634</v>
      </c>
      <c r="F15" s="21">
        <v>105.54</v>
      </c>
      <c r="G15" s="12">
        <f t="shared" si="1"/>
        <v>8.7937296883961163E-3</v>
      </c>
      <c r="H15" s="21">
        <v>106.09</v>
      </c>
      <c r="I15" s="12">
        <f t="shared" si="2"/>
        <v>7.8852365570966955E-3</v>
      </c>
      <c r="J15" s="21">
        <v>106.57</v>
      </c>
      <c r="K15" s="12">
        <f t="shared" si="3"/>
        <v>7.8494420276148894E-3</v>
      </c>
      <c r="L15" s="21">
        <v>106.87</v>
      </c>
      <c r="M15" s="12">
        <f t="shared" si="4"/>
        <v>7.4472096530920654E-3</v>
      </c>
    </row>
    <row r="16" spans="1:19" x14ac:dyDescent="0.25">
      <c r="A16" s="23">
        <v>40641</v>
      </c>
      <c r="B16" s="21">
        <v>3.117</v>
      </c>
      <c r="C16" s="12">
        <f t="shared" si="0"/>
        <v>4.8788694481830423E-2</v>
      </c>
      <c r="D16" s="6"/>
      <c r="E16" s="23">
        <v>40641</v>
      </c>
      <c r="F16" s="21">
        <v>109.75</v>
      </c>
      <c r="G16" s="12">
        <f t="shared" si="1"/>
        <v>3.9890089065757001E-2</v>
      </c>
      <c r="H16" s="21">
        <v>110.35</v>
      </c>
      <c r="I16" s="12">
        <f t="shared" si="2"/>
        <v>4.0154585729097851E-2</v>
      </c>
      <c r="J16" s="21">
        <v>110.87</v>
      </c>
      <c r="K16" s="12">
        <f t="shared" si="3"/>
        <v>4.0349066341371975E-2</v>
      </c>
      <c r="L16" s="21">
        <v>111.19</v>
      </c>
      <c r="M16" s="12">
        <f t="shared" si="4"/>
        <v>4.0422943763450854E-2</v>
      </c>
    </row>
    <row r="17" spans="1:13" x14ac:dyDescent="0.25">
      <c r="A17" s="23">
        <v>40648</v>
      </c>
      <c r="B17" s="21">
        <v>3.133</v>
      </c>
      <c r="C17" s="12">
        <f t="shared" si="0"/>
        <v>5.133140840551817E-3</v>
      </c>
      <c r="D17" s="6"/>
      <c r="E17" s="23">
        <v>40648</v>
      </c>
      <c r="F17" s="21">
        <v>108.21</v>
      </c>
      <c r="G17" s="12">
        <f t="shared" si="1"/>
        <v>-1.4031890660592312E-2</v>
      </c>
      <c r="H17" s="21">
        <v>108.83</v>
      </c>
      <c r="I17" s="12">
        <f t="shared" si="2"/>
        <v>-1.3774354327140879E-2</v>
      </c>
      <c r="J17" s="21">
        <v>109.38</v>
      </c>
      <c r="K17" s="12">
        <f t="shared" si="3"/>
        <v>-1.3439162983674655E-2</v>
      </c>
      <c r="L17" s="21">
        <v>109.75</v>
      </c>
      <c r="M17" s="12">
        <f t="shared" si="4"/>
        <v>-1.2950804928500745E-2</v>
      </c>
    </row>
    <row r="18" spans="1:13" x14ac:dyDescent="0.25">
      <c r="A18" s="23">
        <v>40655</v>
      </c>
      <c r="B18" s="21">
        <v>3.1920000000000002</v>
      </c>
      <c r="C18" s="12">
        <f t="shared" si="0"/>
        <v>1.8831790616023032E-2</v>
      </c>
      <c r="D18" s="6"/>
      <c r="E18" s="23">
        <v>40655</v>
      </c>
      <c r="F18" s="21">
        <v>109.75</v>
      </c>
      <c r="G18" s="12">
        <f t="shared" si="1"/>
        <v>1.4231586729507497E-2</v>
      </c>
      <c r="H18" s="21">
        <v>110.16</v>
      </c>
      <c r="I18" s="12">
        <f t="shared" si="2"/>
        <v>1.2220894973812353E-2</v>
      </c>
      <c r="J18" s="21">
        <v>110.52</v>
      </c>
      <c r="K18" s="12">
        <f t="shared" si="3"/>
        <v>1.0422380691168409E-2</v>
      </c>
      <c r="L18" s="21">
        <v>110.71</v>
      </c>
      <c r="M18" s="12">
        <f t="shared" si="4"/>
        <v>8.7471526195899204E-3</v>
      </c>
    </row>
    <row r="19" spans="1:13" x14ac:dyDescent="0.25">
      <c r="A19" s="23">
        <v>40662</v>
      </c>
      <c r="B19" s="21">
        <v>3.29</v>
      </c>
      <c r="C19" s="12">
        <f t="shared" si="0"/>
        <v>3.0701754385964869E-2</v>
      </c>
      <c r="D19" s="6"/>
      <c r="E19" s="23">
        <v>40662</v>
      </c>
      <c r="F19" s="21">
        <v>112.81</v>
      </c>
      <c r="G19" s="12">
        <f t="shared" si="1"/>
        <v>2.7881548974943073E-2</v>
      </c>
      <c r="H19" s="21">
        <v>113.3</v>
      </c>
      <c r="I19" s="12">
        <f t="shared" si="2"/>
        <v>2.8503994190268705E-2</v>
      </c>
      <c r="J19" s="21">
        <v>113.58</v>
      </c>
      <c r="K19" s="12">
        <f t="shared" si="3"/>
        <v>2.7687296416938133E-2</v>
      </c>
      <c r="L19" s="21">
        <v>113.69</v>
      </c>
      <c r="M19" s="12">
        <f t="shared" si="4"/>
        <v>2.6917170987264059E-2</v>
      </c>
    </row>
    <row r="20" spans="1:13" x14ac:dyDescent="0.25">
      <c r="A20" s="23">
        <v>40669</v>
      </c>
      <c r="B20" s="21">
        <v>3.1589999999999998</v>
      </c>
      <c r="C20" s="12">
        <f t="shared" si="0"/>
        <v>-3.9817629179331376E-2</v>
      </c>
      <c r="D20" s="6"/>
      <c r="E20" s="23">
        <v>40669</v>
      </c>
      <c r="F20" s="21">
        <v>106.16</v>
      </c>
      <c r="G20" s="12">
        <f t="shared" si="1"/>
        <v>-5.8948674762875679E-2</v>
      </c>
      <c r="H20" s="21">
        <v>106.69</v>
      </c>
      <c r="I20" s="12">
        <f t="shared" si="2"/>
        <v>-5.834068843777581E-2</v>
      </c>
      <c r="J20" s="21">
        <v>106.99</v>
      </c>
      <c r="K20" s="12">
        <f t="shared" si="3"/>
        <v>-5.8020778306039827E-2</v>
      </c>
      <c r="L20" s="21">
        <v>107.17</v>
      </c>
      <c r="M20" s="12">
        <f t="shared" si="4"/>
        <v>-5.7348931304424276E-2</v>
      </c>
    </row>
    <row r="21" spans="1:13" x14ac:dyDescent="0.25">
      <c r="A21" s="23">
        <v>40676</v>
      </c>
      <c r="B21" s="21">
        <v>3.1520000000000001</v>
      </c>
      <c r="C21" s="12">
        <f t="shared" si="0"/>
        <v>-2.2158911047798903E-3</v>
      </c>
      <c r="D21" s="6"/>
      <c r="E21" s="23">
        <v>40676</v>
      </c>
      <c r="F21" s="21">
        <v>100.65</v>
      </c>
      <c r="G21" s="12">
        <f t="shared" si="1"/>
        <v>-5.1902788244159677E-2</v>
      </c>
      <c r="H21" s="21">
        <v>101.19</v>
      </c>
      <c r="I21" s="12">
        <f t="shared" si="2"/>
        <v>-5.1551223169931576E-2</v>
      </c>
      <c r="J21" s="21">
        <v>101.56</v>
      </c>
      <c r="K21" s="12">
        <f t="shared" si="3"/>
        <v>-5.0752406766987501E-2</v>
      </c>
      <c r="L21" s="21">
        <v>101.84</v>
      </c>
      <c r="M21" s="12">
        <f t="shared" si="4"/>
        <v>-4.9734067369599684E-2</v>
      </c>
    </row>
    <row r="22" spans="1:13" x14ac:dyDescent="0.25">
      <c r="A22" s="23">
        <v>40683</v>
      </c>
      <c r="B22" s="21">
        <v>2.8650000000000002</v>
      </c>
      <c r="C22" s="12">
        <f t="shared" si="0"/>
        <v>-9.1053299492385761E-2</v>
      </c>
      <c r="D22" s="6"/>
      <c r="E22" s="23">
        <v>40683</v>
      </c>
      <c r="F22" s="21">
        <v>98.46</v>
      </c>
      <c r="G22" s="12">
        <f t="shared" si="1"/>
        <v>-2.1758569299553023E-2</v>
      </c>
      <c r="H22" s="21">
        <v>98.97</v>
      </c>
      <c r="I22" s="12">
        <f t="shared" si="2"/>
        <v>-2.1938926771420088E-2</v>
      </c>
      <c r="J22" s="21">
        <v>99.36</v>
      </c>
      <c r="K22" s="12">
        <f t="shared" si="3"/>
        <v>-2.1662071681764501E-2</v>
      </c>
      <c r="L22" s="21">
        <v>99.69</v>
      </c>
      <c r="M22" s="12">
        <f t="shared" si="4"/>
        <v>-2.1111547525530298E-2</v>
      </c>
    </row>
    <row r="23" spans="1:13" x14ac:dyDescent="0.25">
      <c r="A23" s="23">
        <v>40690</v>
      </c>
      <c r="B23" s="21">
        <v>2.9329999999999998</v>
      </c>
      <c r="C23" s="12">
        <f t="shared" si="0"/>
        <v>2.3734729493891663E-2</v>
      </c>
      <c r="D23" s="6"/>
      <c r="E23" s="23">
        <v>40690</v>
      </c>
      <c r="F23" s="21">
        <v>99.89</v>
      </c>
      <c r="G23" s="12">
        <f t="shared" si="1"/>
        <v>1.4523664432256824E-2</v>
      </c>
      <c r="H23" s="21">
        <v>100.4</v>
      </c>
      <c r="I23" s="12">
        <f t="shared" si="2"/>
        <v>1.4448822875618944E-2</v>
      </c>
      <c r="J23" s="21">
        <v>100.84</v>
      </c>
      <c r="K23" s="12">
        <f t="shared" si="3"/>
        <v>1.4895330112721457E-2</v>
      </c>
      <c r="L23" s="21">
        <v>101.17</v>
      </c>
      <c r="M23" s="12">
        <f t="shared" si="4"/>
        <v>1.4846022670277901E-2</v>
      </c>
    </row>
    <row r="24" spans="1:13" x14ac:dyDescent="0.25">
      <c r="A24" s="23">
        <v>40697</v>
      </c>
      <c r="B24" s="21">
        <v>2.9239999999999999</v>
      </c>
      <c r="C24" s="12">
        <f t="shared" si="0"/>
        <v>-3.0685305148311958E-3</v>
      </c>
      <c r="D24" s="6"/>
      <c r="E24" s="23">
        <v>40697</v>
      </c>
      <c r="F24" s="21">
        <v>100.9</v>
      </c>
      <c r="G24" s="12">
        <f t="shared" si="1"/>
        <v>1.0111122234457955E-2</v>
      </c>
      <c r="H24" s="21">
        <v>101.48</v>
      </c>
      <c r="I24" s="12">
        <f t="shared" si="2"/>
        <v>1.0756972111553768E-2</v>
      </c>
      <c r="J24" s="21">
        <v>101.96</v>
      </c>
      <c r="K24" s="12">
        <f t="shared" si="3"/>
        <v>1.11067036890122E-2</v>
      </c>
      <c r="L24" s="21">
        <v>102.38</v>
      </c>
      <c r="M24" s="12">
        <f t="shared" si="4"/>
        <v>1.1960067213600808E-2</v>
      </c>
    </row>
    <row r="25" spans="1:13" x14ac:dyDescent="0.25">
      <c r="A25" s="23">
        <v>40704</v>
      </c>
      <c r="B25" s="21">
        <v>2.899</v>
      </c>
      <c r="C25" s="12">
        <f t="shared" si="0"/>
        <v>-8.549931600547166E-3</v>
      </c>
      <c r="D25" s="6"/>
      <c r="E25" s="23">
        <v>40704</v>
      </c>
      <c r="F25" s="21">
        <v>100.01</v>
      </c>
      <c r="G25" s="12">
        <f t="shared" si="1"/>
        <v>-8.8206144697720573E-3</v>
      </c>
      <c r="H25" s="21">
        <v>100.58</v>
      </c>
      <c r="I25" s="12">
        <f t="shared" si="2"/>
        <v>-8.8687426093812145E-3</v>
      </c>
      <c r="J25" s="21">
        <v>101.09</v>
      </c>
      <c r="K25" s="12">
        <f t="shared" si="3"/>
        <v>-8.5327579442917856E-3</v>
      </c>
      <c r="L25" s="21">
        <v>101.54</v>
      </c>
      <c r="M25" s="12">
        <f t="shared" si="4"/>
        <v>-8.2047274858369733E-3</v>
      </c>
    </row>
    <row r="26" spans="1:13" x14ac:dyDescent="0.25">
      <c r="A26" s="23">
        <v>40711</v>
      </c>
      <c r="B26" s="21">
        <v>2.8679999999999999</v>
      </c>
      <c r="C26" s="12">
        <f t="shared" si="0"/>
        <v>-1.0693342531907603E-2</v>
      </c>
      <c r="D26" s="6"/>
      <c r="E26" s="23">
        <v>40711</v>
      </c>
      <c r="F26" s="21">
        <v>95.89</v>
      </c>
      <c r="G26" s="12">
        <f t="shared" si="1"/>
        <v>-4.1195880411958846E-2</v>
      </c>
      <c r="H26" s="21">
        <v>96.34</v>
      </c>
      <c r="I26" s="12">
        <f t="shared" si="2"/>
        <v>-4.2155498110956403E-2</v>
      </c>
      <c r="J26" s="21">
        <v>96.8</v>
      </c>
      <c r="K26" s="12">
        <f t="shared" si="3"/>
        <v>-4.2437431991294947E-2</v>
      </c>
      <c r="L26" s="21">
        <v>97.2</v>
      </c>
      <c r="M26" s="12">
        <f t="shared" si="4"/>
        <v>-4.2741776639747917E-2</v>
      </c>
    </row>
    <row r="27" spans="1:13" x14ac:dyDescent="0.25">
      <c r="A27" s="23">
        <v>40718</v>
      </c>
      <c r="B27" s="21">
        <v>2.7389999999999999</v>
      </c>
      <c r="C27" s="12">
        <f t="shared" si="0"/>
        <v>-4.4979079497907956E-2</v>
      </c>
      <c r="D27" s="6"/>
      <c r="E27" s="23">
        <v>40718</v>
      </c>
      <c r="F27" s="21">
        <v>92.85</v>
      </c>
      <c r="G27" s="12">
        <f t="shared" si="1"/>
        <v>-3.1702993012827266E-2</v>
      </c>
      <c r="H27" s="21">
        <v>93.39</v>
      </c>
      <c r="I27" s="12">
        <f t="shared" si="2"/>
        <v>-3.0620718289391766E-2</v>
      </c>
      <c r="J27" s="21">
        <v>93.86</v>
      </c>
      <c r="K27" s="12">
        <f t="shared" si="3"/>
        <v>-3.0371900826446259E-2</v>
      </c>
      <c r="L27" s="21">
        <v>94.31</v>
      </c>
      <c r="M27" s="12">
        <f t="shared" si="4"/>
        <v>-2.9732510288065849E-2</v>
      </c>
    </row>
    <row r="28" spans="1:13" x14ac:dyDescent="0.25">
      <c r="A28" s="23">
        <v>40725</v>
      </c>
      <c r="B28" s="21">
        <v>2.7959999999999998</v>
      </c>
      <c r="C28" s="12">
        <f t="shared" si="0"/>
        <v>2.0810514786418381E-2</v>
      </c>
      <c r="D28" s="6"/>
      <c r="E28" s="23">
        <v>40725</v>
      </c>
      <c r="F28" s="21">
        <v>93.73</v>
      </c>
      <c r="G28" s="12">
        <f t="shared" si="1"/>
        <v>9.4776521270868042E-3</v>
      </c>
      <c r="H28" s="21">
        <v>94.28</v>
      </c>
      <c r="I28" s="12">
        <f t="shared" si="2"/>
        <v>9.5299282578434584E-3</v>
      </c>
      <c r="J28" s="21">
        <v>94.82</v>
      </c>
      <c r="K28" s="12">
        <f t="shared" si="3"/>
        <v>1.022799914766667E-2</v>
      </c>
      <c r="L28" s="21">
        <v>95.36</v>
      </c>
      <c r="M28" s="12">
        <f t="shared" si="4"/>
        <v>1.1133495917718133E-2</v>
      </c>
    </row>
    <row r="29" spans="1:13" x14ac:dyDescent="0.25">
      <c r="A29" s="23">
        <v>40732</v>
      </c>
      <c r="B29" s="21">
        <v>2.9729999999999999</v>
      </c>
      <c r="C29" s="12">
        <f t="shared" si="0"/>
        <v>6.3304721030042935E-2</v>
      </c>
      <c r="D29" s="6"/>
      <c r="E29" s="23">
        <v>40732</v>
      </c>
      <c r="F29" s="21">
        <v>97.1</v>
      </c>
      <c r="G29" s="12">
        <f t="shared" si="1"/>
        <v>3.5954336925210606E-2</v>
      </c>
      <c r="H29" s="21">
        <v>97.59</v>
      </c>
      <c r="I29" s="12">
        <f t="shared" si="2"/>
        <v>3.5108188375053057E-2</v>
      </c>
      <c r="J29" s="21">
        <v>98.06</v>
      </c>
      <c r="K29" s="12">
        <f t="shared" si="3"/>
        <v>3.417000632777905E-2</v>
      </c>
      <c r="L29" s="21">
        <v>98.55</v>
      </c>
      <c r="M29" s="12">
        <f t="shared" si="4"/>
        <v>3.3452181208053669E-2</v>
      </c>
    </row>
    <row r="30" spans="1:13" x14ac:dyDescent="0.25">
      <c r="A30" s="23">
        <v>40739</v>
      </c>
      <c r="B30" s="21">
        <v>3.0430000000000001</v>
      </c>
      <c r="C30" s="12">
        <f t="shared" si="0"/>
        <v>2.3545240497813754E-2</v>
      </c>
      <c r="D30" s="6"/>
      <c r="E30" s="23">
        <v>40739</v>
      </c>
      <c r="F30" s="21">
        <v>96.71</v>
      </c>
      <c r="G30" s="12">
        <f t="shared" si="1"/>
        <v>-4.0164778578784819E-3</v>
      </c>
      <c r="H30" s="21">
        <v>97.13</v>
      </c>
      <c r="I30" s="12">
        <f t="shared" si="2"/>
        <v>-4.7135977046829387E-3</v>
      </c>
      <c r="J30" s="21">
        <v>97.56</v>
      </c>
      <c r="K30" s="12">
        <f t="shared" si="3"/>
        <v>-5.0989190291658168E-3</v>
      </c>
      <c r="L30" s="21">
        <v>98.05</v>
      </c>
      <c r="M30" s="12">
        <f t="shared" si="4"/>
        <v>-5.0735667174023336E-3</v>
      </c>
    </row>
    <row r="31" spans="1:13" x14ac:dyDescent="0.25">
      <c r="A31" s="23">
        <v>40746</v>
      </c>
      <c r="B31" s="21">
        <v>3.0390000000000001</v>
      </c>
      <c r="C31" s="12">
        <f t="shared" si="0"/>
        <v>-1.3144922773578717E-3</v>
      </c>
      <c r="D31" s="6"/>
      <c r="E31" s="23">
        <v>40746</v>
      </c>
      <c r="F31" s="21">
        <v>98.11</v>
      </c>
      <c r="G31" s="12">
        <f t="shared" si="1"/>
        <v>1.447626925860827E-2</v>
      </c>
      <c r="H31" s="21">
        <v>98.43</v>
      </c>
      <c r="I31" s="12">
        <f t="shared" si="2"/>
        <v>1.3384124369401951E-2</v>
      </c>
      <c r="J31" s="21">
        <v>98.82</v>
      </c>
      <c r="K31" s="12">
        <f t="shared" si="3"/>
        <v>1.291512915129142E-2</v>
      </c>
      <c r="L31" s="21">
        <v>99.24</v>
      </c>
      <c r="M31" s="12">
        <f t="shared" si="4"/>
        <v>1.2136664966853623E-2</v>
      </c>
    </row>
    <row r="32" spans="1:13" x14ac:dyDescent="0.25">
      <c r="A32" s="23">
        <v>40753</v>
      </c>
      <c r="B32" s="21">
        <v>3.048</v>
      </c>
      <c r="C32" s="12">
        <f t="shared" si="0"/>
        <v>2.9615004935833814E-3</v>
      </c>
      <c r="D32" s="6"/>
      <c r="E32" s="23">
        <v>40753</v>
      </c>
      <c r="F32" s="21">
        <v>97.87</v>
      </c>
      <c r="G32" s="12">
        <f t="shared" si="1"/>
        <v>-2.4462338191824982E-3</v>
      </c>
      <c r="H32" s="21">
        <v>98.29</v>
      </c>
      <c r="I32" s="12">
        <f t="shared" si="2"/>
        <v>-1.4223305902672006E-3</v>
      </c>
      <c r="J32" s="21">
        <v>98.76</v>
      </c>
      <c r="K32" s="12">
        <f t="shared" si="3"/>
        <v>-6.0716454159065035E-4</v>
      </c>
      <c r="L32" s="21">
        <v>99.22</v>
      </c>
      <c r="M32" s="12">
        <f t="shared" si="4"/>
        <v>-2.0153164046751333E-4</v>
      </c>
    </row>
    <row r="33" spans="1:13" x14ac:dyDescent="0.25">
      <c r="A33" s="23">
        <v>40760</v>
      </c>
      <c r="B33" s="21">
        <v>2.8889999999999998</v>
      </c>
      <c r="C33" s="12">
        <f t="shared" si="0"/>
        <v>-5.2165354330708742E-2</v>
      </c>
      <c r="D33" s="6"/>
      <c r="E33" s="23">
        <v>40760</v>
      </c>
      <c r="F33" s="21">
        <v>90.82</v>
      </c>
      <c r="G33" s="12">
        <f t="shared" si="1"/>
        <v>-7.2034331255747527E-2</v>
      </c>
      <c r="H33" s="21">
        <v>91.24</v>
      </c>
      <c r="I33" s="12">
        <f t="shared" si="2"/>
        <v>-7.1726523552752178E-2</v>
      </c>
      <c r="J33" s="21">
        <v>91.7</v>
      </c>
      <c r="K33" s="12">
        <f t="shared" si="3"/>
        <v>-7.1486431753746471E-2</v>
      </c>
      <c r="L33" s="21">
        <v>92.17</v>
      </c>
      <c r="M33" s="12">
        <f t="shared" si="4"/>
        <v>-7.1054222938923578E-2</v>
      </c>
    </row>
    <row r="34" spans="1:13" x14ac:dyDescent="0.25">
      <c r="A34" s="23">
        <v>40767</v>
      </c>
      <c r="B34" s="21">
        <v>2.7410000000000001</v>
      </c>
      <c r="C34" s="12">
        <f t="shared" si="0"/>
        <v>-5.1228798892350193E-2</v>
      </c>
      <c r="D34" s="6"/>
      <c r="E34" s="23">
        <v>40767</v>
      </c>
      <c r="F34" s="21">
        <v>82.92</v>
      </c>
      <c r="G34" s="12">
        <f t="shared" si="1"/>
        <v>-8.6985245540629724E-2</v>
      </c>
      <c r="H34" s="21">
        <v>83.27</v>
      </c>
      <c r="I34" s="12">
        <f t="shared" si="2"/>
        <v>-8.7352038579570357E-2</v>
      </c>
      <c r="J34" s="21">
        <v>83.71</v>
      </c>
      <c r="K34" s="12">
        <f t="shared" si="3"/>
        <v>-8.7131952017448291E-2</v>
      </c>
      <c r="L34" s="21">
        <v>84.14</v>
      </c>
      <c r="M34" s="12">
        <f t="shared" si="4"/>
        <v>-8.7121623087772604E-2</v>
      </c>
    </row>
    <row r="35" spans="1:13" x14ac:dyDescent="0.25">
      <c r="A35" s="23">
        <v>40774</v>
      </c>
      <c r="B35" s="21">
        <v>2.8069999999999999</v>
      </c>
      <c r="C35" s="12">
        <f t="shared" si="0"/>
        <v>2.4078803356439197E-2</v>
      </c>
      <c r="D35" s="6"/>
      <c r="E35" s="23">
        <v>40774</v>
      </c>
      <c r="F35" s="21">
        <v>85.35</v>
      </c>
      <c r="G35" s="12">
        <f t="shared" si="1"/>
        <v>2.9305354558610618E-2</v>
      </c>
      <c r="H35" s="21">
        <v>85.53</v>
      </c>
      <c r="I35" s="12">
        <f t="shared" si="2"/>
        <v>2.7140626876426148E-2</v>
      </c>
      <c r="J35" s="21">
        <v>85.86</v>
      </c>
      <c r="K35" s="12">
        <f t="shared" si="3"/>
        <v>2.5683908732529039E-2</v>
      </c>
      <c r="L35" s="21">
        <v>86.24</v>
      </c>
      <c r="M35" s="12">
        <f t="shared" si="4"/>
        <v>2.495840266222955E-2</v>
      </c>
    </row>
    <row r="36" spans="1:13" x14ac:dyDescent="0.25">
      <c r="A36" s="23">
        <v>40781</v>
      </c>
      <c r="B36" s="21">
        <v>2.8620000000000001</v>
      </c>
      <c r="C36" s="12">
        <f t="shared" si="0"/>
        <v>1.9593872461702942E-2</v>
      </c>
      <c r="D36" s="6"/>
      <c r="E36" s="23">
        <v>40781</v>
      </c>
      <c r="F36" s="21">
        <v>85.08</v>
      </c>
      <c r="G36" s="12">
        <f t="shared" si="1"/>
        <v>-3.1634446397187585E-3</v>
      </c>
      <c r="H36" s="21">
        <v>85.41</v>
      </c>
      <c r="I36" s="12">
        <f t="shared" si="2"/>
        <v>-1.403016485443757E-3</v>
      </c>
      <c r="J36" s="21">
        <v>85.76</v>
      </c>
      <c r="K36" s="12">
        <f t="shared" si="3"/>
        <v>-1.164686699277828E-3</v>
      </c>
      <c r="L36" s="21">
        <v>86.16</v>
      </c>
      <c r="M36" s="12">
        <f t="shared" si="4"/>
        <v>-9.2764378478662221E-4</v>
      </c>
    </row>
    <row r="37" spans="1:13" x14ac:dyDescent="0.25">
      <c r="A37" s="23">
        <v>40788</v>
      </c>
      <c r="B37" s="21">
        <v>2.911</v>
      </c>
      <c r="C37" s="12">
        <f t="shared" si="0"/>
        <v>1.7120894479385022E-2</v>
      </c>
      <c r="D37" s="6"/>
      <c r="E37" s="23">
        <v>40788</v>
      </c>
      <c r="F37" s="21">
        <v>88.07</v>
      </c>
      <c r="G37" s="12">
        <f t="shared" si="1"/>
        <v>3.5143394452280145E-2</v>
      </c>
      <c r="H37" s="21">
        <v>88.38</v>
      </c>
      <c r="I37" s="12">
        <f t="shared" si="2"/>
        <v>3.4773445732349827E-2</v>
      </c>
      <c r="J37" s="21">
        <v>88.74</v>
      </c>
      <c r="K37" s="12">
        <f t="shared" si="3"/>
        <v>3.4748134328358091E-2</v>
      </c>
      <c r="L37" s="21">
        <v>89.06</v>
      </c>
      <c r="M37" s="12">
        <f t="shared" si="4"/>
        <v>3.3658310120705734E-2</v>
      </c>
    </row>
    <row r="38" spans="1:13" x14ac:dyDescent="0.25">
      <c r="A38" s="23">
        <v>40795</v>
      </c>
      <c r="B38" s="21">
        <v>2.9369999999999998</v>
      </c>
      <c r="C38" s="12">
        <f t="shared" si="0"/>
        <v>8.931638612160701E-3</v>
      </c>
      <c r="D38" s="6"/>
      <c r="E38" s="23">
        <v>40795</v>
      </c>
      <c r="F38" s="21">
        <v>87.91</v>
      </c>
      <c r="G38" s="12">
        <f t="shared" si="1"/>
        <v>-1.816736686726429E-3</v>
      </c>
      <c r="H38" s="21">
        <v>88.13</v>
      </c>
      <c r="I38" s="12">
        <f t="shared" si="2"/>
        <v>-2.828694274722788E-3</v>
      </c>
      <c r="J38" s="21">
        <v>88.43</v>
      </c>
      <c r="K38" s="12">
        <f t="shared" si="3"/>
        <v>-3.4933513635337851E-3</v>
      </c>
      <c r="L38" s="21">
        <v>88.71</v>
      </c>
      <c r="M38" s="12">
        <f t="shared" si="4"/>
        <v>-3.9299348753650178E-3</v>
      </c>
    </row>
    <row r="39" spans="1:13" x14ac:dyDescent="0.25">
      <c r="A39" s="23">
        <v>40802</v>
      </c>
      <c r="B39" s="21">
        <v>2.794</v>
      </c>
      <c r="C39" s="12">
        <f t="shared" si="0"/>
        <v>-4.8689138576778958E-2</v>
      </c>
      <c r="D39" s="6"/>
      <c r="E39" s="23">
        <v>40802</v>
      </c>
      <c r="F39" s="21">
        <v>88.93</v>
      </c>
      <c r="G39" s="12">
        <f t="shared" si="1"/>
        <v>1.1602775565919807E-2</v>
      </c>
      <c r="H39" s="21">
        <v>89.07</v>
      </c>
      <c r="I39" s="12">
        <f t="shared" si="2"/>
        <v>1.0666061500056709E-2</v>
      </c>
      <c r="J39" s="21">
        <v>89.25</v>
      </c>
      <c r="K39" s="12">
        <f t="shared" si="3"/>
        <v>9.2728711975573128E-3</v>
      </c>
      <c r="L39" s="21">
        <v>89.46</v>
      </c>
      <c r="M39" s="12">
        <f t="shared" si="4"/>
        <v>8.4545147108555981E-3</v>
      </c>
    </row>
    <row r="40" spans="1:13" x14ac:dyDescent="0.25">
      <c r="A40" s="23">
        <v>40809</v>
      </c>
      <c r="B40" s="21">
        <v>2.6779999999999999</v>
      </c>
      <c r="C40" s="12">
        <f t="shared" si="0"/>
        <v>-4.1517537580529743E-2</v>
      </c>
      <c r="D40" s="6"/>
      <c r="E40" s="23">
        <v>40809</v>
      </c>
      <c r="F40" s="21">
        <v>83.77</v>
      </c>
      <c r="G40" s="12">
        <f t="shared" si="1"/>
        <v>-5.8023164286517603E-2</v>
      </c>
      <c r="H40" s="21">
        <v>83.96</v>
      </c>
      <c r="I40" s="12">
        <f t="shared" si="2"/>
        <v>-5.7370607387448071E-2</v>
      </c>
      <c r="J40" s="21">
        <v>84.21</v>
      </c>
      <c r="K40" s="12">
        <f t="shared" si="3"/>
        <v>-5.6470588235294189E-2</v>
      </c>
      <c r="L40" s="21">
        <v>84.47</v>
      </c>
      <c r="M40" s="12">
        <f t="shared" si="4"/>
        <v>-5.5779119159400793E-2</v>
      </c>
    </row>
    <row r="41" spans="1:13" x14ac:dyDescent="0.25">
      <c r="A41" s="23">
        <v>40816</v>
      </c>
      <c r="B41" s="21">
        <v>2.6349999999999998</v>
      </c>
      <c r="C41" s="12">
        <f t="shared" si="0"/>
        <v>-1.6056758775205432E-2</v>
      </c>
      <c r="D41" s="6"/>
      <c r="E41" s="23">
        <v>40816</v>
      </c>
      <c r="F41" s="21">
        <v>81.45</v>
      </c>
      <c r="G41" s="12">
        <f t="shared" si="1"/>
        <v>-2.7694878834905016E-2</v>
      </c>
      <c r="H41" s="21">
        <v>81.66</v>
      </c>
      <c r="I41" s="12">
        <f t="shared" si="2"/>
        <v>-2.7393997141495919E-2</v>
      </c>
      <c r="J41" s="21">
        <v>81.88</v>
      </c>
      <c r="K41" s="12">
        <f t="shared" si="3"/>
        <v>-2.7668922930768298E-2</v>
      </c>
      <c r="L41" s="21">
        <v>82.1</v>
      </c>
      <c r="M41" s="12">
        <f t="shared" si="4"/>
        <v>-2.8057298449153601E-2</v>
      </c>
    </row>
    <row r="42" spans="1:13" x14ac:dyDescent="0.25">
      <c r="A42" s="23">
        <v>40823</v>
      </c>
      <c r="B42" s="21">
        <v>2.71</v>
      </c>
      <c r="C42" s="12">
        <f t="shared" si="0"/>
        <v>2.8462998102466861E-2</v>
      </c>
      <c r="D42" s="6"/>
      <c r="E42" s="23">
        <v>40823</v>
      </c>
      <c r="F42" s="21">
        <v>79.709999999999994</v>
      </c>
      <c r="G42" s="12">
        <f t="shared" si="1"/>
        <v>-2.1362799263351859E-2</v>
      </c>
      <c r="H42" s="21">
        <v>79.900000000000006</v>
      </c>
      <c r="I42" s="12">
        <f t="shared" si="2"/>
        <v>-2.1552779818760606E-2</v>
      </c>
      <c r="J42" s="21">
        <v>80.05</v>
      </c>
      <c r="K42" s="12">
        <f t="shared" si="3"/>
        <v>-2.2349780166096709E-2</v>
      </c>
      <c r="L42" s="21">
        <v>80.22</v>
      </c>
      <c r="M42" s="12">
        <f t="shared" si="4"/>
        <v>-2.2898903775883016E-2</v>
      </c>
    </row>
    <row r="43" spans="1:13" x14ac:dyDescent="0.25">
      <c r="A43" s="23">
        <v>40830</v>
      </c>
      <c r="B43" s="21">
        <v>2.8820000000000001</v>
      </c>
      <c r="C43" s="12">
        <f t="shared" si="0"/>
        <v>6.346863468634692E-2</v>
      </c>
      <c r="D43" s="6"/>
      <c r="E43" s="23">
        <v>40830</v>
      </c>
      <c r="F43" s="21">
        <v>85.56</v>
      </c>
      <c r="G43" s="12">
        <f t="shared" si="1"/>
        <v>7.3391042529168352E-2</v>
      </c>
      <c r="H43" s="21">
        <v>85.77</v>
      </c>
      <c r="I43" s="12">
        <f t="shared" si="2"/>
        <v>7.346683354192729E-2</v>
      </c>
      <c r="J43" s="21">
        <v>85.9</v>
      </c>
      <c r="K43" s="12">
        <f t="shared" si="3"/>
        <v>7.3079325421611607E-2</v>
      </c>
      <c r="L43" s="21">
        <v>86.07</v>
      </c>
      <c r="M43" s="12">
        <f t="shared" si="4"/>
        <v>7.2924457741211604E-2</v>
      </c>
    </row>
    <row r="44" spans="1:13" x14ac:dyDescent="0.25">
      <c r="A44" s="23">
        <v>40837</v>
      </c>
      <c r="B44" s="21">
        <v>2.7719999999999998</v>
      </c>
      <c r="C44" s="12">
        <f t="shared" si="0"/>
        <v>-3.8167938931297822E-2</v>
      </c>
      <c r="D44" s="6"/>
      <c r="E44" s="23">
        <v>40837</v>
      </c>
      <c r="F44" s="21">
        <v>86.71</v>
      </c>
      <c r="G44" s="12">
        <f t="shared" si="1"/>
        <v>1.3440860215053663E-2</v>
      </c>
      <c r="H44" s="21">
        <v>87</v>
      </c>
      <c r="I44" s="12">
        <f t="shared" si="2"/>
        <v>1.4340678558936738E-2</v>
      </c>
      <c r="J44" s="21">
        <v>87.14</v>
      </c>
      <c r="K44" s="12">
        <f t="shared" si="3"/>
        <v>1.4435389988358496E-2</v>
      </c>
      <c r="L44" s="21">
        <v>87.3</v>
      </c>
      <c r="M44" s="12">
        <f t="shared" si="4"/>
        <v>1.4290693621470943E-2</v>
      </c>
    </row>
    <row r="45" spans="1:13" x14ac:dyDescent="0.25">
      <c r="A45" s="23">
        <v>40844</v>
      </c>
      <c r="B45" s="21">
        <v>2.7440000000000002</v>
      </c>
      <c r="C45" s="12">
        <f t="shared" si="0"/>
        <v>-1.0101010101009951E-2</v>
      </c>
      <c r="D45" s="6"/>
      <c r="E45" s="23">
        <v>40844</v>
      </c>
      <c r="F45" s="21">
        <v>92.38</v>
      </c>
      <c r="G45" s="12">
        <f t="shared" si="1"/>
        <v>6.5390381732210845E-2</v>
      </c>
      <c r="H45" s="21">
        <v>92.26</v>
      </c>
      <c r="I45" s="12">
        <f t="shared" si="2"/>
        <v>6.0459770114942586E-2</v>
      </c>
      <c r="J45" s="21">
        <v>92.14</v>
      </c>
      <c r="K45" s="12">
        <f t="shared" si="3"/>
        <v>5.7378930456736289E-2</v>
      </c>
      <c r="L45" s="21">
        <v>92</v>
      </c>
      <c r="M45" s="12">
        <f t="shared" si="4"/>
        <v>5.3837342497136349E-2</v>
      </c>
    </row>
    <row r="46" spans="1:13" x14ac:dyDescent="0.25">
      <c r="A46" s="23">
        <v>40851</v>
      </c>
      <c r="B46" s="21">
        <v>2.7029999999999998</v>
      </c>
      <c r="C46" s="12">
        <f t="shared" si="0"/>
        <v>-1.4941690962099258E-2</v>
      </c>
      <c r="D46" s="6"/>
      <c r="E46" s="23">
        <v>40851</v>
      </c>
      <c r="F46" s="21">
        <v>93.24</v>
      </c>
      <c r="G46" s="12">
        <f t="shared" si="1"/>
        <v>9.3093743234466276E-3</v>
      </c>
      <c r="H46" s="21">
        <v>93.12</v>
      </c>
      <c r="I46" s="12">
        <f t="shared" si="2"/>
        <v>9.321482766095809E-3</v>
      </c>
      <c r="J46" s="21">
        <v>92.99</v>
      </c>
      <c r="K46" s="12">
        <f t="shared" si="3"/>
        <v>9.2250922509224467E-3</v>
      </c>
      <c r="L46" s="21">
        <v>92.89</v>
      </c>
      <c r="M46" s="12">
        <f t="shared" si="4"/>
        <v>9.6739130434782671E-3</v>
      </c>
    </row>
    <row r="47" spans="1:13" x14ac:dyDescent="0.25">
      <c r="A47" s="23">
        <v>40858</v>
      </c>
      <c r="B47" s="21">
        <v>2.7189999999999999</v>
      </c>
      <c r="C47" s="12">
        <f t="shared" si="0"/>
        <v>5.9193488716241267E-3</v>
      </c>
      <c r="D47" s="6"/>
      <c r="E47" s="23">
        <v>40858</v>
      </c>
      <c r="F47" s="21">
        <v>96.97</v>
      </c>
      <c r="G47" s="12">
        <f t="shared" si="1"/>
        <v>4.0004290004290052E-2</v>
      </c>
      <c r="H47" s="21">
        <v>96.87</v>
      </c>
      <c r="I47" s="12">
        <f t="shared" si="2"/>
        <v>4.0270618556701027E-2</v>
      </c>
      <c r="J47" s="21">
        <v>96.78</v>
      </c>
      <c r="K47" s="12">
        <f t="shared" si="3"/>
        <v>4.075707065275843E-2</v>
      </c>
      <c r="L47" s="21">
        <v>96.7</v>
      </c>
      <c r="M47" s="12">
        <f t="shared" si="4"/>
        <v>4.101625578641406E-2</v>
      </c>
    </row>
    <row r="48" spans="1:13" x14ac:dyDescent="0.25">
      <c r="A48" s="23">
        <v>40865</v>
      </c>
      <c r="B48" s="21">
        <v>2.577</v>
      </c>
      <c r="C48" s="12">
        <f t="shared" si="0"/>
        <v>-5.222508275101137E-2</v>
      </c>
      <c r="D48" s="6"/>
      <c r="E48" s="23">
        <v>40865</v>
      </c>
      <c r="F48" s="21">
        <v>99.27</v>
      </c>
      <c r="G48" s="12">
        <f t="shared" si="1"/>
        <v>2.3718675879137847E-2</v>
      </c>
      <c r="H48" s="21">
        <v>99.37</v>
      </c>
      <c r="I48" s="12">
        <f t="shared" si="2"/>
        <v>2.5807783627542064E-2</v>
      </c>
      <c r="J48" s="21">
        <v>99.3</v>
      </c>
      <c r="K48" s="12">
        <f t="shared" si="3"/>
        <v>2.6038437693738335E-2</v>
      </c>
      <c r="L48" s="21">
        <v>99.25</v>
      </c>
      <c r="M48" s="12">
        <f t="shared" si="4"/>
        <v>2.6370217166494282E-2</v>
      </c>
    </row>
    <row r="49" spans="1:13" x14ac:dyDescent="0.25">
      <c r="A49" s="23">
        <v>40872</v>
      </c>
      <c r="B49" s="21">
        <v>2.548</v>
      </c>
      <c r="C49" s="12">
        <f t="shared" si="0"/>
        <v>-1.1253395421032176E-2</v>
      </c>
      <c r="D49" s="6"/>
      <c r="E49" s="23">
        <v>40872</v>
      </c>
      <c r="F49" s="21">
        <v>96.97</v>
      </c>
      <c r="G49" s="12">
        <f t="shared" si="1"/>
        <v>-2.316913468318724E-2</v>
      </c>
      <c r="H49" s="21">
        <v>97.12</v>
      </c>
      <c r="I49" s="12">
        <f t="shared" si="2"/>
        <v>-2.2642648686726375E-2</v>
      </c>
      <c r="J49" s="21">
        <v>97.25</v>
      </c>
      <c r="K49" s="12">
        <f t="shared" si="3"/>
        <v>-2.0644511581067445E-2</v>
      </c>
      <c r="L49" s="21">
        <v>97.33</v>
      </c>
      <c r="M49" s="12">
        <f t="shared" si="4"/>
        <v>-1.9345088161209084E-2</v>
      </c>
    </row>
    <row r="50" spans="1:13" x14ac:dyDescent="0.25">
      <c r="A50" s="23">
        <v>40879</v>
      </c>
      <c r="B50" s="21">
        <v>2.6019999999999999</v>
      </c>
      <c r="C50" s="12">
        <f t="shared" si="0"/>
        <v>2.1193092621663981E-2</v>
      </c>
      <c r="D50" s="6"/>
      <c r="E50" s="23">
        <v>40879</v>
      </c>
      <c r="F50" s="21">
        <v>99.9</v>
      </c>
      <c r="G50" s="12">
        <f t="shared" si="1"/>
        <v>3.0215530576467021E-2</v>
      </c>
      <c r="H50" s="21">
        <v>100.02</v>
      </c>
      <c r="I50" s="12">
        <f t="shared" si="2"/>
        <v>2.9859967051070749E-2</v>
      </c>
      <c r="J50" s="21">
        <v>100.12</v>
      </c>
      <c r="K50" s="12">
        <f t="shared" si="3"/>
        <v>2.9511568123393363E-2</v>
      </c>
      <c r="L50" s="21">
        <v>100.13</v>
      </c>
      <c r="M50" s="12">
        <f t="shared" si="4"/>
        <v>2.8768108496866302E-2</v>
      </c>
    </row>
    <row r="51" spans="1:13" x14ac:dyDescent="0.25">
      <c r="A51" s="23">
        <v>40886</v>
      </c>
      <c r="B51" s="21">
        <v>2.6360000000000001</v>
      </c>
      <c r="C51" s="12">
        <f t="shared" si="0"/>
        <v>1.306687163720225E-2</v>
      </c>
      <c r="D51" s="6"/>
      <c r="E51" s="23">
        <v>40886</v>
      </c>
      <c r="F51" s="21">
        <v>100.1</v>
      </c>
      <c r="G51" s="12">
        <f t="shared" si="1"/>
        <v>2.0020020020018879E-3</v>
      </c>
      <c r="H51" s="21">
        <v>100.28</v>
      </c>
      <c r="I51" s="12">
        <f t="shared" si="2"/>
        <v>2.5994801039792553E-3</v>
      </c>
      <c r="J51" s="21">
        <v>100.45</v>
      </c>
      <c r="K51" s="12">
        <f t="shared" si="3"/>
        <v>3.2960447463044173E-3</v>
      </c>
      <c r="L51" s="21">
        <v>100.58</v>
      </c>
      <c r="M51" s="12">
        <f t="shared" si="4"/>
        <v>4.4941575951263643E-3</v>
      </c>
    </row>
    <row r="52" spans="1:13" x14ac:dyDescent="0.25">
      <c r="A52" s="23">
        <v>40893</v>
      </c>
      <c r="B52" s="21">
        <v>2.5680000000000001</v>
      </c>
      <c r="C52" s="12">
        <f t="shared" si="0"/>
        <v>-2.5796661608497747E-2</v>
      </c>
      <c r="D52" s="6"/>
      <c r="E52" s="23">
        <v>40893</v>
      </c>
      <c r="F52" s="21">
        <v>96.05</v>
      </c>
      <c r="G52" s="12">
        <f t="shared" si="1"/>
        <v>-4.0459540459540436E-2</v>
      </c>
      <c r="H52" s="21">
        <v>96.25</v>
      </c>
      <c r="I52" s="12">
        <f t="shared" si="2"/>
        <v>-4.0187475069804558E-2</v>
      </c>
      <c r="J52" s="21">
        <v>96.46</v>
      </c>
      <c r="K52" s="12">
        <f t="shared" si="3"/>
        <v>-3.972125435540079E-2</v>
      </c>
      <c r="L52" s="21">
        <v>96.68</v>
      </c>
      <c r="M52" s="12">
        <f t="shared" si="4"/>
        <v>-3.8775104394511747E-2</v>
      </c>
    </row>
    <row r="53" spans="1:13" x14ac:dyDescent="0.25">
      <c r="A53" s="23">
        <v>40900</v>
      </c>
      <c r="B53" s="21">
        <v>2.6389999999999998</v>
      </c>
      <c r="C53" s="12">
        <f t="shared" si="0"/>
        <v>2.7647975077881515E-2</v>
      </c>
      <c r="D53" s="6"/>
      <c r="E53" s="23">
        <v>40900</v>
      </c>
      <c r="F53" s="21">
        <v>97.8</v>
      </c>
      <c r="G53" s="12">
        <f t="shared" si="1"/>
        <v>1.8219677251431546E-2</v>
      </c>
      <c r="H53" s="21">
        <v>97.93</v>
      </c>
      <c r="I53" s="12">
        <f t="shared" si="2"/>
        <v>1.7454545454545525E-2</v>
      </c>
      <c r="J53" s="21">
        <v>98.11</v>
      </c>
      <c r="K53" s="12">
        <f t="shared" si="3"/>
        <v>1.710553597346056E-2</v>
      </c>
      <c r="L53" s="21">
        <v>98.22</v>
      </c>
      <c r="M53" s="12">
        <f t="shared" si="4"/>
        <v>1.5928837401737606E-2</v>
      </c>
    </row>
    <row r="54" spans="1:13" x14ac:dyDescent="0.25">
      <c r="A54" s="23">
        <v>40907</v>
      </c>
      <c r="B54" s="21">
        <v>2.698</v>
      </c>
      <c r="C54" s="12">
        <f t="shared" si="0"/>
        <v>2.2356953391436212E-2</v>
      </c>
      <c r="D54" s="6"/>
      <c r="E54" s="23">
        <v>40907</v>
      </c>
      <c r="F54" s="21">
        <v>99.8</v>
      </c>
      <c r="G54" s="12">
        <f t="shared" si="1"/>
        <v>2.0449897750511249E-2</v>
      </c>
      <c r="H54" s="21">
        <v>99.95</v>
      </c>
      <c r="I54" s="12">
        <f t="shared" si="2"/>
        <v>2.0626978453997712E-2</v>
      </c>
      <c r="J54" s="21">
        <v>100.13</v>
      </c>
      <c r="K54" s="12">
        <f t="shared" si="3"/>
        <v>2.0589134644786424E-2</v>
      </c>
      <c r="L54" s="21">
        <v>100.25</v>
      </c>
      <c r="M54" s="12">
        <f t="shared" si="4"/>
        <v>2.0667888413765028E-2</v>
      </c>
    </row>
    <row r="55" spans="1:13" x14ac:dyDescent="0.25">
      <c r="A55" s="23">
        <v>40914</v>
      </c>
      <c r="B55" s="21">
        <v>2.778</v>
      </c>
      <c r="C55" s="12">
        <f t="shared" si="0"/>
        <v>2.9651593773165334E-2</v>
      </c>
      <c r="D55" s="6"/>
      <c r="E55" s="23">
        <v>40914</v>
      </c>
      <c r="F55" s="21">
        <v>102.39</v>
      </c>
      <c r="G55" s="12">
        <f t="shared" si="1"/>
        <v>2.5951903807615265E-2</v>
      </c>
      <c r="H55" s="21">
        <v>102.58</v>
      </c>
      <c r="I55" s="12">
        <f t="shared" si="2"/>
        <v>2.6313156578289098E-2</v>
      </c>
      <c r="J55" s="21">
        <v>102.79</v>
      </c>
      <c r="K55" s="12">
        <f t="shared" si="3"/>
        <v>2.6565464895635781E-2</v>
      </c>
      <c r="L55" s="21">
        <v>102.98</v>
      </c>
      <c r="M55" s="12">
        <f t="shared" si="4"/>
        <v>2.7231920199501287E-2</v>
      </c>
    </row>
    <row r="56" spans="1:13" x14ac:dyDescent="0.25">
      <c r="A56" s="23">
        <v>40921</v>
      </c>
      <c r="B56" s="21">
        <v>2.774</v>
      </c>
      <c r="C56" s="12">
        <f t="shared" si="0"/>
        <v>-1.439884809215264E-3</v>
      </c>
      <c r="D56" s="6"/>
      <c r="E56" s="23">
        <v>40921</v>
      </c>
      <c r="F56" s="21">
        <v>100.44</v>
      </c>
      <c r="G56" s="12">
        <f t="shared" si="1"/>
        <v>-1.9044828596542659E-2</v>
      </c>
      <c r="H56" s="21">
        <v>100.65</v>
      </c>
      <c r="I56" s="12">
        <f t="shared" si="2"/>
        <v>-1.8814583739520302E-2</v>
      </c>
      <c r="J56" s="21">
        <v>100.89</v>
      </c>
      <c r="K56" s="12">
        <f t="shared" si="3"/>
        <v>-1.848428835489839E-2</v>
      </c>
      <c r="L56" s="21">
        <v>101.14</v>
      </c>
      <c r="M56" s="12">
        <f t="shared" si="4"/>
        <v>-1.786754709652363E-2</v>
      </c>
    </row>
    <row r="57" spans="1:13" x14ac:dyDescent="0.25">
      <c r="A57" s="23">
        <v>40928</v>
      </c>
      <c r="B57" s="21">
        <v>2.831</v>
      </c>
      <c r="C57" s="12">
        <f t="shared" si="0"/>
        <v>2.054794520547943E-2</v>
      </c>
      <c r="D57" s="6"/>
      <c r="E57" s="23">
        <v>40928</v>
      </c>
      <c r="F57" s="21">
        <v>100.04</v>
      </c>
      <c r="G57" s="12">
        <f t="shared" si="1"/>
        <v>-3.9824771007565861E-3</v>
      </c>
      <c r="H57" s="21">
        <v>100.13</v>
      </c>
      <c r="I57" s="12">
        <f t="shared" si="2"/>
        <v>-5.166418281172481E-3</v>
      </c>
      <c r="J57" s="21">
        <v>100.39</v>
      </c>
      <c r="K57" s="12">
        <f t="shared" si="3"/>
        <v>-4.9558925562493807E-3</v>
      </c>
      <c r="L57" s="21">
        <v>100.7</v>
      </c>
      <c r="M57" s="12">
        <f t="shared" si="4"/>
        <v>-4.3504053786829911E-3</v>
      </c>
    </row>
    <row r="58" spans="1:13" x14ac:dyDescent="0.25">
      <c r="A58" s="23">
        <v>40935</v>
      </c>
      <c r="B58" s="21">
        <v>2.867</v>
      </c>
      <c r="C58" s="12">
        <f t="shared" si="0"/>
        <v>1.2716354645001777E-2</v>
      </c>
      <c r="D58" s="6"/>
      <c r="E58" s="23">
        <v>40935</v>
      </c>
      <c r="F58" s="21">
        <v>99.44</v>
      </c>
      <c r="G58" s="12">
        <f t="shared" si="1"/>
        <v>-5.9976009596162385E-3</v>
      </c>
      <c r="H58" s="21">
        <v>99.77</v>
      </c>
      <c r="I58" s="12">
        <f t="shared" si="2"/>
        <v>-3.5953260761010632E-3</v>
      </c>
      <c r="J58" s="21">
        <v>100.13</v>
      </c>
      <c r="K58" s="12">
        <f t="shared" si="3"/>
        <v>-2.5898993923698091E-3</v>
      </c>
      <c r="L58" s="21">
        <v>100.43</v>
      </c>
      <c r="M58" s="12">
        <f t="shared" si="4"/>
        <v>-2.681231380337597E-3</v>
      </c>
    </row>
    <row r="59" spans="1:13" x14ac:dyDescent="0.25">
      <c r="A59" s="23">
        <v>40942</v>
      </c>
      <c r="B59" s="21">
        <v>2.91</v>
      </c>
      <c r="C59" s="12">
        <f t="shared" si="0"/>
        <v>1.4998256016742291E-2</v>
      </c>
      <c r="D59" s="6"/>
      <c r="E59" s="23">
        <v>40942</v>
      </c>
      <c r="F59" s="21">
        <v>97.81</v>
      </c>
      <c r="G59" s="12">
        <f t="shared" si="1"/>
        <v>-1.6391794046661259E-2</v>
      </c>
      <c r="H59" s="21">
        <v>98.19</v>
      </c>
      <c r="I59" s="12">
        <f t="shared" si="2"/>
        <v>-1.5836423774681752E-2</v>
      </c>
      <c r="J59" s="21">
        <v>98.61</v>
      </c>
      <c r="K59" s="12">
        <f t="shared" si="3"/>
        <v>-1.5180265654648917E-2</v>
      </c>
      <c r="L59" s="21">
        <v>99</v>
      </c>
      <c r="M59" s="12">
        <f t="shared" si="4"/>
        <v>-1.423877327491792E-2</v>
      </c>
    </row>
    <row r="60" spans="1:13" x14ac:dyDescent="0.25">
      <c r="A60" s="23">
        <v>40949</v>
      </c>
      <c r="B60" s="21">
        <v>2.988</v>
      </c>
      <c r="C60" s="12">
        <f t="shared" si="0"/>
        <v>2.6804123711340153E-2</v>
      </c>
      <c r="D60" s="6"/>
      <c r="E60" s="23">
        <v>40949</v>
      </c>
      <c r="F60" s="21">
        <v>98.51</v>
      </c>
      <c r="G60" s="12">
        <f t="shared" si="1"/>
        <v>7.1567324404457908E-3</v>
      </c>
      <c r="H60" s="21">
        <v>98.92</v>
      </c>
      <c r="I60" s="12">
        <f t="shared" si="2"/>
        <v>7.4345656380487221E-3</v>
      </c>
      <c r="J60" s="21">
        <v>99.53</v>
      </c>
      <c r="K60" s="12">
        <f t="shared" si="3"/>
        <v>9.3296825879728394E-3</v>
      </c>
      <c r="L60" s="21">
        <v>100.17</v>
      </c>
      <c r="M60" s="12">
        <f t="shared" si="4"/>
        <v>1.1818181818181835E-2</v>
      </c>
    </row>
    <row r="61" spans="1:13" x14ac:dyDescent="0.25">
      <c r="A61" s="23">
        <v>40956</v>
      </c>
      <c r="B61" s="21">
        <v>3.0249999999999999</v>
      </c>
      <c r="C61" s="12">
        <f t="shared" si="0"/>
        <v>1.238286479250332E-2</v>
      </c>
      <c r="D61" s="6"/>
      <c r="E61" s="23">
        <v>40956</v>
      </c>
      <c r="F61" s="21">
        <v>101.8</v>
      </c>
      <c r="G61" s="12">
        <f t="shared" si="1"/>
        <v>3.3397624606638837E-2</v>
      </c>
      <c r="H61" s="21">
        <v>102.15</v>
      </c>
      <c r="I61" s="12">
        <f t="shared" si="2"/>
        <v>3.2652648604933318E-2</v>
      </c>
      <c r="J61" s="21">
        <v>102.66</v>
      </c>
      <c r="K61" s="12">
        <f t="shared" si="3"/>
        <v>3.1447804682005379E-2</v>
      </c>
      <c r="L61" s="21">
        <v>103.2</v>
      </c>
      <c r="M61" s="12">
        <f t="shared" si="4"/>
        <v>3.0248577418388749E-2</v>
      </c>
    </row>
    <row r="62" spans="1:13" x14ac:dyDescent="0.25">
      <c r="A62" s="23">
        <v>40963</v>
      </c>
      <c r="B62" s="21">
        <v>3.113</v>
      </c>
      <c r="C62" s="12">
        <f t="shared" si="0"/>
        <v>2.9090909090909119E-2</v>
      </c>
      <c r="D62" s="6"/>
      <c r="E62" s="23">
        <v>40963</v>
      </c>
      <c r="F62" s="21">
        <v>107.43</v>
      </c>
      <c r="G62" s="12">
        <f t="shared" si="1"/>
        <v>5.5304518664047245E-2</v>
      </c>
      <c r="H62" s="21">
        <v>107.87</v>
      </c>
      <c r="I62" s="12">
        <f t="shared" si="2"/>
        <v>5.5996084189916771E-2</v>
      </c>
      <c r="J62" s="21">
        <v>108.32</v>
      </c>
      <c r="K62" s="12">
        <f t="shared" si="3"/>
        <v>5.5133450224040488E-2</v>
      </c>
      <c r="L62" s="21">
        <v>108.63</v>
      </c>
      <c r="M62" s="12">
        <f t="shared" si="4"/>
        <v>5.2616279069767367E-2</v>
      </c>
    </row>
    <row r="63" spans="1:13" x14ac:dyDescent="0.25">
      <c r="A63" s="23">
        <v>40970</v>
      </c>
      <c r="B63" s="21">
        <v>3.1739999999999999</v>
      </c>
      <c r="C63" s="12">
        <f t="shared" si="0"/>
        <v>1.959524574365562E-2</v>
      </c>
      <c r="D63" s="6"/>
      <c r="E63" s="23">
        <v>40970</v>
      </c>
      <c r="F63" s="21">
        <v>107.54</v>
      </c>
      <c r="G63" s="12">
        <f t="shared" si="1"/>
        <v>1.0239225542213481E-3</v>
      </c>
      <c r="H63" s="21">
        <v>108</v>
      </c>
      <c r="I63" s="12">
        <f t="shared" si="2"/>
        <v>1.2051543524612537E-3</v>
      </c>
      <c r="J63" s="21">
        <v>108.44</v>
      </c>
      <c r="K63" s="12">
        <f t="shared" si="3"/>
        <v>1.1078286558346064E-3</v>
      </c>
      <c r="L63" s="21">
        <v>108.73</v>
      </c>
      <c r="M63" s="12">
        <f t="shared" si="4"/>
        <v>9.2055601583364201E-4</v>
      </c>
    </row>
    <row r="64" spans="1:13" x14ac:dyDescent="0.25">
      <c r="A64" s="23">
        <v>40977</v>
      </c>
      <c r="B64" s="21">
        <v>3.0430000000000001</v>
      </c>
      <c r="C64" s="12">
        <f t="shared" si="0"/>
        <v>-4.1272841839949524E-2</v>
      </c>
      <c r="D64" s="6"/>
      <c r="E64" s="23">
        <v>40977</v>
      </c>
      <c r="F64" s="21">
        <v>106.31</v>
      </c>
      <c r="G64" s="12">
        <f t="shared" si="1"/>
        <v>-1.1437604612237343E-2</v>
      </c>
      <c r="H64" s="21">
        <v>106.79</v>
      </c>
      <c r="I64" s="12">
        <f t="shared" si="2"/>
        <v>-1.1203703703703646E-2</v>
      </c>
      <c r="J64" s="21">
        <v>107.29</v>
      </c>
      <c r="K64" s="12">
        <f t="shared" si="3"/>
        <v>-1.0604942825525559E-2</v>
      </c>
      <c r="L64" s="21">
        <v>107.68</v>
      </c>
      <c r="M64" s="12">
        <f t="shared" si="4"/>
        <v>-9.6569484043042136E-3</v>
      </c>
    </row>
    <row r="65" spans="1:13" x14ac:dyDescent="0.25">
      <c r="A65" s="23">
        <v>40984</v>
      </c>
      <c r="B65" s="21">
        <v>3.117</v>
      </c>
      <c r="C65" s="12">
        <f t="shared" si="0"/>
        <v>2.431810713112055E-2</v>
      </c>
      <c r="D65" s="6"/>
      <c r="E65" s="23">
        <v>40984</v>
      </c>
      <c r="F65" s="21">
        <v>106.13</v>
      </c>
      <c r="G65" s="12">
        <f t="shared" si="1"/>
        <v>-1.6931615087950975E-3</v>
      </c>
      <c r="H65" s="21">
        <v>106.65</v>
      </c>
      <c r="I65" s="12">
        <f t="shared" si="2"/>
        <v>-1.3109841745481839E-3</v>
      </c>
      <c r="J65" s="21">
        <v>107.18</v>
      </c>
      <c r="K65" s="12">
        <f t="shared" si="3"/>
        <v>-1.025258644794477E-3</v>
      </c>
      <c r="L65" s="21">
        <v>107.66</v>
      </c>
      <c r="M65" s="12">
        <f t="shared" si="4"/>
        <v>-1.8573551263010988E-4</v>
      </c>
    </row>
    <row r="66" spans="1:13" x14ac:dyDescent="0.25">
      <c r="A66" s="23">
        <v>40991</v>
      </c>
      <c r="B66" s="21">
        <v>3.2189999999999999</v>
      </c>
      <c r="C66" s="12">
        <f t="shared" si="0"/>
        <v>3.2723772858517762E-2</v>
      </c>
      <c r="D66" s="6"/>
      <c r="E66" s="23">
        <v>40991</v>
      </c>
      <c r="F66" s="21">
        <v>106.64</v>
      </c>
      <c r="G66" s="12">
        <f t="shared" si="1"/>
        <v>4.8054273061340349E-3</v>
      </c>
      <c r="H66" s="21">
        <v>107.11</v>
      </c>
      <c r="I66" s="12">
        <f t="shared" si="2"/>
        <v>4.3131739334270388E-3</v>
      </c>
      <c r="J66" s="21">
        <v>107.57</v>
      </c>
      <c r="K66" s="12">
        <f t="shared" si="3"/>
        <v>3.6387385706287212E-3</v>
      </c>
      <c r="L66" s="21">
        <v>107.93</v>
      </c>
      <c r="M66" s="12">
        <f t="shared" si="4"/>
        <v>2.5078952257106654E-3</v>
      </c>
    </row>
    <row r="67" spans="1:13" x14ac:dyDescent="0.25">
      <c r="A67" s="23">
        <v>40998</v>
      </c>
      <c r="B67" s="21">
        <v>3.3069999999999999</v>
      </c>
      <c r="C67" s="12">
        <f t="shared" si="0"/>
        <v>2.7337682510096328E-2</v>
      </c>
      <c r="D67" s="6"/>
      <c r="E67" s="23">
        <v>40998</v>
      </c>
      <c r="F67" s="21">
        <v>105.11</v>
      </c>
      <c r="G67" s="12">
        <f t="shared" si="1"/>
        <v>-1.4347336834208562E-2</v>
      </c>
      <c r="H67" s="21">
        <v>105.64</v>
      </c>
      <c r="I67" s="12">
        <f t="shared" si="2"/>
        <v>-1.3724208757352243E-2</v>
      </c>
      <c r="J67" s="21">
        <v>106.13</v>
      </c>
      <c r="K67" s="12">
        <f t="shared" si="3"/>
        <v>-1.3386631960583786E-2</v>
      </c>
      <c r="L67" s="21">
        <v>106.48</v>
      </c>
      <c r="M67" s="12">
        <f t="shared" si="4"/>
        <v>-1.3434633558788128E-2</v>
      </c>
    </row>
    <row r="68" spans="1:13" x14ac:dyDescent="0.25">
      <c r="A68" s="23">
        <v>41005</v>
      </c>
      <c r="B68" s="21">
        <v>3.3610000000000002</v>
      </c>
      <c r="C68" s="12">
        <f t="shared" si="0"/>
        <v>1.6328999092833467E-2</v>
      </c>
      <c r="D68" s="6"/>
      <c r="E68" s="23">
        <v>41005</v>
      </c>
      <c r="F68" s="21">
        <v>103.51</v>
      </c>
      <c r="G68" s="12">
        <f t="shared" si="1"/>
        <v>-1.5222148225668293E-2</v>
      </c>
      <c r="H68" s="21">
        <v>104.04</v>
      </c>
      <c r="I68" s="12">
        <f t="shared" si="2"/>
        <v>-1.5145778114350571E-2</v>
      </c>
      <c r="J68" s="21">
        <v>104.58</v>
      </c>
      <c r="K68" s="12">
        <f t="shared" si="3"/>
        <v>-1.4604730048054246E-2</v>
      </c>
      <c r="L68" s="21">
        <v>105.01</v>
      </c>
      <c r="M68" s="12">
        <f t="shared" si="4"/>
        <v>-1.3805409466566481E-2</v>
      </c>
    </row>
    <row r="69" spans="1:13" x14ac:dyDescent="0.25">
      <c r="A69" s="23">
        <v>41012</v>
      </c>
      <c r="B69" s="21">
        <v>3.278</v>
      </c>
      <c r="C69" s="12">
        <f t="shared" ref="C69:C132" si="5">(B69-B68)/B68</f>
        <v>-2.4695031240702225E-2</v>
      </c>
      <c r="D69" s="6"/>
      <c r="E69" s="23">
        <v>41012</v>
      </c>
      <c r="F69" s="21">
        <v>102.53</v>
      </c>
      <c r="G69" s="12">
        <f t="shared" ref="G69:G132" si="6">(F69-F68)/F68</f>
        <v>-9.4676842817119494E-3</v>
      </c>
      <c r="H69" s="21">
        <v>103.03</v>
      </c>
      <c r="I69" s="12">
        <f t="shared" ref="I69:I132" si="7">(H69-H68)/H68</f>
        <v>-9.7078046905037015E-3</v>
      </c>
      <c r="J69" s="21">
        <v>103.53</v>
      </c>
      <c r="K69" s="12">
        <f t="shared" ref="K69:K132" si="8">(J69-J68)/J68</f>
        <v>-1.0040160642570253E-2</v>
      </c>
      <c r="L69" s="21">
        <v>103.96</v>
      </c>
      <c r="M69" s="12">
        <f t="shared" ref="M69:M132" si="9">(L69-L68)/L68</f>
        <v>-9.9990477097420365E-3</v>
      </c>
    </row>
    <row r="70" spans="1:13" x14ac:dyDescent="0.25">
      <c r="A70" s="23">
        <v>41019</v>
      </c>
      <c r="B70" s="21">
        <v>3.1539999999999999</v>
      </c>
      <c r="C70" s="12">
        <f t="shared" si="5"/>
        <v>-3.7827943868212359E-2</v>
      </c>
      <c r="D70" s="6"/>
      <c r="E70" s="23">
        <v>41019</v>
      </c>
      <c r="F70" s="21">
        <v>103.02</v>
      </c>
      <c r="G70" s="12">
        <f t="shared" si="6"/>
        <v>4.7790890471081137E-3</v>
      </c>
      <c r="H70" s="21">
        <v>103.55</v>
      </c>
      <c r="I70" s="12">
        <f t="shared" si="7"/>
        <v>5.0470736678636906E-3</v>
      </c>
      <c r="J70" s="21">
        <v>103.98</v>
      </c>
      <c r="K70" s="12">
        <f t="shared" si="8"/>
        <v>4.3465662126920008E-3</v>
      </c>
      <c r="L70" s="21">
        <v>104.35</v>
      </c>
      <c r="M70" s="12">
        <f t="shared" si="9"/>
        <v>3.7514428626394822E-3</v>
      </c>
    </row>
    <row r="71" spans="1:13" x14ac:dyDescent="0.25">
      <c r="A71" s="23">
        <v>41026</v>
      </c>
      <c r="B71" s="21">
        <v>3.09</v>
      </c>
      <c r="C71" s="12">
        <f t="shared" si="5"/>
        <v>-2.0291693088142059E-2</v>
      </c>
      <c r="D71" s="6"/>
      <c r="E71" s="23">
        <v>41026</v>
      </c>
      <c r="F71" s="21">
        <v>104.05</v>
      </c>
      <c r="G71" s="12">
        <f t="shared" si="6"/>
        <v>9.9980586293923618E-3</v>
      </c>
      <c r="H71" s="21">
        <v>104.45</v>
      </c>
      <c r="I71" s="12">
        <f t="shared" si="7"/>
        <v>8.6914534041526385E-3</v>
      </c>
      <c r="J71" s="21">
        <v>104.8</v>
      </c>
      <c r="K71" s="12">
        <f t="shared" si="8"/>
        <v>7.8861319484515597E-3</v>
      </c>
      <c r="L71" s="21">
        <v>105.05</v>
      </c>
      <c r="M71" s="12">
        <f t="shared" si="9"/>
        <v>6.7081935793004586E-3</v>
      </c>
    </row>
    <row r="72" spans="1:13" x14ac:dyDescent="0.25">
      <c r="A72" s="23">
        <v>41033</v>
      </c>
      <c r="B72" s="21">
        <v>2.9860000000000002</v>
      </c>
      <c r="C72" s="12">
        <f t="shared" si="5"/>
        <v>-3.3656957928802474E-2</v>
      </c>
      <c r="D72" s="6"/>
      <c r="E72" s="23">
        <v>41033</v>
      </c>
      <c r="F72" s="21">
        <v>103.46</v>
      </c>
      <c r="G72" s="12">
        <f t="shared" si="6"/>
        <v>-5.6703507928880679E-3</v>
      </c>
      <c r="H72" s="21">
        <v>103.83</v>
      </c>
      <c r="I72" s="12">
        <f t="shared" si="7"/>
        <v>-5.9358544758257971E-3</v>
      </c>
      <c r="J72" s="21">
        <v>104.1</v>
      </c>
      <c r="K72" s="12">
        <f t="shared" si="8"/>
        <v>-6.6793893129771268E-3</v>
      </c>
      <c r="L72" s="21">
        <v>104.26</v>
      </c>
      <c r="M72" s="12">
        <f t="shared" si="9"/>
        <v>-7.5202284626367643E-3</v>
      </c>
    </row>
    <row r="73" spans="1:13" x14ac:dyDescent="0.25">
      <c r="A73" s="23">
        <v>41040</v>
      </c>
      <c r="B73" s="21">
        <v>2.9329999999999998</v>
      </c>
      <c r="C73" s="12">
        <f t="shared" si="5"/>
        <v>-1.7749497655726851E-2</v>
      </c>
      <c r="D73" s="6"/>
      <c r="E73" s="23">
        <v>41040</v>
      </c>
      <c r="F73" s="21">
        <v>96.99</v>
      </c>
      <c r="G73" s="12">
        <f t="shared" si="6"/>
        <v>-6.253624589213222E-2</v>
      </c>
      <c r="H73" s="21">
        <v>97.35</v>
      </c>
      <c r="I73" s="12">
        <f t="shared" si="7"/>
        <v>-6.2409708176827547E-2</v>
      </c>
      <c r="J73" s="21">
        <v>97.61</v>
      </c>
      <c r="K73" s="12">
        <f t="shared" si="8"/>
        <v>-6.234390009606143E-2</v>
      </c>
      <c r="L73" s="21">
        <v>97.87</v>
      </c>
      <c r="M73" s="12">
        <f t="shared" si="9"/>
        <v>-6.1289084979858049E-2</v>
      </c>
    </row>
    <row r="74" spans="1:13" x14ac:dyDescent="0.25">
      <c r="A74" s="23">
        <v>41047</v>
      </c>
      <c r="B74" s="21">
        <v>2.875</v>
      </c>
      <c r="C74" s="12">
        <f t="shared" si="5"/>
        <v>-1.977497442891232E-2</v>
      </c>
      <c r="D74" s="6"/>
      <c r="E74" s="23">
        <v>41047</v>
      </c>
      <c r="F74" s="21">
        <v>93.12</v>
      </c>
      <c r="G74" s="12">
        <f t="shared" si="6"/>
        <v>-3.990102072378586E-2</v>
      </c>
      <c r="H74" s="21">
        <v>93.48</v>
      </c>
      <c r="I74" s="12">
        <f t="shared" si="7"/>
        <v>-3.9753466872110843E-2</v>
      </c>
      <c r="J74" s="21">
        <v>93.75</v>
      </c>
      <c r="K74" s="12">
        <f t="shared" si="8"/>
        <v>-3.9545128572892115E-2</v>
      </c>
      <c r="L74" s="21">
        <v>94.03</v>
      </c>
      <c r="M74" s="12">
        <f t="shared" si="9"/>
        <v>-3.923572085419437E-2</v>
      </c>
    </row>
    <row r="75" spans="1:13" x14ac:dyDescent="0.25">
      <c r="A75" s="23">
        <v>41054</v>
      </c>
      <c r="B75" s="21">
        <v>2.827</v>
      </c>
      <c r="C75" s="12">
        <f t="shared" si="5"/>
        <v>-1.6695652173913059E-2</v>
      </c>
      <c r="D75" s="6"/>
      <c r="E75" s="23">
        <v>41054</v>
      </c>
      <c r="F75" s="21">
        <v>91.13</v>
      </c>
      <c r="G75" s="12">
        <f t="shared" si="6"/>
        <v>-2.1370274914089445E-2</v>
      </c>
      <c r="H75" s="21">
        <v>91.4</v>
      </c>
      <c r="I75" s="12">
        <f t="shared" si="7"/>
        <v>-2.2250748823277686E-2</v>
      </c>
      <c r="J75" s="21">
        <v>91.69</v>
      </c>
      <c r="K75" s="12">
        <f t="shared" si="8"/>
        <v>-2.1973333333333359E-2</v>
      </c>
      <c r="L75" s="21">
        <v>91.95</v>
      </c>
      <c r="M75" s="12">
        <f t="shared" si="9"/>
        <v>-2.2120599808571714E-2</v>
      </c>
    </row>
    <row r="76" spans="1:13" x14ac:dyDescent="0.25">
      <c r="A76" s="23">
        <v>41061</v>
      </c>
      <c r="B76" s="21">
        <v>2.714</v>
      </c>
      <c r="C76" s="12">
        <f t="shared" si="5"/>
        <v>-3.997170145030067E-2</v>
      </c>
      <c r="D76" s="6"/>
      <c r="E76" s="23">
        <v>41061</v>
      </c>
      <c r="F76" s="21">
        <v>87.09</v>
      </c>
      <c r="G76" s="12">
        <f t="shared" si="6"/>
        <v>-4.4332272577636257E-2</v>
      </c>
      <c r="H76" s="21">
        <v>87.41</v>
      </c>
      <c r="I76" s="12">
        <f t="shared" si="7"/>
        <v>-4.3654266958424608E-2</v>
      </c>
      <c r="J76" s="21">
        <v>87.73</v>
      </c>
      <c r="K76" s="12">
        <f t="shared" si="8"/>
        <v>-4.3189006434725639E-2</v>
      </c>
      <c r="L76" s="21">
        <v>88.01</v>
      </c>
      <c r="M76" s="12">
        <f t="shared" si="9"/>
        <v>-4.2849374660141354E-2</v>
      </c>
    </row>
    <row r="77" spans="1:13" x14ac:dyDescent="0.25">
      <c r="A77" s="23">
        <v>41068</v>
      </c>
      <c r="B77" s="21">
        <v>2.6829999999999998</v>
      </c>
      <c r="C77" s="12">
        <f t="shared" si="5"/>
        <v>-1.1422254974207862E-2</v>
      </c>
      <c r="D77" s="6"/>
      <c r="E77" s="23">
        <v>41068</v>
      </c>
      <c r="F77" s="21">
        <v>84.44</v>
      </c>
      <c r="G77" s="12">
        <f t="shared" si="6"/>
        <v>-3.0428292570903726E-2</v>
      </c>
      <c r="H77" s="21">
        <v>84.74</v>
      </c>
      <c r="I77" s="12">
        <f t="shared" si="7"/>
        <v>-3.0545704152842947E-2</v>
      </c>
      <c r="J77" s="21">
        <v>85.03</v>
      </c>
      <c r="K77" s="12">
        <f t="shared" si="8"/>
        <v>-3.0776245298073667E-2</v>
      </c>
      <c r="L77" s="21">
        <v>85.33</v>
      </c>
      <c r="M77" s="12">
        <f t="shared" si="9"/>
        <v>-3.0451085103965533E-2</v>
      </c>
    </row>
    <row r="78" spans="1:13" x14ac:dyDescent="0.25">
      <c r="A78" s="23">
        <v>41075</v>
      </c>
      <c r="B78" s="21">
        <v>2.6720000000000002</v>
      </c>
      <c r="C78" s="12">
        <f t="shared" si="5"/>
        <v>-4.0998881848675651E-3</v>
      </c>
      <c r="D78" s="6"/>
      <c r="E78" s="23">
        <v>41075</v>
      </c>
      <c r="F78" s="21">
        <v>83.32</v>
      </c>
      <c r="G78" s="12">
        <f t="shared" si="6"/>
        <v>-1.3263855992420708E-2</v>
      </c>
      <c r="H78" s="21">
        <v>83.62</v>
      </c>
      <c r="I78" s="12">
        <f t="shared" si="7"/>
        <v>-1.3216898749114827E-2</v>
      </c>
      <c r="J78" s="21">
        <v>83.9</v>
      </c>
      <c r="K78" s="12">
        <f t="shared" si="8"/>
        <v>-1.3289427260966664E-2</v>
      </c>
      <c r="L78" s="21">
        <v>84.19</v>
      </c>
      <c r="M78" s="12">
        <f t="shared" si="9"/>
        <v>-1.3359896870971529E-2</v>
      </c>
    </row>
    <row r="79" spans="1:13" x14ac:dyDescent="0.25">
      <c r="A79" s="23">
        <v>41082</v>
      </c>
      <c r="B79" s="21">
        <v>2.5350000000000001</v>
      </c>
      <c r="C79" s="12">
        <f t="shared" si="5"/>
        <v>-5.1272455089820361E-2</v>
      </c>
      <c r="D79" s="6"/>
      <c r="E79" s="23">
        <v>41082</v>
      </c>
      <c r="F79" s="21">
        <v>81.41</v>
      </c>
      <c r="G79" s="12">
        <f t="shared" si="6"/>
        <v>-2.2923667786845858E-2</v>
      </c>
      <c r="H79" s="21">
        <v>81.62</v>
      </c>
      <c r="I79" s="12">
        <f t="shared" si="7"/>
        <v>-2.391772303276728E-2</v>
      </c>
      <c r="J79" s="21">
        <v>81.98</v>
      </c>
      <c r="K79" s="12">
        <f t="shared" si="8"/>
        <v>-2.2884386174016707E-2</v>
      </c>
      <c r="L79" s="21">
        <v>82.36</v>
      </c>
      <c r="M79" s="12">
        <f t="shared" si="9"/>
        <v>-2.173654828364412E-2</v>
      </c>
    </row>
    <row r="80" spans="1:13" x14ac:dyDescent="0.25">
      <c r="A80" s="23">
        <v>41089</v>
      </c>
      <c r="B80" s="21">
        <v>2.5150000000000001</v>
      </c>
      <c r="C80" s="12">
        <f t="shared" si="5"/>
        <v>-7.88954635108482E-3</v>
      </c>
      <c r="D80" s="6"/>
      <c r="E80" s="23">
        <v>41089</v>
      </c>
      <c r="F80" s="21">
        <v>80.290000000000006</v>
      </c>
      <c r="G80" s="12">
        <f t="shared" si="6"/>
        <v>-1.3757523645743648E-2</v>
      </c>
      <c r="H80" s="21">
        <v>80.69</v>
      </c>
      <c r="I80" s="12">
        <f t="shared" si="7"/>
        <v>-1.1394266111247326E-2</v>
      </c>
      <c r="J80" s="21">
        <v>81.099999999999994</v>
      </c>
      <c r="K80" s="12">
        <f t="shared" si="8"/>
        <v>-1.0734325445230661E-2</v>
      </c>
      <c r="L80" s="21">
        <v>81.55</v>
      </c>
      <c r="M80" s="12">
        <f t="shared" si="9"/>
        <v>-9.8348712967460204E-3</v>
      </c>
    </row>
    <row r="81" spans="1:13" x14ac:dyDescent="0.25">
      <c r="A81" s="23">
        <v>41096</v>
      </c>
      <c r="B81" s="21">
        <v>2.6640000000000001</v>
      </c>
      <c r="C81" s="12">
        <f t="shared" si="5"/>
        <v>5.924453280318092E-2</v>
      </c>
      <c r="D81" s="6"/>
      <c r="E81" s="23">
        <v>41096</v>
      </c>
      <c r="F81" s="21">
        <v>85.77</v>
      </c>
      <c r="G81" s="12">
        <f t="shared" si="6"/>
        <v>6.8252584381616507E-2</v>
      </c>
      <c r="H81" s="21">
        <v>86.15</v>
      </c>
      <c r="I81" s="12">
        <f t="shared" si="7"/>
        <v>6.7666377494113375E-2</v>
      </c>
      <c r="J81" s="21">
        <v>86.52</v>
      </c>
      <c r="K81" s="12">
        <f t="shared" si="8"/>
        <v>6.6831072749691758E-2</v>
      </c>
      <c r="L81" s="21">
        <v>86.95</v>
      </c>
      <c r="M81" s="12">
        <f t="shared" si="9"/>
        <v>6.6217044757817367E-2</v>
      </c>
    </row>
    <row r="82" spans="1:13" x14ac:dyDescent="0.25">
      <c r="A82" s="23">
        <v>41103</v>
      </c>
      <c r="B82" s="21">
        <v>2.7690000000000001</v>
      </c>
      <c r="C82" s="12">
        <f t="shared" si="5"/>
        <v>3.9414414414414407E-2</v>
      </c>
      <c r="D82" s="6"/>
      <c r="E82" s="23">
        <v>41103</v>
      </c>
      <c r="F82" s="21">
        <v>85.78</v>
      </c>
      <c r="G82" s="12">
        <f t="shared" si="6"/>
        <v>1.1659088259304088E-4</v>
      </c>
      <c r="H82" s="21">
        <v>86.16</v>
      </c>
      <c r="I82" s="12">
        <f t="shared" si="7"/>
        <v>1.1607661056286598E-4</v>
      </c>
      <c r="J82" s="21">
        <v>86.53</v>
      </c>
      <c r="K82" s="12">
        <f t="shared" si="8"/>
        <v>1.1558021266765045E-4</v>
      </c>
      <c r="L82" s="21">
        <v>86.97</v>
      </c>
      <c r="M82" s="12">
        <f t="shared" si="9"/>
        <v>2.3001725129380126E-4</v>
      </c>
    </row>
    <row r="83" spans="1:13" x14ac:dyDescent="0.25">
      <c r="A83" s="23">
        <v>41110</v>
      </c>
      <c r="B83" s="21">
        <v>2.82</v>
      </c>
      <c r="C83" s="12">
        <f t="shared" si="5"/>
        <v>1.8418201516792961E-2</v>
      </c>
      <c r="D83" s="6"/>
      <c r="E83" s="23">
        <v>41110</v>
      </c>
      <c r="F83" s="21">
        <v>90.32</v>
      </c>
      <c r="G83" s="12">
        <f t="shared" si="6"/>
        <v>5.292608999766836E-2</v>
      </c>
      <c r="H83" s="21">
        <v>90.66</v>
      </c>
      <c r="I83" s="12">
        <f t="shared" si="7"/>
        <v>5.2228412256267412E-2</v>
      </c>
      <c r="J83" s="21">
        <v>90.97</v>
      </c>
      <c r="K83" s="12">
        <f t="shared" si="8"/>
        <v>5.1311683809083526E-2</v>
      </c>
      <c r="L83" s="21">
        <v>91.31</v>
      </c>
      <c r="M83" s="12">
        <f t="shared" si="9"/>
        <v>4.9902265148901961E-2</v>
      </c>
    </row>
    <row r="84" spans="1:13" x14ac:dyDescent="0.25">
      <c r="A84" s="23">
        <v>41117</v>
      </c>
      <c r="B84" s="21">
        <v>2.7109999999999999</v>
      </c>
      <c r="C84" s="12">
        <f t="shared" si="5"/>
        <v>-3.8652482269503546E-2</v>
      </c>
      <c r="D84" s="6"/>
      <c r="E84" s="23">
        <v>41117</v>
      </c>
      <c r="F84" s="21">
        <v>89.03</v>
      </c>
      <c r="G84" s="12">
        <f t="shared" si="6"/>
        <v>-1.4282550930026484E-2</v>
      </c>
      <c r="H84" s="21">
        <v>89.31</v>
      </c>
      <c r="I84" s="12">
        <f t="shared" si="7"/>
        <v>-1.4890800794175979E-2</v>
      </c>
      <c r="J84" s="21">
        <v>89.63</v>
      </c>
      <c r="K84" s="12">
        <f t="shared" si="8"/>
        <v>-1.473013081235576E-2</v>
      </c>
      <c r="L84" s="21">
        <v>90.01</v>
      </c>
      <c r="M84" s="12">
        <f t="shared" si="9"/>
        <v>-1.4237213886759359E-2</v>
      </c>
    </row>
    <row r="85" spans="1:13" x14ac:dyDescent="0.25">
      <c r="A85" s="23">
        <v>41124</v>
      </c>
      <c r="B85" s="21">
        <v>2.8370000000000002</v>
      </c>
      <c r="C85" s="12">
        <f t="shared" si="5"/>
        <v>4.6477314644042915E-2</v>
      </c>
      <c r="D85" s="6"/>
      <c r="E85" s="23">
        <v>41124</v>
      </c>
      <c r="F85" s="21">
        <v>89.06</v>
      </c>
      <c r="G85" s="12">
        <f t="shared" si="6"/>
        <v>3.3696506795463481E-4</v>
      </c>
      <c r="H85" s="21">
        <v>89.32</v>
      </c>
      <c r="I85" s="12">
        <f t="shared" si="7"/>
        <v>1.1196954428385293E-4</v>
      </c>
      <c r="J85" s="21">
        <v>89.68</v>
      </c>
      <c r="K85" s="12">
        <f t="shared" si="8"/>
        <v>5.5784893450866197E-4</v>
      </c>
      <c r="L85" s="21">
        <v>90.14</v>
      </c>
      <c r="M85" s="12">
        <f t="shared" si="9"/>
        <v>1.4442839684478995E-3</v>
      </c>
    </row>
    <row r="86" spans="1:13" x14ac:dyDescent="0.25">
      <c r="A86" s="23">
        <v>41131</v>
      </c>
      <c r="B86" s="21">
        <v>2.9870000000000001</v>
      </c>
      <c r="C86" s="12">
        <f t="shared" si="5"/>
        <v>5.2872752908001378E-2</v>
      </c>
      <c r="D86" s="6"/>
      <c r="E86" s="23">
        <v>41131</v>
      </c>
      <c r="F86" s="21">
        <v>93.09</v>
      </c>
      <c r="G86" s="12">
        <f t="shared" si="6"/>
        <v>4.525039299348755E-2</v>
      </c>
      <c r="H86" s="21">
        <v>93.36</v>
      </c>
      <c r="I86" s="12">
        <f t="shared" si="7"/>
        <v>4.5230631437528063E-2</v>
      </c>
      <c r="J86" s="21">
        <v>93.67</v>
      </c>
      <c r="K86" s="12">
        <f t="shared" si="8"/>
        <v>4.4491525423728751E-2</v>
      </c>
      <c r="L86" s="21">
        <v>94.07</v>
      </c>
      <c r="M86" s="12">
        <f t="shared" si="9"/>
        <v>4.3598846239183413E-2</v>
      </c>
    </row>
    <row r="87" spans="1:13" x14ac:dyDescent="0.25">
      <c r="A87" s="23">
        <v>41138</v>
      </c>
      <c r="B87" s="21">
        <v>3.0019999999999998</v>
      </c>
      <c r="C87" s="12">
        <f t="shared" si="5"/>
        <v>5.021760964177998E-3</v>
      </c>
      <c r="D87" s="6"/>
      <c r="E87" s="23">
        <v>41138</v>
      </c>
      <c r="F87" s="21">
        <v>94.42</v>
      </c>
      <c r="G87" s="12">
        <f t="shared" si="6"/>
        <v>1.4287248898915009E-2</v>
      </c>
      <c r="H87" s="21">
        <v>94.72</v>
      </c>
      <c r="I87" s="12">
        <f t="shared" si="7"/>
        <v>1.4567266495287055E-2</v>
      </c>
      <c r="J87" s="21">
        <v>95.01</v>
      </c>
      <c r="K87" s="12">
        <f t="shared" si="8"/>
        <v>1.4305540728088005E-2</v>
      </c>
      <c r="L87" s="21">
        <v>95.38</v>
      </c>
      <c r="M87" s="12">
        <f t="shared" si="9"/>
        <v>1.3925799936217736E-2</v>
      </c>
    </row>
    <row r="88" spans="1:13" x14ac:dyDescent="0.25">
      <c r="A88" s="23">
        <v>41145</v>
      </c>
      <c r="B88" s="21">
        <v>3.0409999999999999</v>
      </c>
      <c r="C88" s="12">
        <f t="shared" si="5"/>
        <v>1.2991339107261876E-2</v>
      </c>
      <c r="D88" s="6"/>
      <c r="E88" s="23">
        <v>41145</v>
      </c>
      <c r="F88" s="21">
        <v>96.47</v>
      </c>
      <c r="G88" s="12">
        <f t="shared" si="6"/>
        <v>2.1711501800465972E-2</v>
      </c>
      <c r="H88" s="21">
        <v>96.74</v>
      </c>
      <c r="I88" s="12">
        <f t="shared" si="7"/>
        <v>2.1326013513513473E-2</v>
      </c>
      <c r="J88" s="21">
        <v>97.08</v>
      </c>
      <c r="K88" s="12">
        <f t="shared" si="8"/>
        <v>2.1787180296810787E-2</v>
      </c>
      <c r="L88" s="21">
        <v>97.48</v>
      </c>
      <c r="M88" s="12">
        <f t="shared" si="9"/>
        <v>2.2017194380373334E-2</v>
      </c>
    </row>
    <row r="89" spans="1:13" x14ac:dyDescent="0.25">
      <c r="A89" s="23">
        <v>41152</v>
      </c>
      <c r="B89" s="21">
        <v>3.1459999999999999</v>
      </c>
      <c r="C89" s="12">
        <f t="shared" si="5"/>
        <v>3.452811575139756E-2</v>
      </c>
      <c r="D89" s="6"/>
      <c r="E89" s="23">
        <v>41152</v>
      </c>
      <c r="F89" s="21">
        <v>95.68</v>
      </c>
      <c r="G89" s="12">
        <f t="shared" si="6"/>
        <v>-8.1890743236238423E-3</v>
      </c>
      <c r="H89" s="21">
        <v>95.99</v>
      </c>
      <c r="I89" s="12">
        <f t="shared" si="7"/>
        <v>-7.7527393012197651E-3</v>
      </c>
      <c r="J89" s="21">
        <v>96.33</v>
      </c>
      <c r="K89" s="12">
        <f t="shared" si="8"/>
        <v>-7.7255871446229914E-3</v>
      </c>
      <c r="L89" s="21">
        <v>96.75</v>
      </c>
      <c r="M89" s="12">
        <f t="shared" si="9"/>
        <v>-7.4887156339762404E-3</v>
      </c>
    </row>
    <row r="90" spans="1:13" x14ac:dyDescent="0.25">
      <c r="A90" s="23">
        <v>41159</v>
      </c>
      <c r="B90" s="21">
        <v>3.2440000000000002</v>
      </c>
      <c r="C90" s="12">
        <f t="shared" si="5"/>
        <v>3.1150667514303978E-2</v>
      </c>
      <c r="D90" s="6"/>
      <c r="E90" s="23">
        <v>41159</v>
      </c>
      <c r="F90" s="21">
        <v>95.65</v>
      </c>
      <c r="G90" s="12">
        <f t="shared" si="6"/>
        <v>-3.1354515050168412E-4</v>
      </c>
      <c r="H90" s="21">
        <v>95.98</v>
      </c>
      <c r="I90" s="12">
        <f t="shared" si="7"/>
        <v>-1.0417751849141479E-4</v>
      </c>
      <c r="J90" s="21">
        <v>96.31</v>
      </c>
      <c r="K90" s="12">
        <f t="shared" si="8"/>
        <v>-2.0761964081798009E-4</v>
      </c>
      <c r="L90" s="21">
        <v>96.75</v>
      </c>
      <c r="M90" s="12">
        <f t="shared" si="9"/>
        <v>0</v>
      </c>
    </row>
    <row r="91" spans="1:13" x14ac:dyDescent="0.25">
      <c r="A91" s="23">
        <v>41166</v>
      </c>
      <c r="B91" s="21">
        <v>3.335</v>
      </c>
      <c r="C91" s="12">
        <f t="shared" si="5"/>
        <v>2.8051787916152818E-2</v>
      </c>
      <c r="D91" s="6"/>
      <c r="E91" s="23">
        <v>41166</v>
      </c>
      <c r="F91" s="21">
        <v>97.61</v>
      </c>
      <c r="G91" s="12">
        <f t="shared" si="6"/>
        <v>2.0491374803972753E-2</v>
      </c>
      <c r="H91" s="21">
        <v>97.94</v>
      </c>
      <c r="I91" s="12">
        <f t="shared" si="7"/>
        <v>2.042092102521352E-2</v>
      </c>
      <c r="J91" s="21">
        <v>98.25</v>
      </c>
      <c r="K91" s="12">
        <f t="shared" si="8"/>
        <v>2.0143287301422466E-2</v>
      </c>
      <c r="L91" s="21">
        <v>98.64</v>
      </c>
      <c r="M91" s="12">
        <f t="shared" si="9"/>
        <v>1.9534883720930239E-2</v>
      </c>
    </row>
    <row r="92" spans="1:13" x14ac:dyDescent="0.25">
      <c r="A92" s="23">
        <v>41173</v>
      </c>
      <c r="B92" s="21">
        <v>3.1339999999999999</v>
      </c>
      <c r="C92" s="12">
        <f t="shared" si="5"/>
        <v>-6.0269865067466288E-2</v>
      </c>
      <c r="D92" s="6"/>
      <c r="E92" s="23">
        <v>41173</v>
      </c>
      <c r="F92" s="21">
        <v>93.73</v>
      </c>
      <c r="G92" s="12">
        <f t="shared" si="6"/>
        <v>-3.9750025612129855E-2</v>
      </c>
      <c r="H92" s="21">
        <v>94.1</v>
      </c>
      <c r="I92" s="12">
        <f t="shared" si="7"/>
        <v>-3.9207678170308388E-2</v>
      </c>
      <c r="J92" s="21">
        <v>94.42</v>
      </c>
      <c r="K92" s="12">
        <f t="shared" si="8"/>
        <v>-3.8982188295165379E-2</v>
      </c>
      <c r="L92" s="21">
        <v>94.76</v>
      </c>
      <c r="M92" s="12">
        <f t="shared" si="9"/>
        <v>-3.9334955393349511E-2</v>
      </c>
    </row>
    <row r="93" spans="1:13" x14ac:dyDescent="0.25">
      <c r="A93" s="23">
        <v>41180</v>
      </c>
      <c r="B93" s="21">
        <v>3.363</v>
      </c>
      <c r="C93" s="12">
        <f t="shared" si="5"/>
        <v>7.3069559668155745E-2</v>
      </c>
      <c r="D93" s="6"/>
      <c r="E93" s="23">
        <v>41180</v>
      </c>
      <c r="F93" s="21">
        <v>91.46</v>
      </c>
      <c r="G93" s="12">
        <f t="shared" si="6"/>
        <v>-2.4218499946655394E-2</v>
      </c>
      <c r="H93" s="21">
        <v>91.81</v>
      </c>
      <c r="I93" s="12">
        <f t="shared" si="7"/>
        <v>-2.4335812964930842E-2</v>
      </c>
      <c r="J93" s="21">
        <v>92.22</v>
      </c>
      <c r="K93" s="12">
        <f t="shared" si="8"/>
        <v>-2.3300148273670863E-2</v>
      </c>
      <c r="L93" s="21">
        <v>92.62</v>
      </c>
      <c r="M93" s="12">
        <f t="shared" si="9"/>
        <v>-2.2583368509919804E-2</v>
      </c>
    </row>
    <row r="94" spans="1:13" x14ac:dyDescent="0.25">
      <c r="A94" s="23">
        <v>41187</v>
      </c>
      <c r="B94" s="21">
        <v>3.234</v>
      </c>
      <c r="C94" s="12">
        <f t="shared" si="5"/>
        <v>-3.8358608385370203E-2</v>
      </c>
      <c r="D94" s="6"/>
      <c r="E94" s="23">
        <v>41187</v>
      </c>
      <c r="F94" s="21">
        <v>90.82</v>
      </c>
      <c r="G94" s="12">
        <f t="shared" si="6"/>
        <v>-6.9975945768642094E-3</v>
      </c>
      <c r="H94" s="21">
        <v>91.2</v>
      </c>
      <c r="I94" s="12">
        <f t="shared" si="7"/>
        <v>-6.64415640997712E-3</v>
      </c>
      <c r="J94" s="21">
        <v>91.63</v>
      </c>
      <c r="K94" s="12">
        <f t="shared" si="8"/>
        <v>-6.3977445239644702E-3</v>
      </c>
      <c r="L94" s="21">
        <v>92.06</v>
      </c>
      <c r="M94" s="12">
        <f t="shared" si="9"/>
        <v>-6.0462103217447877E-3</v>
      </c>
    </row>
    <row r="95" spans="1:13" x14ac:dyDescent="0.25">
      <c r="A95" s="23">
        <v>41194</v>
      </c>
      <c r="B95" s="21">
        <v>3.1629999999999998</v>
      </c>
      <c r="C95" s="12">
        <f t="shared" si="5"/>
        <v>-2.1954236239950579E-2</v>
      </c>
      <c r="D95" s="6"/>
      <c r="E95" s="23">
        <v>41194</v>
      </c>
      <c r="F95" s="21">
        <v>91.38</v>
      </c>
      <c r="G95" s="12">
        <f t="shared" si="6"/>
        <v>6.1660427218674556E-3</v>
      </c>
      <c r="H95" s="21">
        <v>91.79</v>
      </c>
      <c r="I95" s="12">
        <f t="shared" si="7"/>
        <v>6.4692982456140725E-3</v>
      </c>
      <c r="J95" s="21">
        <v>92.26</v>
      </c>
      <c r="K95" s="12">
        <f t="shared" si="8"/>
        <v>6.8754774637128637E-3</v>
      </c>
      <c r="L95" s="21">
        <v>92.73</v>
      </c>
      <c r="M95" s="12">
        <f t="shared" si="9"/>
        <v>7.2778622637410572E-3</v>
      </c>
    </row>
    <row r="96" spans="1:13" x14ac:dyDescent="0.25">
      <c r="A96" s="23">
        <v>41201</v>
      </c>
      <c r="B96" s="21">
        <v>2.8969999999999998</v>
      </c>
      <c r="C96" s="12">
        <f t="shared" si="5"/>
        <v>-8.4097375908947211E-2</v>
      </c>
      <c r="D96" s="6"/>
      <c r="E96" s="23">
        <v>41201</v>
      </c>
      <c r="F96" s="21">
        <v>91.64</v>
      </c>
      <c r="G96" s="12">
        <f t="shared" si="6"/>
        <v>2.8452615451959413E-3</v>
      </c>
      <c r="H96" s="21">
        <v>92.08</v>
      </c>
      <c r="I96" s="12">
        <f t="shared" si="7"/>
        <v>3.1593855539818285E-3</v>
      </c>
      <c r="J96" s="21">
        <v>92.59</v>
      </c>
      <c r="K96" s="12">
        <f t="shared" si="8"/>
        <v>3.5768480381530273E-3</v>
      </c>
      <c r="L96" s="21">
        <v>93.05</v>
      </c>
      <c r="M96" s="12">
        <f t="shared" si="9"/>
        <v>3.4508788957186795E-3</v>
      </c>
    </row>
    <row r="97" spans="1:13" x14ac:dyDescent="0.25">
      <c r="A97" s="23">
        <v>41208</v>
      </c>
      <c r="B97" s="21">
        <v>2.7170000000000001</v>
      </c>
      <c r="C97" s="12">
        <f t="shared" si="5"/>
        <v>-6.2133241284086892E-2</v>
      </c>
      <c r="D97" s="6"/>
      <c r="E97" s="23">
        <v>41208</v>
      </c>
      <c r="F97" s="21">
        <v>86.69</v>
      </c>
      <c r="G97" s="12">
        <f t="shared" si="6"/>
        <v>-5.4015713662156295E-2</v>
      </c>
      <c r="H97" s="21">
        <v>87.11</v>
      </c>
      <c r="I97" s="12">
        <f t="shared" si="7"/>
        <v>-5.3974804517810587E-2</v>
      </c>
      <c r="J97" s="21">
        <v>87.66</v>
      </c>
      <c r="K97" s="12">
        <f t="shared" si="8"/>
        <v>-5.3245490873744535E-2</v>
      </c>
      <c r="L97" s="21">
        <v>88.17</v>
      </c>
      <c r="M97" s="12">
        <f t="shared" si="9"/>
        <v>-5.2444922084900543E-2</v>
      </c>
    </row>
    <row r="98" spans="1:13" x14ac:dyDescent="0.25">
      <c r="A98" s="23">
        <v>41215</v>
      </c>
      <c r="B98" s="21">
        <v>2.73</v>
      </c>
      <c r="C98" s="12">
        <f t="shared" si="5"/>
        <v>4.7846889952152744E-3</v>
      </c>
      <c r="D98" s="6"/>
      <c r="E98" s="23">
        <v>41215</v>
      </c>
      <c r="F98" s="21">
        <v>85.88</v>
      </c>
      <c r="G98" s="12">
        <f t="shared" si="6"/>
        <v>-9.343638251240077E-3</v>
      </c>
      <c r="H98" s="21">
        <v>86.39</v>
      </c>
      <c r="I98" s="12">
        <f t="shared" si="7"/>
        <v>-8.2654115486166784E-3</v>
      </c>
      <c r="J98" s="21">
        <v>86.94</v>
      </c>
      <c r="K98" s="12">
        <f t="shared" si="8"/>
        <v>-8.2135523613962921E-3</v>
      </c>
      <c r="L98" s="21">
        <v>87.5</v>
      </c>
      <c r="M98" s="12">
        <f t="shared" si="9"/>
        <v>-7.5989565611886325E-3</v>
      </c>
    </row>
    <row r="99" spans="1:13" x14ac:dyDescent="0.25">
      <c r="A99" s="23">
        <v>41222</v>
      </c>
      <c r="B99" s="21">
        <v>2.81</v>
      </c>
      <c r="C99" s="12">
        <f t="shared" si="5"/>
        <v>2.9304029304029332E-2</v>
      </c>
      <c r="D99" s="6"/>
      <c r="E99" s="23">
        <v>41222</v>
      </c>
      <c r="F99" s="21">
        <v>85.99</v>
      </c>
      <c r="G99" s="12">
        <f t="shared" si="6"/>
        <v>1.2808570097810833E-3</v>
      </c>
      <c r="H99" s="21">
        <v>86.47</v>
      </c>
      <c r="I99" s="12">
        <f t="shared" si="7"/>
        <v>9.2603310568350843E-4</v>
      </c>
      <c r="J99" s="21">
        <v>87.05</v>
      </c>
      <c r="K99" s="12">
        <f t="shared" si="8"/>
        <v>1.2652403956751718E-3</v>
      </c>
      <c r="L99" s="21">
        <v>87.66</v>
      </c>
      <c r="M99" s="12">
        <f t="shared" si="9"/>
        <v>1.8285714285713895E-3</v>
      </c>
    </row>
    <row r="100" spans="1:13" x14ac:dyDescent="0.25">
      <c r="A100" s="23">
        <v>41229</v>
      </c>
      <c r="B100" s="21">
        <v>2.9209999999999998</v>
      </c>
      <c r="C100" s="12">
        <f t="shared" si="5"/>
        <v>3.9501779359430521E-2</v>
      </c>
      <c r="D100" s="6"/>
      <c r="E100" s="23">
        <v>41229</v>
      </c>
      <c r="F100" s="21">
        <v>85.88</v>
      </c>
      <c r="G100" s="12">
        <f t="shared" si="6"/>
        <v>-1.2792185137806657E-3</v>
      </c>
      <c r="H100" s="21">
        <v>86.29</v>
      </c>
      <c r="I100" s="12">
        <f t="shared" si="7"/>
        <v>-2.0816468139238189E-3</v>
      </c>
      <c r="J100" s="21">
        <v>86.88</v>
      </c>
      <c r="K100" s="12">
        <f t="shared" si="8"/>
        <v>-1.9529006318208123E-3</v>
      </c>
      <c r="L100" s="21">
        <v>87.5</v>
      </c>
      <c r="M100" s="12">
        <f t="shared" si="9"/>
        <v>-1.8252338580880287E-3</v>
      </c>
    </row>
    <row r="101" spans="1:13" x14ac:dyDescent="0.25">
      <c r="A101" s="23">
        <v>41236</v>
      </c>
      <c r="B101" s="21">
        <v>2.8180000000000001</v>
      </c>
      <c r="C101" s="12">
        <f t="shared" si="5"/>
        <v>-3.526189661074966E-2</v>
      </c>
      <c r="D101" s="6"/>
      <c r="E101" s="23">
        <v>41236</v>
      </c>
      <c r="F101" s="21">
        <v>87.92</v>
      </c>
      <c r="G101" s="12">
        <f t="shared" si="6"/>
        <v>2.3754075454122104E-2</v>
      </c>
      <c r="H101" s="21">
        <v>88.51</v>
      </c>
      <c r="I101" s="12">
        <f t="shared" si="7"/>
        <v>2.5727198980183087E-2</v>
      </c>
      <c r="J101" s="21">
        <v>89.12</v>
      </c>
      <c r="K101" s="12">
        <f t="shared" si="8"/>
        <v>2.5782688766114288E-2</v>
      </c>
      <c r="L101" s="21">
        <v>89.68</v>
      </c>
      <c r="M101" s="12">
        <f t="shared" si="9"/>
        <v>2.4914285714285792E-2</v>
      </c>
    </row>
    <row r="102" spans="1:13" x14ac:dyDescent="0.25">
      <c r="A102" s="23">
        <v>41243</v>
      </c>
      <c r="B102" s="21">
        <v>2.7890000000000001</v>
      </c>
      <c r="C102" s="12">
        <f t="shared" si="5"/>
        <v>-1.0290986515259018E-2</v>
      </c>
      <c r="D102" s="6"/>
      <c r="E102" s="23">
        <v>41243</v>
      </c>
      <c r="F102" s="21">
        <v>87.68</v>
      </c>
      <c r="G102" s="12">
        <f t="shared" si="6"/>
        <v>-2.7297543221109517E-3</v>
      </c>
      <c r="H102" s="21">
        <v>88.29</v>
      </c>
      <c r="I102" s="12">
        <f t="shared" si="7"/>
        <v>-2.4855948480397567E-3</v>
      </c>
      <c r="J102" s="21">
        <v>88.94</v>
      </c>
      <c r="K102" s="12">
        <f t="shared" si="8"/>
        <v>-2.0197486535009743E-3</v>
      </c>
      <c r="L102" s="21">
        <v>89.51</v>
      </c>
      <c r="M102" s="12">
        <f t="shared" si="9"/>
        <v>-1.8956289027654068E-3</v>
      </c>
    </row>
    <row r="103" spans="1:13" x14ac:dyDescent="0.25">
      <c r="A103" s="23">
        <v>41250</v>
      </c>
      <c r="B103" s="21">
        <v>2.681</v>
      </c>
      <c r="C103" s="12">
        <f t="shared" si="5"/>
        <v>-3.8723556830405195E-2</v>
      </c>
      <c r="D103" s="6"/>
      <c r="E103" s="23">
        <v>41250</v>
      </c>
      <c r="F103" s="21">
        <v>87.53</v>
      </c>
      <c r="G103" s="12">
        <f t="shared" si="6"/>
        <v>-1.7107664233577289E-3</v>
      </c>
      <c r="H103" s="21">
        <v>88.12</v>
      </c>
      <c r="I103" s="12">
        <f t="shared" si="7"/>
        <v>-1.9254728734851251E-3</v>
      </c>
      <c r="J103" s="21">
        <v>88.77</v>
      </c>
      <c r="K103" s="12">
        <f t="shared" si="8"/>
        <v>-1.9114009444569564E-3</v>
      </c>
      <c r="L103" s="21">
        <v>89.37</v>
      </c>
      <c r="M103" s="12">
        <f t="shared" si="9"/>
        <v>-1.5640710535135801E-3</v>
      </c>
    </row>
    <row r="104" spans="1:13" x14ac:dyDescent="0.25">
      <c r="A104" s="23">
        <v>41257</v>
      </c>
      <c r="B104" s="21">
        <v>2.645</v>
      </c>
      <c r="C104" s="12">
        <f t="shared" si="5"/>
        <v>-1.3427825438269314E-2</v>
      </c>
      <c r="D104" s="6"/>
      <c r="E104" s="23">
        <v>41257</v>
      </c>
      <c r="F104" s="21">
        <v>86.15</v>
      </c>
      <c r="G104" s="12">
        <f t="shared" si="6"/>
        <v>-1.5766023077801845E-2</v>
      </c>
      <c r="H104" s="21">
        <v>86.68</v>
      </c>
      <c r="I104" s="12">
        <f t="shared" si="7"/>
        <v>-1.6341352700862434E-2</v>
      </c>
      <c r="J104" s="21">
        <v>87.28</v>
      </c>
      <c r="K104" s="12">
        <f t="shared" si="8"/>
        <v>-1.6784949870451673E-2</v>
      </c>
      <c r="L104" s="21">
        <v>87.85</v>
      </c>
      <c r="M104" s="12">
        <f t="shared" si="9"/>
        <v>-1.7007944500391742E-2</v>
      </c>
    </row>
    <row r="105" spans="1:13" x14ac:dyDescent="0.25">
      <c r="A105" s="23">
        <v>41264</v>
      </c>
      <c r="B105" s="21">
        <v>2.7549999999999999</v>
      </c>
      <c r="C105" s="12">
        <f t="shared" si="5"/>
        <v>4.1587901701323204E-2</v>
      </c>
      <c r="D105" s="6"/>
      <c r="E105" s="23">
        <v>41264</v>
      </c>
      <c r="F105" s="21">
        <v>88.69</v>
      </c>
      <c r="G105" s="12">
        <f t="shared" si="6"/>
        <v>2.9483459082994681E-2</v>
      </c>
      <c r="H105" s="21">
        <v>89.19</v>
      </c>
      <c r="I105" s="12">
        <f t="shared" si="7"/>
        <v>2.8957083525611337E-2</v>
      </c>
      <c r="J105" s="21">
        <v>89.72</v>
      </c>
      <c r="K105" s="12">
        <f t="shared" si="8"/>
        <v>2.7956003666361109E-2</v>
      </c>
      <c r="L105" s="21">
        <v>90.22</v>
      </c>
      <c r="M105" s="12">
        <f t="shared" si="9"/>
        <v>2.6977803073420657E-2</v>
      </c>
    </row>
    <row r="106" spans="1:13" x14ac:dyDescent="0.25">
      <c r="A106" s="23">
        <v>41271</v>
      </c>
      <c r="B106" s="21">
        <v>2.827</v>
      </c>
      <c r="C106" s="12">
        <f t="shared" si="5"/>
        <v>2.6134301270417448E-2</v>
      </c>
      <c r="D106" s="6"/>
      <c r="E106" s="23">
        <v>41271</v>
      </c>
      <c r="F106" s="21">
        <v>90.32</v>
      </c>
      <c r="G106" s="12">
        <f t="shared" si="6"/>
        <v>1.8378622167098832E-2</v>
      </c>
      <c r="H106" s="21">
        <v>90.83</v>
      </c>
      <c r="I106" s="12">
        <f t="shared" si="7"/>
        <v>1.8387711626864006E-2</v>
      </c>
      <c r="J106" s="21">
        <v>91.37</v>
      </c>
      <c r="K106" s="12">
        <f t="shared" si="8"/>
        <v>1.8390548372715178E-2</v>
      </c>
      <c r="L106" s="21">
        <v>91.85</v>
      </c>
      <c r="M106" s="12">
        <f t="shared" si="9"/>
        <v>1.8066947461760092E-2</v>
      </c>
    </row>
    <row r="107" spans="1:13" x14ac:dyDescent="0.25">
      <c r="A107" s="23">
        <v>41278</v>
      </c>
      <c r="B107" s="21">
        <v>2.8140000000000001</v>
      </c>
      <c r="C107" s="12">
        <f t="shared" si="5"/>
        <v>-4.5985143261407504E-3</v>
      </c>
      <c r="D107" s="6"/>
      <c r="E107" s="23">
        <v>41278</v>
      </c>
      <c r="F107" s="21">
        <v>92.74</v>
      </c>
      <c r="G107" s="12">
        <f t="shared" si="6"/>
        <v>2.6793622674933591E-2</v>
      </c>
      <c r="H107" s="21">
        <v>93.17</v>
      </c>
      <c r="I107" s="12">
        <f t="shared" si="7"/>
        <v>2.5762413299570665E-2</v>
      </c>
      <c r="J107" s="21">
        <v>93.59</v>
      </c>
      <c r="K107" s="12">
        <f t="shared" si="8"/>
        <v>2.4296815147203665E-2</v>
      </c>
      <c r="L107" s="21">
        <v>93.96</v>
      </c>
      <c r="M107" s="12">
        <f t="shared" si="9"/>
        <v>2.2972237343494822E-2</v>
      </c>
    </row>
    <row r="108" spans="1:13" x14ac:dyDescent="0.25">
      <c r="A108" s="23">
        <v>41285</v>
      </c>
      <c r="B108" s="21">
        <v>2.8090000000000002</v>
      </c>
      <c r="C108" s="12">
        <f t="shared" si="5"/>
        <v>-1.7768301350390523E-3</v>
      </c>
      <c r="D108" s="6"/>
      <c r="E108" s="23">
        <v>41285</v>
      </c>
      <c r="F108" s="21">
        <v>93.36</v>
      </c>
      <c r="G108" s="12">
        <f t="shared" si="6"/>
        <v>6.6853569117964699E-3</v>
      </c>
      <c r="H108" s="21">
        <v>93.81</v>
      </c>
      <c r="I108" s="12">
        <f t="shared" si="7"/>
        <v>6.8691638939572886E-3</v>
      </c>
      <c r="J108" s="21">
        <v>94.21</v>
      </c>
      <c r="K108" s="12">
        <f t="shared" si="8"/>
        <v>6.6246393845495275E-3</v>
      </c>
      <c r="L108" s="21">
        <v>94.54</v>
      </c>
      <c r="M108" s="12">
        <f t="shared" si="9"/>
        <v>6.1728395061729727E-3</v>
      </c>
    </row>
    <row r="109" spans="1:13" x14ac:dyDescent="0.25">
      <c r="A109" s="23">
        <v>41292</v>
      </c>
      <c r="B109" s="21">
        <v>2.77</v>
      </c>
      <c r="C109" s="12">
        <f t="shared" si="5"/>
        <v>-1.3883944464222194E-2</v>
      </c>
      <c r="D109" s="6"/>
      <c r="E109" s="23">
        <v>41292</v>
      </c>
      <c r="F109" s="21">
        <v>94.54</v>
      </c>
      <c r="G109" s="12">
        <f t="shared" si="6"/>
        <v>1.2639245929734436E-2</v>
      </c>
      <c r="H109" s="21">
        <v>94.99</v>
      </c>
      <c r="I109" s="12">
        <f t="shared" si="7"/>
        <v>1.2578616352201179E-2</v>
      </c>
      <c r="J109" s="21">
        <v>95.37</v>
      </c>
      <c r="K109" s="12">
        <f t="shared" si="8"/>
        <v>1.2312917949262403E-2</v>
      </c>
      <c r="L109" s="21">
        <v>95.67</v>
      </c>
      <c r="M109" s="12">
        <f t="shared" si="9"/>
        <v>1.1952612650729801E-2</v>
      </c>
    </row>
    <row r="110" spans="1:13" x14ac:dyDescent="0.25">
      <c r="A110" s="23">
        <v>41299</v>
      </c>
      <c r="B110" s="21">
        <v>2.88</v>
      </c>
      <c r="C110" s="12">
        <f t="shared" si="5"/>
        <v>3.9711191335740026E-2</v>
      </c>
      <c r="D110" s="6"/>
      <c r="E110" s="23">
        <v>41299</v>
      </c>
      <c r="F110" s="21">
        <v>95.83</v>
      </c>
      <c r="G110" s="12">
        <f t="shared" si="6"/>
        <v>1.3645017981806557E-2</v>
      </c>
      <c r="H110" s="21">
        <v>96.3</v>
      </c>
      <c r="I110" s="12">
        <f t="shared" si="7"/>
        <v>1.3790925360564294E-2</v>
      </c>
      <c r="J110" s="21">
        <v>96.73</v>
      </c>
      <c r="K110" s="12">
        <f t="shared" si="8"/>
        <v>1.4260249554367195E-2</v>
      </c>
      <c r="L110" s="21">
        <v>97.07</v>
      </c>
      <c r="M110" s="12">
        <f t="shared" si="9"/>
        <v>1.4633636458659888E-2</v>
      </c>
    </row>
    <row r="111" spans="1:13" x14ac:dyDescent="0.25">
      <c r="A111" s="23">
        <v>41306</v>
      </c>
      <c r="B111" s="21">
        <v>3.032</v>
      </c>
      <c r="C111" s="12">
        <f t="shared" si="5"/>
        <v>5.2777777777777826E-2</v>
      </c>
      <c r="D111" s="6"/>
      <c r="E111" s="23">
        <v>41306</v>
      </c>
      <c r="F111" s="21">
        <v>97.44</v>
      </c>
      <c r="G111" s="12">
        <f t="shared" si="6"/>
        <v>1.6800584368151929E-2</v>
      </c>
      <c r="H111" s="21">
        <v>97.89</v>
      </c>
      <c r="I111" s="12">
        <f t="shared" si="7"/>
        <v>1.6510903426791314E-2</v>
      </c>
      <c r="J111" s="21">
        <v>98.29</v>
      </c>
      <c r="K111" s="12">
        <f t="shared" si="8"/>
        <v>1.6127364829939029E-2</v>
      </c>
      <c r="L111" s="21">
        <v>98.61</v>
      </c>
      <c r="M111" s="12">
        <f t="shared" si="9"/>
        <v>1.5864839806325397E-2</v>
      </c>
    </row>
    <row r="112" spans="1:13" x14ac:dyDescent="0.25">
      <c r="A112" s="23">
        <v>41313</v>
      </c>
      <c r="B112" s="21">
        <v>3.0569999999999999</v>
      </c>
      <c r="C112" s="12">
        <f t="shared" si="5"/>
        <v>8.2453825857519494E-3</v>
      </c>
      <c r="D112" s="6"/>
      <c r="E112" s="23">
        <v>41313</v>
      </c>
      <c r="F112" s="21">
        <v>96.2</v>
      </c>
      <c r="G112" s="12">
        <f t="shared" si="6"/>
        <v>-1.2725779967159226E-2</v>
      </c>
      <c r="H112" s="21">
        <v>96.7</v>
      </c>
      <c r="I112" s="12">
        <f t="shared" si="7"/>
        <v>-1.215650219634281E-2</v>
      </c>
      <c r="J112" s="21">
        <v>97.18</v>
      </c>
      <c r="K112" s="12">
        <f t="shared" si="8"/>
        <v>-1.1293112218943935E-2</v>
      </c>
      <c r="L112" s="21">
        <v>97.61</v>
      </c>
      <c r="M112" s="12">
        <f t="shared" si="9"/>
        <v>-1.0140959334753067E-2</v>
      </c>
    </row>
    <row r="113" spans="1:13" x14ac:dyDescent="0.25">
      <c r="A113" s="23">
        <v>41320</v>
      </c>
      <c r="B113" s="21">
        <v>3.0880000000000001</v>
      </c>
      <c r="C113" s="12">
        <f t="shared" si="5"/>
        <v>1.0140660778541099E-2</v>
      </c>
      <c r="D113" s="6"/>
      <c r="E113" s="23">
        <v>41320</v>
      </c>
      <c r="F113" s="21">
        <v>96.94</v>
      </c>
      <c r="G113" s="12">
        <f t="shared" si="6"/>
        <v>7.692307692307639E-3</v>
      </c>
      <c r="H113" s="21">
        <v>97.51</v>
      </c>
      <c r="I113" s="12">
        <f t="shared" si="7"/>
        <v>8.3764219234746876E-3</v>
      </c>
      <c r="J113" s="21">
        <v>98.03</v>
      </c>
      <c r="K113" s="12">
        <f t="shared" si="8"/>
        <v>8.7466556904712313E-3</v>
      </c>
      <c r="L113" s="21">
        <v>98.46</v>
      </c>
      <c r="M113" s="12">
        <f t="shared" si="9"/>
        <v>8.7081241676057203E-3</v>
      </c>
    </row>
    <row r="114" spans="1:13" x14ac:dyDescent="0.25">
      <c r="A114" s="23">
        <v>41327</v>
      </c>
      <c r="B114" s="21">
        <v>3.0920000000000001</v>
      </c>
      <c r="C114" s="12">
        <f t="shared" si="5"/>
        <v>1.295336787564768E-3</v>
      </c>
      <c r="D114" s="6"/>
      <c r="E114" s="23">
        <v>41327</v>
      </c>
      <c r="F114" s="21">
        <v>94.27</v>
      </c>
      <c r="G114" s="12">
        <f t="shared" si="6"/>
        <v>-2.7542809985558095E-2</v>
      </c>
      <c r="H114" s="21">
        <v>94.79</v>
      </c>
      <c r="I114" s="12">
        <f t="shared" si="7"/>
        <v>-2.789457491539328E-2</v>
      </c>
      <c r="J114" s="21">
        <v>95.2</v>
      </c>
      <c r="K114" s="12">
        <f t="shared" si="8"/>
        <v>-2.8868713659083937E-2</v>
      </c>
      <c r="L114" s="21">
        <v>95.54</v>
      </c>
      <c r="M114" s="12">
        <f t="shared" si="9"/>
        <v>-2.9656713386146533E-2</v>
      </c>
    </row>
    <row r="115" spans="1:13" x14ac:dyDescent="0.25">
      <c r="A115" s="23">
        <v>41334</v>
      </c>
      <c r="B115" s="21">
        <v>2.992</v>
      </c>
      <c r="C115" s="12">
        <f t="shared" si="5"/>
        <v>-3.2341526520051775E-2</v>
      </c>
      <c r="D115" s="6"/>
      <c r="E115" s="23">
        <v>41334</v>
      </c>
      <c r="F115" s="21">
        <v>92.25</v>
      </c>
      <c r="G115" s="12">
        <f t="shared" si="6"/>
        <v>-2.1427813726530139E-2</v>
      </c>
      <c r="H115" s="21">
        <v>92.67</v>
      </c>
      <c r="I115" s="12">
        <f t="shared" si="7"/>
        <v>-2.2365228399620258E-2</v>
      </c>
      <c r="J115" s="21">
        <v>93.05</v>
      </c>
      <c r="K115" s="12">
        <f t="shared" si="8"/>
        <v>-2.2584033613445437E-2</v>
      </c>
      <c r="L115" s="21">
        <v>93.34</v>
      </c>
      <c r="M115" s="12">
        <f t="shared" si="9"/>
        <v>-2.3027004396064504E-2</v>
      </c>
    </row>
    <row r="116" spans="1:13" x14ac:dyDescent="0.25">
      <c r="A116" s="23">
        <v>41341</v>
      </c>
      <c r="B116" s="21">
        <v>2.9129999999999998</v>
      </c>
      <c r="C116" s="12">
        <f t="shared" si="5"/>
        <v>-2.6403743315508082E-2</v>
      </c>
      <c r="D116" s="6"/>
      <c r="E116" s="23">
        <v>41341</v>
      </c>
      <c r="F116" s="21">
        <v>90.98</v>
      </c>
      <c r="G116" s="12">
        <f t="shared" si="6"/>
        <v>-1.3766937669376651E-2</v>
      </c>
      <c r="H116" s="21">
        <v>91.44</v>
      </c>
      <c r="I116" s="12">
        <f t="shared" si="7"/>
        <v>-1.3272903852379454E-2</v>
      </c>
      <c r="J116" s="21">
        <v>91.83</v>
      </c>
      <c r="K116" s="12">
        <f t="shared" si="8"/>
        <v>-1.3111230521225136E-2</v>
      </c>
      <c r="L116" s="21">
        <v>92.1</v>
      </c>
      <c r="M116" s="12">
        <f t="shared" si="9"/>
        <v>-1.3284765373901962E-2</v>
      </c>
    </row>
    <row r="117" spans="1:13" x14ac:dyDescent="0.25">
      <c r="A117" s="23">
        <v>41348</v>
      </c>
      <c r="B117" s="21">
        <v>2.9089999999999998</v>
      </c>
      <c r="C117" s="12">
        <f t="shared" si="5"/>
        <v>-1.3731548232063179E-3</v>
      </c>
      <c r="D117" s="6"/>
      <c r="E117" s="23">
        <v>41348</v>
      </c>
      <c r="F117" s="21">
        <v>92.72</v>
      </c>
      <c r="G117" s="12">
        <f t="shared" si="6"/>
        <v>1.9125082435700096E-2</v>
      </c>
      <c r="H117" s="21">
        <v>93.1</v>
      </c>
      <c r="I117" s="12">
        <f t="shared" si="7"/>
        <v>1.8153980752405912E-2</v>
      </c>
      <c r="J117" s="21">
        <v>93.38</v>
      </c>
      <c r="K117" s="12">
        <f t="shared" si="8"/>
        <v>1.6879015572253044E-2</v>
      </c>
      <c r="L117" s="21">
        <v>93.54</v>
      </c>
      <c r="M117" s="12">
        <f t="shared" si="9"/>
        <v>1.5635179153094592E-2</v>
      </c>
    </row>
    <row r="118" spans="1:13" x14ac:dyDescent="0.25">
      <c r="A118" s="23">
        <v>41355</v>
      </c>
      <c r="B118" s="21">
        <v>2.875</v>
      </c>
      <c r="C118" s="12">
        <f t="shared" si="5"/>
        <v>-1.1687865245788865E-2</v>
      </c>
      <c r="D118" s="6"/>
      <c r="E118" s="23">
        <v>41355</v>
      </c>
      <c r="F118" s="21">
        <v>93</v>
      </c>
      <c r="G118" s="12">
        <f t="shared" si="6"/>
        <v>3.0198446937014789E-3</v>
      </c>
      <c r="H118" s="21">
        <v>93.37</v>
      </c>
      <c r="I118" s="12">
        <f t="shared" si="7"/>
        <v>2.900107411385717E-3</v>
      </c>
      <c r="J118" s="21">
        <v>93.6</v>
      </c>
      <c r="K118" s="12">
        <f t="shared" si="8"/>
        <v>2.3559648747054924E-3</v>
      </c>
      <c r="L118" s="21">
        <v>93.71</v>
      </c>
      <c r="M118" s="12">
        <f t="shared" si="9"/>
        <v>1.8174043190077773E-3</v>
      </c>
    </row>
    <row r="119" spans="1:13" x14ac:dyDescent="0.25">
      <c r="A119" s="23">
        <v>41362</v>
      </c>
      <c r="B119" s="21">
        <v>2.911</v>
      </c>
      <c r="C119" s="12">
        <f t="shared" si="5"/>
        <v>1.2521739130434794E-2</v>
      </c>
      <c r="D119" s="6"/>
      <c r="E119" s="23">
        <v>41362</v>
      </c>
      <c r="F119" s="21">
        <v>96.24</v>
      </c>
      <c r="G119" s="12">
        <f t="shared" si="6"/>
        <v>3.4838709677419297E-2</v>
      </c>
      <c r="H119" s="21">
        <v>96.51</v>
      </c>
      <c r="I119" s="12">
        <f t="shared" si="7"/>
        <v>3.3629645496412126E-2</v>
      </c>
      <c r="J119" s="21">
        <v>96.66</v>
      </c>
      <c r="K119" s="12">
        <f t="shared" si="8"/>
        <v>3.2692307692307722E-2</v>
      </c>
      <c r="L119" s="21">
        <v>96.59</v>
      </c>
      <c r="M119" s="12">
        <f t="shared" si="9"/>
        <v>3.0733112794792551E-2</v>
      </c>
    </row>
    <row r="120" spans="1:13" x14ac:dyDescent="0.25">
      <c r="A120" s="23">
        <v>41369</v>
      </c>
      <c r="B120" s="21">
        <v>2.758</v>
      </c>
      <c r="C120" s="12">
        <f t="shared" si="5"/>
        <v>-5.2559257986946072E-2</v>
      </c>
      <c r="D120" s="6"/>
      <c r="E120" s="23">
        <v>41369</v>
      </c>
      <c r="F120" s="21">
        <v>94.93</v>
      </c>
      <c r="G120" s="12">
        <f t="shared" si="6"/>
        <v>-1.3611803823773775E-2</v>
      </c>
      <c r="H120" s="21">
        <v>95.24</v>
      </c>
      <c r="I120" s="12">
        <f t="shared" si="7"/>
        <v>-1.3159258107968192E-2</v>
      </c>
      <c r="J120" s="21">
        <v>95.47</v>
      </c>
      <c r="K120" s="12">
        <f t="shared" si="8"/>
        <v>-1.2311193875439663E-2</v>
      </c>
      <c r="L120" s="21">
        <v>95.52</v>
      </c>
      <c r="M120" s="12">
        <f t="shared" si="9"/>
        <v>-1.1077751320012499E-2</v>
      </c>
    </row>
    <row r="121" spans="1:13" x14ac:dyDescent="0.25">
      <c r="A121" s="23">
        <v>41376</v>
      </c>
      <c r="B121" s="21">
        <v>2.677</v>
      </c>
      <c r="C121" s="12">
        <f t="shared" si="5"/>
        <v>-2.9369108049311081E-2</v>
      </c>
      <c r="D121" s="6"/>
      <c r="E121" s="23">
        <v>41376</v>
      </c>
      <c r="F121" s="21">
        <v>93.4</v>
      </c>
      <c r="G121" s="12">
        <f t="shared" si="6"/>
        <v>-1.611713894448542E-2</v>
      </c>
      <c r="H121" s="21">
        <v>93.72</v>
      </c>
      <c r="I121" s="12">
        <f t="shared" si="7"/>
        <v>-1.5959680806383832E-2</v>
      </c>
      <c r="J121" s="21">
        <v>93.97</v>
      </c>
      <c r="K121" s="12">
        <f t="shared" si="8"/>
        <v>-1.5711741908452918E-2</v>
      </c>
      <c r="L121" s="21">
        <v>94.06</v>
      </c>
      <c r="M121" s="12">
        <f t="shared" si="9"/>
        <v>-1.5284757118927909E-2</v>
      </c>
    </row>
    <row r="122" spans="1:13" x14ac:dyDescent="0.25">
      <c r="A122" s="23">
        <v>41383</v>
      </c>
      <c r="B122" s="21">
        <v>2.6909999999999998</v>
      </c>
      <c r="C122" s="12">
        <f t="shared" si="5"/>
        <v>5.2297347777361938E-3</v>
      </c>
      <c r="D122" s="6"/>
      <c r="E122" s="23">
        <v>41383</v>
      </c>
      <c r="F122" s="21">
        <v>87.97</v>
      </c>
      <c r="G122" s="12">
        <f t="shared" si="6"/>
        <v>-5.8137044967880157E-2</v>
      </c>
      <c r="H122" s="21">
        <v>88.26</v>
      </c>
      <c r="I122" s="12">
        <f t="shared" si="7"/>
        <v>-5.8258642765684952E-2</v>
      </c>
      <c r="J122" s="21">
        <v>88.49</v>
      </c>
      <c r="K122" s="12">
        <f t="shared" si="8"/>
        <v>-5.8316483984250336E-2</v>
      </c>
      <c r="L122" s="21">
        <v>88.58</v>
      </c>
      <c r="M122" s="12">
        <f t="shared" si="9"/>
        <v>-5.8260684669360026E-2</v>
      </c>
    </row>
    <row r="123" spans="1:13" x14ac:dyDescent="0.25">
      <c r="A123" s="23">
        <v>41390</v>
      </c>
      <c r="B123" s="21">
        <v>2.6909999999999998</v>
      </c>
      <c r="C123" s="12">
        <f t="shared" si="5"/>
        <v>0</v>
      </c>
      <c r="D123" s="6"/>
      <c r="E123" s="23">
        <v>41390</v>
      </c>
      <c r="F123" s="21">
        <v>91.2</v>
      </c>
      <c r="G123" s="12">
        <f t="shared" si="6"/>
        <v>3.6717062634989243E-2</v>
      </c>
      <c r="H123" s="21">
        <v>91.5</v>
      </c>
      <c r="I123" s="12">
        <f t="shared" si="7"/>
        <v>3.670972127804209E-2</v>
      </c>
      <c r="J123" s="21">
        <v>91.61</v>
      </c>
      <c r="K123" s="12">
        <f t="shared" si="8"/>
        <v>3.5258221267939933E-2</v>
      </c>
      <c r="L123" s="21">
        <v>91.53</v>
      </c>
      <c r="M123" s="12">
        <f t="shared" si="9"/>
        <v>3.3303228719801341E-2</v>
      </c>
    </row>
    <row r="124" spans="1:13" x14ac:dyDescent="0.25">
      <c r="A124" s="23">
        <v>41397</v>
      </c>
      <c r="B124" s="21">
        <v>2.6989999999999998</v>
      </c>
      <c r="C124" s="12">
        <f t="shared" si="5"/>
        <v>2.9728725380899321E-3</v>
      </c>
      <c r="D124" s="6"/>
      <c r="E124" s="23">
        <v>41397</v>
      </c>
      <c r="F124" s="21">
        <v>93.72</v>
      </c>
      <c r="G124" s="12">
        <f t="shared" si="6"/>
        <v>2.7631578947368375E-2</v>
      </c>
      <c r="H124" s="21">
        <v>93.93</v>
      </c>
      <c r="I124" s="12">
        <f t="shared" si="7"/>
        <v>2.6557377049180403E-2</v>
      </c>
      <c r="J124" s="21">
        <v>93.9</v>
      </c>
      <c r="K124" s="12">
        <f t="shared" si="8"/>
        <v>2.4997271040279514E-2</v>
      </c>
      <c r="L124" s="21">
        <v>93.63</v>
      </c>
      <c r="M124" s="12">
        <f t="shared" si="9"/>
        <v>2.2943297279580402E-2</v>
      </c>
    </row>
    <row r="125" spans="1:13" x14ac:dyDescent="0.25">
      <c r="A125" s="23">
        <v>41404</v>
      </c>
      <c r="B125" s="21">
        <v>2.7669999999999999</v>
      </c>
      <c r="C125" s="12">
        <f t="shared" si="5"/>
        <v>2.5194516487588019E-2</v>
      </c>
      <c r="D125" s="6"/>
      <c r="E125" s="23">
        <v>41404</v>
      </c>
      <c r="F125" s="21">
        <v>96.17</v>
      </c>
      <c r="G125" s="12">
        <f t="shared" si="6"/>
        <v>2.6141698676909974E-2</v>
      </c>
      <c r="H125" s="21">
        <v>96.41</v>
      </c>
      <c r="I125" s="12">
        <f t="shared" si="7"/>
        <v>2.6402640264026292E-2</v>
      </c>
      <c r="J125" s="21">
        <v>96.38</v>
      </c>
      <c r="K125" s="12">
        <f t="shared" si="8"/>
        <v>2.6411075612353459E-2</v>
      </c>
      <c r="L125" s="21">
        <v>96.12</v>
      </c>
      <c r="M125" s="12">
        <f t="shared" si="9"/>
        <v>2.6594040371675842E-2</v>
      </c>
    </row>
    <row r="126" spans="1:13" x14ac:dyDescent="0.25">
      <c r="A126" s="23">
        <v>41411</v>
      </c>
      <c r="B126" s="21">
        <v>2.7770000000000001</v>
      </c>
      <c r="C126" s="12">
        <f t="shared" si="5"/>
        <v>3.6140224069390065E-3</v>
      </c>
      <c r="D126" s="6"/>
      <c r="E126" s="23">
        <v>41411</v>
      </c>
      <c r="F126" s="21">
        <v>94.97</v>
      </c>
      <c r="G126" s="12">
        <f t="shared" si="6"/>
        <v>-1.2477903712176384E-2</v>
      </c>
      <c r="H126" s="21">
        <v>95.24</v>
      </c>
      <c r="I126" s="12">
        <f t="shared" si="7"/>
        <v>-1.2135670573591969E-2</v>
      </c>
      <c r="J126" s="21">
        <v>95.32</v>
      </c>
      <c r="K126" s="12">
        <f t="shared" si="8"/>
        <v>-1.0998132392612599E-2</v>
      </c>
      <c r="L126" s="21">
        <v>95.15</v>
      </c>
      <c r="M126" s="12">
        <f t="shared" si="9"/>
        <v>-1.0091552226383674E-2</v>
      </c>
    </row>
    <row r="127" spans="1:13" x14ac:dyDescent="0.25">
      <c r="A127" s="23">
        <v>41418</v>
      </c>
      <c r="B127" s="21">
        <v>2.7469999999999999</v>
      </c>
      <c r="C127" s="12">
        <f t="shared" si="5"/>
        <v>-1.0803024846957237E-2</v>
      </c>
      <c r="D127" s="6"/>
      <c r="E127" s="23">
        <v>41418</v>
      </c>
      <c r="F127" s="21">
        <v>95.11</v>
      </c>
      <c r="G127" s="12">
        <f t="shared" si="6"/>
        <v>1.474149731494162E-3</v>
      </c>
      <c r="H127" s="21">
        <v>95.27</v>
      </c>
      <c r="I127" s="12">
        <f t="shared" si="7"/>
        <v>3.1499370012600942E-4</v>
      </c>
      <c r="J127" s="21">
        <v>95.27</v>
      </c>
      <c r="K127" s="12">
        <f t="shared" si="8"/>
        <v>-5.2454888795632772E-4</v>
      </c>
      <c r="L127" s="21">
        <v>95.01</v>
      </c>
      <c r="M127" s="12">
        <f t="shared" si="9"/>
        <v>-1.4713610089332691E-3</v>
      </c>
    </row>
    <row r="128" spans="1:13" x14ac:dyDescent="0.25">
      <c r="A128" s="23">
        <v>41425</v>
      </c>
      <c r="B128" s="21">
        <v>2.7069999999999999</v>
      </c>
      <c r="C128" s="12">
        <f t="shared" si="5"/>
        <v>-1.4561339643247193E-2</v>
      </c>
      <c r="D128" s="6"/>
      <c r="E128" s="23">
        <v>41425</v>
      </c>
      <c r="F128" s="21">
        <v>93.43</v>
      </c>
      <c r="G128" s="12">
        <f t="shared" si="6"/>
        <v>-1.7663757754179294E-2</v>
      </c>
      <c r="H128" s="21">
        <v>93.64</v>
      </c>
      <c r="I128" s="12">
        <f t="shared" si="7"/>
        <v>-1.7109268395087598E-2</v>
      </c>
      <c r="J128" s="21">
        <v>93.67</v>
      </c>
      <c r="K128" s="12">
        <f t="shared" si="8"/>
        <v>-1.679437388474855E-2</v>
      </c>
      <c r="L128" s="21">
        <v>93.43</v>
      </c>
      <c r="M128" s="12">
        <f t="shared" si="9"/>
        <v>-1.6629828439111653E-2</v>
      </c>
    </row>
    <row r="129" spans="1:13" x14ac:dyDescent="0.25">
      <c r="A129" s="23">
        <v>41432</v>
      </c>
      <c r="B129" s="21">
        <v>2.7519999999999998</v>
      </c>
      <c r="C129" s="12">
        <f t="shared" si="5"/>
        <v>1.6623568526043565E-2</v>
      </c>
      <c r="D129" s="6"/>
      <c r="E129" s="23">
        <v>41432</v>
      </c>
      <c r="F129" s="21">
        <v>94.26</v>
      </c>
      <c r="G129" s="12">
        <f t="shared" si="6"/>
        <v>8.8836562132077294E-3</v>
      </c>
      <c r="H129" s="21">
        <v>94.49</v>
      </c>
      <c r="I129" s="12">
        <f t="shared" si="7"/>
        <v>9.0773173857325324E-3</v>
      </c>
      <c r="J129" s="21">
        <v>94.55</v>
      </c>
      <c r="K129" s="12">
        <f t="shared" si="8"/>
        <v>9.394683463221901E-3</v>
      </c>
      <c r="L129" s="21">
        <v>94.35</v>
      </c>
      <c r="M129" s="12">
        <f t="shared" si="9"/>
        <v>9.8469442363265276E-3</v>
      </c>
    </row>
    <row r="130" spans="1:13" x14ac:dyDescent="0.25">
      <c r="A130" s="23">
        <v>41439</v>
      </c>
      <c r="B130" s="21">
        <v>2.786</v>
      </c>
      <c r="C130" s="12">
        <f t="shared" si="5"/>
        <v>1.2354651162790791E-2</v>
      </c>
      <c r="D130" s="6"/>
      <c r="E130" s="23">
        <v>41439</v>
      </c>
      <c r="F130" s="21">
        <v>96.31</v>
      </c>
      <c r="G130" s="12">
        <f t="shared" si="6"/>
        <v>2.1748355612136613E-2</v>
      </c>
      <c r="H130" s="21">
        <v>96.54</v>
      </c>
      <c r="I130" s="12">
        <f t="shared" si="7"/>
        <v>2.1695417504497952E-2</v>
      </c>
      <c r="J130" s="21">
        <v>96.58</v>
      </c>
      <c r="K130" s="12">
        <f t="shared" si="8"/>
        <v>2.1470121628767859E-2</v>
      </c>
      <c r="L130" s="21">
        <v>96.31</v>
      </c>
      <c r="M130" s="12">
        <f t="shared" si="9"/>
        <v>2.0773714891362035E-2</v>
      </c>
    </row>
    <row r="131" spans="1:13" x14ac:dyDescent="0.25">
      <c r="A131" s="23">
        <v>41446</v>
      </c>
      <c r="B131" s="21">
        <v>2.7690000000000001</v>
      </c>
      <c r="C131" s="12">
        <f t="shared" si="5"/>
        <v>-6.1019382627422484E-3</v>
      </c>
      <c r="D131" s="6"/>
      <c r="E131" s="23">
        <v>41446</v>
      </c>
      <c r="F131" s="21">
        <v>96.71</v>
      </c>
      <c r="G131" s="12">
        <f t="shared" si="6"/>
        <v>4.15325511369527E-3</v>
      </c>
      <c r="H131" s="21">
        <v>96.79</v>
      </c>
      <c r="I131" s="12">
        <f t="shared" si="7"/>
        <v>2.5896001657344106E-3</v>
      </c>
      <c r="J131" s="21">
        <v>96.76</v>
      </c>
      <c r="K131" s="12">
        <f t="shared" si="8"/>
        <v>1.8637399047422532E-3</v>
      </c>
      <c r="L131" s="21">
        <v>96.44</v>
      </c>
      <c r="M131" s="12">
        <f t="shared" si="9"/>
        <v>1.3498079119509444E-3</v>
      </c>
    </row>
    <row r="132" spans="1:13" x14ac:dyDescent="0.25">
      <c r="A132" s="23">
        <v>41453</v>
      </c>
      <c r="B132" s="21">
        <v>2.6549999999999998</v>
      </c>
      <c r="C132" s="12">
        <f t="shared" si="5"/>
        <v>-4.1170097508125794E-2</v>
      </c>
      <c r="D132" s="6"/>
      <c r="E132" s="23">
        <v>41453</v>
      </c>
      <c r="F132" s="21">
        <v>95.92</v>
      </c>
      <c r="G132" s="12">
        <f t="shared" si="6"/>
        <v>-8.1687519387859796E-3</v>
      </c>
      <c r="H132" s="21">
        <v>95.8</v>
      </c>
      <c r="I132" s="12">
        <f t="shared" si="7"/>
        <v>-1.0228329372869192E-2</v>
      </c>
      <c r="J132" s="21">
        <v>95.25</v>
      </c>
      <c r="K132" s="12">
        <f t="shared" si="8"/>
        <v>-1.5605622157916546E-2</v>
      </c>
      <c r="L132" s="21">
        <v>94.58</v>
      </c>
      <c r="M132" s="12">
        <f t="shared" si="9"/>
        <v>-1.928660306926586E-2</v>
      </c>
    </row>
    <row r="133" spans="1:13" x14ac:dyDescent="0.25">
      <c r="A133" s="23">
        <v>41460</v>
      </c>
      <c r="B133" s="21">
        <v>2.7469999999999999</v>
      </c>
      <c r="C133" s="12">
        <f t="shared" ref="C133:C196" si="10">(B133-B132)/B132</f>
        <v>3.4651600753295701E-2</v>
      </c>
      <c r="D133" s="6"/>
      <c r="E133" s="23">
        <v>41460</v>
      </c>
      <c r="F133" s="21">
        <v>100.51</v>
      </c>
      <c r="G133" s="12">
        <f t="shared" ref="G133:G196" si="11">(F133-F132)/F132</f>
        <v>4.7852376980817381E-2</v>
      </c>
      <c r="H133" s="21">
        <v>100.37</v>
      </c>
      <c r="I133" s="12">
        <f t="shared" ref="I133:I196" si="12">(H133-H132)/H132</f>
        <v>4.7703549060542874E-2</v>
      </c>
      <c r="J133" s="21">
        <v>99.32</v>
      </c>
      <c r="K133" s="12">
        <f t="shared" ref="K133:K196" si="13">(J133-J132)/J132</f>
        <v>4.2729658792650844E-2</v>
      </c>
      <c r="L133" s="21">
        <v>98.27</v>
      </c>
      <c r="M133" s="12">
        <f t="shared" ref="M133:M196" si="14">(L133-L132)/L132</f>
        <v>3.901459082258403E-2</v>
      </c>
    </row>
    <row r="134" spans="1:13" x14ac:dyDescent="0.25">
      <c r="A134" s="23">
        <v>41467</v>
      </c>
      <c r="B134" s="21">
        <v>2.9350000000000001</v>
      </c>
      <c r="C134" s="12">
        <f t="shared" si="10"/>
        <v>6.8438296323261802E-2</v>
      </c>
      <c r="D134" s="6"/>
      <c r="E134" s="23">
        <v>41467</v>
      </c>
      <c r="F134" s="21">
        <v>104.81</v>
      </c>
      <c r="G134" s="12">
        <f t="shared" si="11"/>
        <v>4.2781812754949723E-2</v>
      </c>
      <c r="H134" s="21">
        <v>104.38</v>
      </c>
      <c r="I134" s="12">
        <f t="shared" si="12"/>
        <v>3.9952176945302287E-2</v>
      </c>
      <c r="J134" s="21">
        <v>103.05</v>
      </c>
      <c r="K134" s="12">
        <f t="shared" si="13"/>
        <v>3.7555376560612204E-2</v>
      </c>
      <c r="L134" s="21">
        <v>101.58</v>
      </c>
      <c r="M134" s="12">
        <f t="shared" si="14"/>
        <v>3.3682710898544847E-2</v>
      </c>
    </row>
    <row r="135" spans="1:13" x14ac:dyDescent="0.25">
      <c r="A135" s="23">
        <v>41474</v>
      </c>
      <c r="B135" s="21">
        <v>3.0150000000000001</v>
      </c>
      <c r="C135" s="12">
        <f t="shared" si="10"/>
        <v>2.7257240204429326E-2</v>
      </c>
      <c r="D135" s="6"/>
      <c r="E135" s="23">
        <v>41474</v>
      </c>
      <c r="F135" s="21">
        <v>106.98</v>
      </c>
      <c r="G135" s="12">
        <f t="shared" si="11"/>
        <v>2.0704131285182729E-2</v>
      </c>
      <c r="H135" s="21">
        <v>106.73</v>
      </c>
      <c r="I135" s="12">
        <f t="shared" si="12"/>
        <v>2.2513891550105466E-2</v>
      </c>
      <c r="J135" s="21">
        <v>105.27</v>
      </c>
      <c r="K135" s="12">
        <f t="shared" si="13"/>
        <v>2.1542940320232885E-2</v>
      </c>
      <c r="L135" s="21">
        <v>103.7</v>
      </c>
      <c r="M135" s="12">
        <f t="shared" si="14"/>
        <v>2.0870250049222334E-2</v>
      </c>
    </row>
    <row r="136" spans="1:13" x14ac:dyDescent="0.25">
      <c r="A136" s="23">
        <v>41481</v>
      </c>
      <c r="B136" s="21">
        <v>2.9350000000000001</v>
      </c>
      <c r="C136" s="12">
        <f t="shared" si="10"/>
        <v>-2.6533996683250436E-2</v>
      </c>
      <c r="D136" s="6"/>
      <c r="E136" s="23">
        <v>41481</v>
      </c>
      <c r="F136" s="21">
        <v>105.94</v>
      </c>
      <c r="G136" s="12">
        <f t="shared" si="11"/>
        <v>-9.7214432604225669E-3</v>
      </c>
      <c r="H136" s="21">
        <v>105.06</v>
      </c>
      <c r="I136" s="12">
        <f t="shared" si="12"/>
        <v>-1.564695961772699E-2</v>
      </c>
      <c r="J136" s="21">
        <v>103.66</v>
      </c>
      <c r="K136" s="12">
        <f t="shared" si="13"/>
        <v>-1.5294005889617169E-2</v>
      </c>
      <c r="L136" s="21">
        <v>102.2</v>
      </c>
      <c r="M136" s="12">
        <f t="shared" si="14"/>
        <v>-1.446480231436837E-2</v>
      </c>
    </row>
    <row r="137" spans="1:13" x14ac:dyDescent="0.25">
      <c r="A137" s="23">
        <v>41488</v>
      </c>
      <c r="B137" s="21">
        <v>2.9630000000000001</v>
      </c>
      <c r="C137" s="12">
        <f t="shared" si="10"/>
        <v>9.5400340715502633E-3</v>
      </c>
      <c r="D137" s="6"/>
      <c r="E137" s="23">
        <v>41488</v>
      </c>
      <c r="F137" s="21">
        <v>105.5</v>
      </c>
      <c r="G137" s="12">
        <f t="shared" si="11"/>
        <v>-4.1532943175382076E-3</v>
      </c>
      <c r="H137" s="21">
        <v>104.76</v>
      </c>
      <c r="I137" s="12">
        <f t="shared" si="12"/>
        <v>-2.8555111364934054E-3</v>
      </c>
      <c r="J137" s="21">
        <v>103.45</v>
      </c>
      <c r="K137" s="12">
        <f t="shared" si="13"/>
        <v>-2.0258537526528435E-3</v>
      </c>
      <c r="L137" s="21">
        <v>102.1</v>
      </c>
      <c r="M137" s="12">
        <f t="shared" si="14"/>
        <v>-9.7847358121339067E-4</v>
      </c>
    </row>
    <row r="138" spans="1:13" x14ac:dyDescent="0.25">
      <c r="A138" s="23">
        <v>41495</v>
      </c>
      <c r="B138" s="21">
        <v>2.8660000000000001</v>
      </c>
      <c r="C138" s="12">
        <f t="shared" si="10"/>
        <v>-3.2737090786365164E-2</v>
      </c>
      <c r="D138" s="6"/>
      <c r="E138" s="23">
        <v>41495</v>
      </c>
      <c r="F138" s="21">
        <v>105.12</v>
      </c>
      <c r="G138" s="12">
        <f t="shared" si="11"/>
        <v>-3.6018957345971131E-3</v>
      </c>
      <c r="H138" s="21">
        <v>104.52</v>
      </c>
      <c r="I138" s="12">
        <f t="shared" si="12"/>
        <v>-2.2909507445590788E-3</v>
      </c>
      <c r="J138" s="21">
        <v>103.26</v>
      </c>
      <c r="K138" s="12">
        <f t="shared" si="13"/>
        <v>-1.8366360560657102E-3</v>
      </c>
      <c r="L138" s="21">
        <v>101.92</v>
      </c>
      <c r="M138" s="12">
        <f t="shared" si="14"/>
        <v>-1.7629774730655496E-3</v>
      </c>
    </row>
    <row r="139" spans="1:13" x14ac:dyDescent="0.25">
      <c r="A139" s="23">
        <v>41502</v>
      </c>
      <c r="B139" s="21">
        <v>2.927</v>
      </c>
      <c r="C139" s="12">
        <f t="shared" si="10"/>
        <v>2.1284019539427754E-2</v>
      </c>
      <c r="D139" s="6"/>
      <c r="E139" s="23">
        <v>41502</v>
      </c>
      <c r="F139" s="21">
        <v>106.92</v>
      </c>
      <c r="G139" s="12">
        <f t="shared" si="11"/>
        <v>1.7123287671232848E-2</v>
      </c>
      <c r="H139" s="21">
        <v>106.59</v>
      </c>
      <c r="I139" s="12">
        <f t="shared" si="12"/>
        <v>1.9804822043628087E-2</v>
      </c>
      <c r="J139" s="21">
        <v>105.51</v>
      </c>
      <c r="K139" s="12">
        <f t="shared" si="13"/>
        <v>2.1789657176060431E-2</v>
      </c>
      <c r="L139" s="21">
        <v>104.11</v>
      </c>
      <c r="M139" s="12">
        <f t="shared" si="14"/>
        <v>2.1487441130298251E-2</v>
      </c>
    </row>
    <row r="140" spans="1:13" x14ac:dyDescent="0.25">
      <c r="A140" s="23">
        <v>41509</v>
      </c>
      <c r="B140" s="21">
        <v>2.9470000000000001</v>
      </c>
      <c r="C140" s="12">
        <f t="shared" si="10"/>
        <v>6.8329347454731864E-3</v>
      </c>
      <c r="D140" s="6"/>
      <c r="E140" s="23">
        <v>41509</v>
      </c>
      <c r="F140" s="21">
        <v>105.47</v>
      </c>
      <c r="G140" s="12">
        <f t="shared" si="11"/>
        <v>-1.3561541339319144E-2</v>
      </c>
      <c r="H140" s="21">
        <v>105.08</v>
      </c>
      <c r="I140" s="12">
        <f t="shared" si="12"/>
        <v>-1.4166432123088518E-2</v>
      </c>
      <c r="J140" s="21">
        <v>104.16</v>
      </c>
      <c r="K140" s="12">
        <f t="shared" si="13"/>
        <v>-1.2794995735001502E-2</v>
      </c>
      <c r="L140" s="21">
        <v>102.93</v>
      </c>
      <c r="M140" s="12">
        <f t="shared" si="14"/>
        <v>-1.1334165786187615E-2</v>
      </c>
    </row>
    <row r="141" spans="1:13" x14ac:dyDescent="0.25">
      <c r="A141" s="23">
        <v>41516</v>
      </c>
      <c r="B141" s="21">
        <v>2.9820000000000002</v>
      </c>
      <c r="C141" s="12">
        <f t="shared" si="10"/>
        <v>1.1876484560570119E-2</v>
      </c>
      <c r="D141" s="6"/>
      <c r="E141" s="23">
        <v>41516</v>
      </c>
      <c r="F141" s="21">
        <v>108.3</v>
      </c>
      <c r="G141" s="12">
        <f t="shared" si="11"/>
        <v>2.68322745804494E-2</v>
      </c>
      <c r="H141" s="21">
        <v>107.65</v>
      </c>
      <c r="I141" s="12">
        <f t="shared" si="12"/>
        <v>2.4457556147697065E-2</v>
      </c>
      <c r="J141" s="21">
        <v>106.24</v>
      </c>
      <c r="K141" s="12">
        <f t="shared" si="13"/>
        <v>1.9969278033794148E-2</v>
      </c>
      <c r="L141" s="21">
        <v>104.69</v>
      </c>
      <c r="M141" s="12">
        <f t="shared" si="14"/>
        <v>1.7098999319926075E-2</v>
      </c>
    </row>
    <row r="142" spans="1:13" x14ac:dyDescent="0.25">
      <c r="A142" s="23">
        <v>41523</v>
      </c>
      <c r="B142" s="21">
        <v>2.9329999999999998</v>
      </c>
      <c r="C142" s="12">
        <f t="shared" si="10"/>
        <v>-1.6431924882629234E-2</v>
      </c>
      <c r="D142" s="6"/>
      <c r="E142" s="23">
        <v>41523</v>
      </c>
      <c r="F142" s="21">
        <v>108.67</v>
      </c>
      <c r="G142" s="12">
        <f t="shared" si="11"/>
        <v>3.4164358264081678E-3</v>
      </c>
      <c r="H142" s="21">
        <v>107.91</v>
      </c>
      <c r="I142" s="12">
        <f t="shared" si="12"/>
        <v>2.4152345564327996E-3</v>
      </c>
      <c r="J142" s="21">
        <v>106.52</v>
      </c>
      <c r="K142" s="12">
        <f t="shared" si="13"/>
        <v>2.6355421686747094E-3</v>
      </c>
      <c r="L142" s="21">
        <v>104.95</v>
      </c>
      <c r="M142" s="12">
        <f t="shared" si="14"/>
        <v>2.4835227815455641E-3</v>
      </c>
    </row>
    <row r="143" spans="1:13" x14ac:dyDescent="0.25">
      <c r="A143" s="23">
        <v>41530</v>
      </c>
      <c r="B143" s="21">
        <v>2.8239999999999998</v>
      </c>
      <c r="C143" s="12">
        <f t="shared" si="10"/>
        <v>-3.7163314012956014E-2</v>
      </c>
      <c r="D143" s="6"/>
      <c r="E143" s="23">
        <v>41530</v>
      </c>
      <c r="F143" s="21">
        <v>108.26</v>
      </c>
      <c r="G143" s="12">
        <f t="shared" si="11"/>
        <v>-3.7728904021348724E-3</v>
      </c>
      <c r="H143" s="21">
        <v>107.38</v>
      </c>
      <c r="I143" s="12">
        <f t="shared" si="12"/>
        <v>-4.9115003243443717E-3</v>
      </c>
      <c r="J143" s="21">
        <v>105.79</v>
      </c>
      <c r="K143" s="12">
        <f t="shared" si="13"/>
        <v>-6.8531731130303209E-3</v>
      </c>
      <c r="L143" s="21">
        <v>104.19</v>
      </c>
      <c r="M143" s="12">
        <f t="shared" si="14"/>
        <v>-7.2415435921868044E-3</v>
      </c>
    </row>
    <row r="144" spans="1:13" x14ac:dyDescent="0.25">
      <c r="A144" s="23">
        <v>41537</v>
      </c>
      <c r="B144" s="21">
        <v>2.7690000000000001</v>
      </c>
      <c r="C144" s="12">
        <f t="shared" si="10"/>
        <v>-1.9475920679886585E-2</v>
      </c>
      <c r="D144" s="6"/>
      <c r="E144" s="23">
        <v>41537</v>
      </c>
      <c r="F144" s="21">
        <v>106.23</v>
      </c>
      <c r="G144" s="12">
        <f t="shared" si="11"/>
        <v>-1.8751154627748023E-2</v>
      </c>
      <c r="H144" s="21">
        <v>105.78</v>
      </c>
      <c r="I144" s="12">
        <f t="shared" si="12"/>
        <v>-1.4900353883404679E-2</v>
      </c>
      <c r="J144" s="21">
        <v>104.48</v>
      </c>
      <c r="K144" s="12">
        <f t="shared" si="13"/>
        <v>-1.2383022970034996E-2</v>
      </c>
      <c r="L144" s="21">
        <v>103.07</v>
      </c>
      <c r="M144" s="12">
        <f t="shared" si="14"/>
        <v>-1.0749592091371577E-2</v>
      </c>
    </row>
    <row r="145" spans="1:13" x14ac:dyDescent="0.25">
      <c r="A145" s="23">
        <v>41544</v>
      </c>
      <c r="B145" s="21">
        <v>2.7120000000000002</v>
      </c>
      <c r="C145" s="12">
        <f t="shared" si="10"/>
        <v>-2.0585048754062817E-2</v>
      </c>
      <c r="D145" s="6"/>
      <c r="E145" s="23">
        <v>41544</v>
      </c>
      <c r="F145" s="21">
        <v>103.06</v>
      </c>
      <c r="G145" s="12">
        <f t="shared" si="11"/>
        <v>-2.9840911230349258E-2</v>
      </c>
      <c r="H145" s="21">
        <v>102.42</v>
      </c>
      <c r="I145" s="12">
        <f t="shared" si="12"/>
        <v>-3.1764038570618255E-2</v>
      </c>
      <c r="J145" s="21">
        <v>101.51</v>
      </c>
      <c r="K145" s="12">
        <f t="shared" si="13"/>
        <v>-2.8426493108728933E-2</v>
      </c>
      <c r="L145" s="21">
        <v>100.45</v>
      </c>
      <c r="M145" s="12">
        <f t="shared" si="14"/>
        <v>-2.5419617735519456E-2</v>
      </c>
    </row>
    <row r="146" spans="1:13" x14ac:dyDescent="0.25">
      <c r="A146" s="23">
        <v>41551</v>
      </c>
      <c r="B146" s="21">
        <v>2.67</v>
      </c>
      <c r="C146" s="12">
        <f t="shared" si="10"/>
        <v>-1.5486725663716909E-2</v>
      </c>
      <c r="D146" s="6"/>
      <c r="E146" s="23">
        <v>41551</v>
      </c>
      <c r="F146" s="21">
        <v>103.12</v>
      </c>
      <c r="G146" s="12">
        <f t="shared" si="11"/>
        <v>5.821851348729116E-4</v>
      </c>
      <c r="H146" s="21">
        <v>102.75</v>
      </c>
      <c r="I146" s="12">
        <f t="shared" si="12"/>
        <v>3.222026947861729E-3</v>
      </c>
      <c r="J146" s="21">
        <v>101.99</v>
      </c>
      <c r="K146" s="12">
        <f t="shared" si="13"/>
        <v>4.7285981676681091E-3</v>
      </c>
      <c r="L146" s="21">
        <v>101</v>
      </c>
      <c r="M146" s="12">
        <f t="shared" si="14"/>
        <v>5.4753608760577119E-3</v>
      </c>
    </row>
    <row r="147" spans="1:13" x14ac:dyDescent="0.25">
      <c r="A147" s="23">
        <v>41558</v>
      </c>
      <c r="B147" s="21">
        <v>2.706</v>
      </c>
      <c r="C147" s="12">
        <f t="shared" si="10"/>
        <v>1.3483146067415743E-2</v>
      </c>
      <c r="D147" s="6"/>
      <c r="E147" s="23">
        <v>41558</v>
      </c>
      <c r="F147" s="21">
        <v>102.63</v>
      </c>
      <c r="G147" s="12">
        <f t="shared" si="11"/>
        <v>-4.7517455391777449E-3</v>
      </c>
      <c r="H147" s="21">
        <v>102.5</v>
      </c>
      <c r="I147" s="12">
        <f t="shared" si="12"/>
        <v>-2.4330900243309003E-3</v>
      </c>
      <c r="J147" s="21">
        <v>102.09</v>
      </c>
      <c r="K147" s="12">
        <f t="shared" si="13"/>
        <v>9.8048828316509972E-4</v>
      </c>
      <c r="L147" s="21">
        <v>101.46</v>
      </c>
      <c r="M147" s="12">
        <f t="shared" si="14"/>
        <v>4.5544554455444926E-3</v>
      </c>
    </row>
    <row r="148" spans="1:13" x14ac:dyDescent="0.25">
      <c r="A148" s="23">
        <v>41565</v>
      </c>
      <c r="B148" s="21">
        <v>2.722</v>
      </c>
      <c r="C148" s="12">
        <f t="shared" si="10"/>
        <v>5.9127864005912838E-3</v>
      </c>
      <c r="D148" s="6"/>
      <c r="E148" s="23">
        <v>41565</v>
      </c>
      <c r="F148" s="21">
        <v>101.48</v>
      </c>
      <c r="G148" s="12">
        <f t="shared" si="11"/>
        <v>-1.1205300594368035E-2</v>
      </c>
      <c r="H148" s="21">
        <v>101.67</v>
      </c>
      <c r="I148" s="12">
        <f t="shared" si="12"/>
        <v>-8.097560975609739E-3</v>
      </c>
      <c r="J148" s="21">
        <v>101.48</v>
      </c>
      <c r="K148" s="12">
        <f t="shared" si="13"/>
        <v>-5.9751199921637714E-3</v>
      </c>
      <c r="L148" s="21">
        <v>101.04</v>
      </c>
      <c r="M148" s="12">
        <f t="shared" si="14"/>
        <v>-4.1395623891187418E-3</v>
      </c>
    </row>
    <row r="149" spans="1:13" x14ac:dyDescent="0.25">
      <c r="A149" s="23">
        <v>41572</v>
      </c>
      <c r="B149" s="21">
        <v>2.657</v>
      </c>
      <c r="C149" s="12">
        <f t="shared" si="10"/>
        <v>-2.3879500367376908E-2</v>
      </c>
      <c r="D149" s="6"/>
      <c r="E149" s="23">
        <v>41572</v>
      </c>
      <c r="F149" s="21">
        <v>97.77</v>
      </c>
      <c r="G149" s="12">
        <f t="shared" si="11"/>
        <v>-3.6558927867560188E-2</v>
      </c>
      <c r="H149" s="21">
        <v>98.03</v>
      </c>
      <c r="I149" s="12">
        <f t="shared" si="12"/>
        <v>-3.5802104849021348E-2</v>
      </c>
      <c r="J149" s="21">
        <v>97.92</v>
      </c>
      <c r="K149" s="12">
        <f t="shared" si="13"/>
        <v>-3.508080409932994E-2</v>
      </c>
      <c r="L149" s="21">
        <v>97.5</v>
      </c>
      <c r="M149" s="12">
        <f t="shared" si="14"/>
        <v>-3.5035629453681771E-2</v>
      </c>
    </row>
    <row r="150" spans="1:13" x14ac:dyDescent="0.25">
      <c r="A150" s="23">
        <v>41579</v>
      </c>
      <c r="B150" s="21">
        <v>2.6539999999999999</v>
      </c>
      <c r="C150" s="12">
        <f t="shared" si="10"/>
        <v>-1.1290929619872463E-3</v>
      </c>
      <c r="D150" s="6"/>
      <c r="E150" s="23">
        <v>41579</v>
      </c>
      <c r="F150" s="21">
        <v>96.93</v>
      </c>
      <c r="G150" s="12">
        <f t="shared" si="11"/>
        <v>-8.5915925130407005E-3</v>
      </c>
      <c r="H150" s="21">
        <v>97.18</v>
      </c>
      <c r="I150" s="12">
        <f t="shared" si="12"/>
        <v>-8.6708150566152629E-3</v>
      </c>
      <c r="J150" s="21">
        <v>97.12</v>
      </c>
      <c r="K150" s="12">
        <f t="shared" si="13"/>
        <v>-8.1699346405228468E-3</v>
      </c>
      <c r="L150" s="21">
        <v>96.81</v>
      </c>
      <c r="M150" s="12">
        <f t="shared" si="14"/>
        <v>-7.0769230769230536E-3</v>
      </c>
    </row>
    <row r="151" spans="1:13" x14ac:dyDescent="0.25">
      <c r="A151" s="23">
        <v>41586</v>
      </c>
      <c r="B151" s="21">
        <v>2.5880000000000001</v>
      </c>
      <c r="C151" s="12">
        <f t="shared" si="10"/>
        <v>-2.4868123587038372E-2</v>
      </c>
      <c r="D151" s="6"/>
      <c r="E151" s="23">
        <v>41586</v>
      </c>
      <c r="F151" s="21">
        <v>94.32</v>
      </c>
      <c r="G151" s="12">
        <f t="shared" si="11"/>
        <v>-2.692664809656467E-2</v>
      </c>
      <c r="H151" s="21">
        <v>94.67</v>
      </c>
      <c r="I151" s="12">
        <f t="shared" si="12"/>
        <v>-2.5828359744803509E-2</v>
      </c>
      <c r="J151" s="21">
        <v>94.81</v>
      </c>
      <c r="K151" s="12">
        <f t="shared" si="13"/>
        <v>-2.3785008237232313E-2</v>
      </c>
      <c r="L151" s="21">
        <v>94.79</v>
      </c>
      <c r="M151" s="12">
        <f t="shared" si="14"/>
        <v>-2.0865613056502384E-2</v>
      </c>
    </row>
    <row r="152" spans="1:13" x14ac:dyDescent="0.25">
      <c r="A152" s="23">
        <v>41593</v>
      </c>
      <c r="B152" s="21">
        <v>2.6949999999999998</v>
      </c>
      <c r="C152" s="12">
        <f t="shared" si="10"/>
        <v>4.1344667697063277E-2</v>
      </c>
      <c r="D152" s="6"/>
      <c r="E152" s="23">
        <v>41593</v>
      </c>
      <c r="F152" s="21">
        <v>93.93</v>
      </c>
      <c r="G152" s="12">
        <f t="shared" si="11"/>
        <v>-4.1348600508904409E-3</v>
      </c>
      <c r="H152" s="21">
        <v>94.48</v>
      </c>
      <c r="I152" s="12">
        <f t="shared" si="12"/>
        <v>-2.0069715855075285E-3</v>
      </c>
      <c r="J152" s="21">
        <v>94.75</v>
      </c>
      <c r="K152" s="12">
        <f t="shared" si="13"/>
        <v>-6.328446366417284E-4</v>
      </c>
      <c r="L152" s="21">
        <v>94.86</v>
      </c>
      <c r="M152" s="12">
        <f t="shared" si="14"/>
        <v>7.3847452262889733E-4</v>
      </c>
    </row>
    <row r="153" spans="1:13" x14ac:dyDescent="0.25">
      <c r="A153" s="23">
        <v>41600</v>
      </c>
      <c r="B153" s="21">
        <v>2.7250000000000001</v>
      </c>
      <c r="C153" s="12">
        <f t="shared" si="10"/>
        <v>1.1131725417439797E-2</v>
      </c>
      <c r="D153" s="6"/>
      <c r="E153" s="23">
        <v>41600</v>
      </c>
      <c r="F153" s="21">
        <v>94</v>
      </c>
      <c r="G153" s="12">
        <f t="shared" si="11"/>
        <v>7.452358139038984E-4</v>
      </c>
      <c r="H153" s="21">
        <v>94.45</v>
      </c>
      <c r="I153" s="12">
        <f t="shared" si="12"/>
        <v>-3.1752751905166315E-4</v>
      </c>
      <c r="J153" s="21">
        <v>94.67</v>
      </c>
      <c r="K153" s="12">
        <f t="shared" si="13"/>
        <v>-8.4432717678098468E-4</v>
      </c>
      <c r="L153" s="21">
        <v>94.72</v>
      </c>
      <c r="M153" s="12">
        <f t="shared" si="14"/>
        <v>-1.4758591608686545E-3</v>
      </c>
    </row>
    <row r="154" spans="1:13" x14ac:dyDescent="0.25">
      <c r="A154" s="23">
        <v>41607</v>
      </c>
      <c r="B154" s="21">
        <v>2.7069999999999999</v>
      </c>
      <c r="C154" s="12">
        <f t="shared" si="10"/>
        <v>-6.6055045871560502E-3</v>
      </c>
      <c r="D154" s="6"/>
      <c r="E154" s="23">
        <v>41607</v>
      </c>
      <c r="F154" s="21">
        <v>93.2</v>
      </c>
      <c r="G154" s="12">
        <f t="shared" si="11"/>
        <v>-8.5106382978723093E-3</v>
      </c>
      <c r="H154" s="21">
        <v>93.51</v>
      </c>
      <c r="I154" s="12">
        <f t="shared" si="12"/>
        <v>-9.9523557437797526E-3</v>
      </c>
      <c r="J154" s="21">
        <v>93.73</v>
      </c>
      <c r="K154" s="12">
        <f t="shared" si="13"/>
        <v>-9.9292278440899721E-3</v>
      </c>
      <c r="L154" s="21">
        <v>93.76</v>
      </c>
      <c r="M154" s="12">
        <f t="shared" si="14"/>
        <v>-1.013513513513507E-2</v>
      </c>
    </row>
    <row r="155" spans="1:13" x14ac:dyDescent="0.25">
      <c r="A155" s="23">
        <v>41614</v>
      </c>
      <c r="B155" s="21">
        <v>2.7269999999999999</v>
      </c>
      <c r="C155" s="12">
        <f t="shared" si="10"/>
        <v>7.3882526782416032E-3</v>
      </c>
      <c r="D155" s="6"/>
      <c r="E155" s="23">
        <v>41614</v>
      </c>
      <c r="F155" s="21">
        <v>96.42</v>
      </c>
      <c r="G155" s="12">
        <f t="shared" si="11"/>
        <v>3.4549356223175953E-2</v>
      </c>
      <c r="H155" s="21">
        <v>96.66</v>
      </c>
      <c r="I155" s="12">
        <f t="shared" si="12"/>
        <v>3.3686236766121175E-2</v>
      </c>
      <c r="J155" s="21">
        <v>96.72</v>
      </c>
      <c r="K155" s="12">
        <f t="shared" si="13"/>
        <v>3.1900138696255145E-2</v>
      </c>
      <c r="L155" s="21">
        <v>96.51</v>
      </c>
      <c r="M155" s="12">
        <f t="shared" si="14"/>
        <v>2.9330204778156996E-2</v>
      </c>
    </row>
    <row r="156" spans="1:13" x14ac:dyDescent="0.25">
      <c r="A156" s="23">
        <v>41621</v>
      </c>
      <c r="B156" s="21">
        <v>2.665</v>
      </c>
      <c r="C156" s="12">
        <f t="shared" si="10"/>
        <v>-2.2735606894022674E-2</v>
      </c>
      <c r="D156" s="6"/>
      <c r="E156" s="23">
        <v>41621</v>
      </c>
      <c r="F156" s="21">
        <v>97.48</v>
      </c>
      <c r="G156" s="12">
        <f t="shared" si="11"/>
        <v>1.0993569798796954E-2</v>
      </c>
      <c r="H156" s="21">
        <v>97.74</v>
      </c>
      <c r="I156" s="12">
        <f t="shared" si="12"/>
        <v>1.1173184357541882E-2</v>
      </c>
      <c r="J156" s="21">
        <v>97.71</v>
      </c>
      <c r="K156" s="12">
        <f t="shared" si="13"/>
        <v>1.0235732009925506E-2</v>
      </c>
      <c r="L156" s="21">
        <v>97.37</v>
      </c>
      <c r="M156" s="12">
        <f t="shared" si="14"/>
        <v>8.9109936794114532E-3</v>
      </c>
    </row>
    <row r="157" spans="1:13" x14ac:dyDescent="0.25">
      <c r="A157" s="23">
        <v>41628</v>
      </c>
      <c r="B157" s="21">
        <v>2.714</v>
      </c>
      <c r="C157" s="12">
        <f t="shared" si="10"/>
        <v>1.8386491557223238E-2</v>
      </c>
      <c r="D157" s="6"/>
      <c r="E157" s="23">
        <v>41628</v>
      </c>
      <c r="F157" s="21">
        <v>98.12</v>
      </c>
      <c r="G157" s="12">
        <f t="shared" si="11"/>
        <v>6.5654493229380445E-3</v>
      </c>
      <c r="H157" s="21">
        <v>98.32</v>
      </c>
      <c r="I157" s="12">
        <f t="shared" si="12"/>
        <v>5.9341109064865796E-3</v>
      </c>
      <c r="J157" s="21">
        <v>98.13</v>
      </c>
      <c r="K157" s="12">
        <f t="shared" si="13"/>
        <v>4.2984341418483441E-3</v>
      </c>
      <c r="L157" s="21">
        <v>97.58</v>
      </c>
      <c r="M157" s="12">
        <f t="shared" si="14"/>
        <v>2.1567217828899429E-3</v>
      </c>
    </row>
    <row r="158" spans="1:13" x14ac:dyDescent="0.25">
      <c r="A158" s="23">
        <v>41635</v>
      </c>
      <c r="B158" s="21">
        <v>2.823</v>
      </c>
      <c r="C158" s="12">
        <f t="shared" si="10"/>
        <v>4.0162122328666172E-2</v>
      </c>
      <c r="D158" s="6"/>
      <c r="E158" s="23">
        <v>41635</v>
      </c>
      <c r="F158" s="21">
        <v>99.5</v>
      </c>
      <c r="G158" s="12">
        <f t="shared" si="11"/>
        <v>1.4064410925397425E-2</v>
      </c>
      <c r="H158" s="21">
        <v>99.56</v>
      </c>
      <c r="I158" s="12">
        <f t="shared" si="12"/>
        <v>1.2611879576891876E-2</v>
      </c>
      <c r="J158" s="21">
        <v>99.15</v>
      </c>
      <c r="K158" s="12">
        <f t="shared" si="13"/>
        <v>1.0394374808927038E-2</v>
      </c>
      <c r="L158" s="21">
        <v>98.42</v>
      </c>
      <c r="M158" s="12">
        <f t="shared" si="14"/>
        <v>8.6083213773314547E-3</v>
      </c>
    </row>
    <row r="159" spans="1:13" x14ac:dyDescent="0.25">
      <c r="A159" s="23">
        <v>41642</v>
      </c>
      <c r="B159" s="21">
        <v>2.7530000000000001</v>
      </c>
      <c r="C159" s="12">
        <f t="shared" si="10"/>
        <v>-2.4796315975912094E-2</v>
      </c>
      <c r="D159" s="6"/>
      <c r="E159" s="23">
        <v>41642</v>
      </c>
      <c r="F159" s="21">
        <v>96.78</v>
      </c>
      <c r="G159" s="12">
        <f t="shared" si="11"/>
        <v>-2.7336683417085415E-2</v>
      </c>
      <c r="H159" s="21">
        <v>96.94</v>
      </c>
      <c r="I159" s="12">
        <f t="shared" si="12"/>
        <v>-2.6315789473684254E-2</v>
      </c>
      <c r="J159" s="21">
        <v>96.82</v>
      </c>
      <c r="K159" s="12">
        <f t="shared" si="13"/>
        <v>-2.3499747856782778E-2</v>
      </c>
      <c r="L159" s="21">
        <v>96.4</v>
      </c>
      <c r="M159" s="12">
        <f t="shared" si="14"/>
        <v>-2.0524283682178377E-2</v>
      </c>
    </row>
    <row r="160" spans="1:13" x14ac:dyDescent="0.25">
      <c r="A160" s="23">
        <v>41649</v>
      </c>
      <c r="B160" s="21">
        <v>2.6850000000000001</v>
      </c>
      <c r="C160" s="12">
        <f t="shared" si="10"/>
        <v>-2.4700326916091558E-2</v>
      </c>
      <c r="D160" s="6"/>
      <c r="E160" s="23">
        <v>41649</v>
      </c>
      <c r="F160" s="21">
        <v>92.76</v>
      </c>
      <c r="G160" s="12">
        <f t="shared" si="11"/>
        <v>-4.1537507749534984E-2</v>
      </c>
      <c r="H160" s="21">
        <v>92.96</v>
      </c>
      <c r="I160" s="12">
        <f t="shared" si="12"/>
        <v>-4.105632349907163E-2</v>
      </c>
      <c r="J160" s="21">
        <v>92.9</v>
      </c>
      <c r="K160" s="12">
        <f t="shared" si="13"/>
        <v>-4.0487502582111007E-2</v>
      </c>
      <c r="L160" s="21">
        <v>92.65</v>
      </c>
      <c r="M160" s="12">
        <f t="shared" si="14"/>
        <v>-3.8900414937759337E-2</v>
      </c>
    </row>
    <row r="161" spans="1:13" x14ac:dyDescent="0.25">
      <c r="A161" s="23">
        <v>41656</v>
      </c>
      <c r="B161" s="21">
        <v>2.6360000000000001</v>
      </c>
      <c r="C161" s="12">
        <f t="shared" si="10"/>
        <v>-1.8249534450651743E-2</v>
      </c>
      <c r="D161" s="6"/>
      <c r="E161" s="23">
        <v>41656</v>
      </c>
      <c r="F161" s="21">
        <v>93.38</v>
      </c>
      <c r="G161" s="12">
        <f t="shared" si="11"/>
        <v>6.6839154808105896E-3</v>
      </c>
      <c r="H161" s="21">
        <v>93.57</v>
      </c>
      <c r="I161" s="12">
        <f t="shared" si="12"/>
        <v>6.5619621342512856E-3</v>
      </c>
      <c r="J161" s="21">
        <v>93.44</v>
      </c>
      <c r="K161" s="12">
        <f t="shared" si="13"/>
        <v>5.8127018299245639E-3</v>
      </c>
      <c r="L161" s="21">
        <v>93.07</v>
      </c>
      <c r="M161" s="12">
        <f t="shared" si="14"/>
        <v>4.5331894225578784E-3</v>
      </c>
    </row>
    <row r="162" spans="1:13" x14ac:dyDescent="0.25">
      <c r="A162" s="23">
        <v>41663</v>
      </c>
      <c r="B162" s="21">
        <v>2.6869999999999998</v>
      </c>
      <c r="C162" s="12">
        <f t="shared" si="10"/>
        <v>1.9347496206373181E-2</v>
      </c>
      <c r="D162" s="6"/>
      <c r="E162" s="23">
        <v>41663</v>
      </c>
      <c r="F162" s="21">
        <v>96.42</v>
      </c>
      <c r="G162" s="12">
        <f t="shared" si="11"/>
        <v>3.2555150995930676E-2</v>
      </c>
      <c r="H162" s="21">
        <v>96.08</v>
      </c>
      <c r="I162" s="12">
        <f t="shared" si="12"/>
        <v>2.6824837020412582E-2</v>
      </c>
      <c r="J162" s="21">
        <v>95.53</v>
      </c>
      <c r="K162" s="12">
        <f t="shared" si="13"/>
        <v>2.2367294520547983E-2</v>
      </c>
      <c r="L162" s="21">
        <v>94.83</v>
      </c>
      <c r="M162" s="12">
        <f t="shared" si="14"/>
        <v>1.8910497475018859E-2</v>
      </c>
    </row>
    <row r="163" spans="1:13" x14ac:dyDescent="0.25">
      <c r="A163" s="23">
        <v>41670</v>
      </c>
      <c r="B163" s="21">
        <v>2.6749999999999998</v>
      </c>
      <c r="C163" s="12">
        <f t="shared" si="10"/>
        <v>-4.4659471529586939E-3</v>
      </c>
      <c r="D163" s="6"/>
      <c r="E163" s="23">
        <v>41670</v>
      </c>
      <c r="F163" s="21">
        <v>97.24</v>
      </c>
      <c r="G163" s="12">
        <f t="shared" si="11"/>
        <v>8.5044596556730252E-3</v>
      </c>
      <c r="H163" s="21">
        <v>96.71</v>
      </c>
      <c r="I163" s="12">
        <f t="shared" si="12"/>
        <v>6.5570358034970381E-3</v>
      </c>
      <c r="J163" s="21">
        <v>95.97</v>
      </c>
      <c r="K163" s="12">
        <f t="shared" si="13"/>
        <v>4.6058829687009081E-3</v>
      </c>
      <c r="L163" s="21">
        <v>95.12</v>
      </c>
      <c r="M163" s="12">
        <f t="shared" si="14"/>
        <v>3.0581039755352341E-3</v>
      </c>
    </row>
    <row r="164" spans="1:13" x14ac:dyDescent="0.25">
      <c r="A164" s="23">
        <v>41677</v>
      </c>
      <c r="B164" s="21">
        <v>2.6909999999999998</v>
      </c>
      <c r="C164" s="12">
        <f t="shared" si="10"/>
        <v>5.9813084112149591E-3</v>
      </c>
      <c r="D164" s="6"/>
      <c r="E164" s="23">
        <v>41677</v>
      </c>
      <c r="F164" s="21">
        <v>97.74</v>
      </c>
      <c r="G164" s="12">
        <f t="shared" si="11"/>
        <v>5.1419169066227888E-3</v>
      </c>
      <c r="H164" s="21">
        <v>97.12</v>
      </c>
      <c r="I164" s="12">
        <f t="shared" si="12"/>
        <v>4.239478854306802E-3</v>
      </c>
      <c r="J164" s="21">
        <v>96.37</v>
      </c>
      <c r="K164" s="12">
        <f t="shared" si="13"/>
        <v>4.1679691570282972E-3</v>
      </c>
      <c r="L164" s="21">
        <v>95.55</v>
      </c>
      <c r="M164" s="12">
        <f t="shared" si="14"/>
        <v>4.5206055508830167E-3</v>
      </c>
    </row>
    <row r="165" spans="1:13" x14ac:dyDescent="0.25">
      <c r="A165" s="23">
        <v>41684</v>
      </c>
      <c r="B165" s="21">
        <v>2.798</v>
      </c>
      <c r="C165" s="12">
        <f t="shared" si="10"/>
        <v>3.9762170196952884E-2</v>
      </c>
      <c r="D165" s="6"/>
      <c r="E165" s="23">
        <v>41684</v>
      </c>
      <c r="F165" s="21">
        <v>100.2</v>
      </c>
      <c r="G165" s="12">
        <f t="shared" si="11"/>
        <v>2.5168815224063924E-2</v>
      </c>
      <c r="H165" s="21">
        <v>99.8</v>
      </c>
      <c r="I165" s="12">
        <f t="shared" si="12"/>
        <v>2.7594728171334355E-2</v>
      </c>
      <c r="J165" s="21">
        <v>99.06</v>
      </c>
      <c r="K165" s="12">
        <f t="shared" si="13"/>
        <v>2.7913251011725617E-2</v>
      </c>
      <c r="L165" s="21">
        <v>98.27</v>
      </c>
      <c r="M165" s="12">
        <f t="shared" si="14"/>
        <v>2.8466771323914172E-2</v>
      </c>
    </row>
    <row r="166" spans="1:13" x14ac:dyDescent="0.25">
      <c r="A166" s="23">
        <v>41691</v>
      </c>
      <c r="B166" s="21">
        <v>2.879</v>
      </c>
      <c r="C166" s="12">
        <f t="shared" si="10"/>
        <v>2.8949249463902774E-2</v>
      </c>
      <c r="D166" s="6"/>
      <c r="E166" s="23">
        <v>41691</v>
      </c>
      <c r="F166" s="21">
        <v>102.72</v>
      </c>
      <c r="G166" s="12">
        <f t="shared" si="11"/>
        <v>2.5149700598802355E-2</v>
      </c>
      <c r="H166" s="21">
        <v>102.27</v>
      </c>
      <c r="I166" s="12">
        <f t="shared" si="12"/>
        <v>2.4749498997995983E-2</v>
      </c>
      <c r="J166" s="21">
        <v>101.34</v>
      </c>
      <c r="K166" s="12">
        <f t="shared" si="13"/>
        <v>2.3016353725015152E-2</v>
      </c>
      <c r="L166" s="21">
        <v>100.38</v>
      </c>
      <c r="M166" s="12">
        <f t="shared" si="14"/>
        <v>2.1471456192123737E-2</v>
      </c>
    </row>
    <row r="167" spans="1:13" x14ac:dyDescent="0.25">
      <c r="A167" s="23">
        <v>41698</v>
      </c>
      <c r="B167" s="21">
        <v>2.831</v>
      </c>
      <c r="C167" s="12">
        <f t="shared" si="10"/>
        <v>-1.6672455713789527E-2</v>
      </c>
      <c r="D167" s="6"/>
      <c r="E167" s="23">
        <v>41698</v>
      </c>
      <c r="F167" s="21">
        <v>102.45</v>
      </c>
      <c r="G167" s="12">
        <f t="shared" si="11"/>
        <v>-2.6285046728971575E-3</v>
      </c>
      <c r="H167" s="21">
        <v>101.69</v>
      </c>
      <c r="I167" s="12">
        <f t="shared" si="12"/>
        <v>-5.6712623447736218E-3</v>
      </c>
      <c r="J167" s="21">
        <v>100.75</v>
      </c>
      <c r="K167" s="12">
        <f t="shared" si="13"/>
        <v>-5.8219853956976847E-3</v>
      </c>
      <c r="L167" s="21">
        <v>99.77</v>
      </c>
      <c r="M167" s="12">
        <f t="shared" si="14"/>
        <v>-6.0769077505479123E-3</v>
      </c>
    </row>
    <row r="168" spans="1:13" x14ac:dyDescent="0.25">
      <c r="A168" s="23">
        <v>41705</v>
      </c>
      <c r="B168" s="21">
        <v>2.8090000000000002</v>
      </c>
      <c r="C168" s="12">
        <f t="shared" si="10"/>
        <v>-7.771105616389897E-3</v>
      </c>
      <c r="D168" s="6"/>
      <c r="E168" s="23">
        <v>41705</v>
      </c>
      <c r="F168" s="21">
        <v>102.77</v>
      </c>
      <c r="G168" s="12">
        <f t="shared" si="11"/>
        <v>3.1234748657881228E-3</v>
      </c>
      <c r="H168" s="21">
        <v>102.16</v>
      </c>
      <c r="I168" s="12">
        <f t="shared" si="12"/>
        <v>4.6218900580194599E-3</v>
      </c>
      <c r="J168" s="21">
        <v>101.21</v>
      </c>
      <c r="K168" s="12">
        <f t="shared" si="13"/>
        <v>4.5657568238212775E-3</v>
      </c>
      <c r="L168" s="21">
        <v>100.2</v>
      </c>
      <c r="M168" s="12">
        <f t="shared" si="14"/>
        <v>4.3099127994387773E-3</v>
      </c>
    </row>
    <row r="169" spans="1:13" x14ac:dyDescent="0.25">
      <c r="A169" s="23">
        <v>41712</v>
      </c>
      <c r="B169" s="21">
        <v>2.7909999999999999</v>
      </c>
      <c r="C169" s="12">
        <f t="shared" si="10"/>
        <v>-6.4079743681026121E-3</v>
      </c>
      <c r="D169" s="6"/>
      <c r="E169" s="23">
        <v>41712</v>
      </c>
      <c r="F169" s="21">
        <v>99.25</v>
      </c>
      <c r="G169" s="12">
        <f t="shared" si="11"/>
        <v>-3.4251240634426354E-2</v>
      </c>
      <c r="H169" s="21">
        <v>98.87</v>
      </c>
      <c r="I169" s="12">
        <f t="shared" si="12"/>
        <v>-3.2204385277995226E-2</v>
      </c>
      <c r="J169" s="21">
        <v>98.21</v>
      </c>
      <c r="K169" s="12">
        <f t="shared" si="13"/>
        <v>-2.9641339788558443E-2</v>
      </c>
      <c r="L169" s="21">
        <v>97.47</v>
      </c>
      <c r="M169" s="12">
        <f t="shared" si="14"/>
        <v>-2.7245508982035968E-2</v>
      </c>
    </row>
    <row r="170" spans="1:13" x14ac:dyDescent="0.25">
      <c r="A170" s="23">
        <v>41719</v>
      </c>
      <c r="B170" s="21">
        <v>2.722</v>
      </c>
      <c r="C170" s="12">
        <f t="shared" si="10"/>
        <v>-2.472232174847723E-2</v>
      </c>
      <c r="D170" s="6"/>
      <c r="E170" s="23">
        <v>41719</v>
      </c>
      <c r="F170" s="21">
        <v>99.41</v>
      </c>
      <c r="G170" s="12">
        <f t="shared" si="11"/>
        <v>1.6120906801007212E-3</v>
      </c>
      <c r="H170" s="21">
        <v>98.64</v>
      </c>
      <c r="I170" s="12">
        <f t="shared" si="12"/>
        <v>-2.3262870435926367E-3</v>
      </c>
      <c r="J170" s="21">
        <v>97.78</v>
      </c>
      <c r="K170" s="12">
        <f t="shared" si="13"/>
        <v>-4.3783728744526285E-3</v>
      </c>
      <c r="L170" s="21">
        <v>96.87</v>
      </c>
      <c r="M170" s="12">
        <f t="shared" si="14"/>
        <v>-6.1557402277623305E-3</v>
      </c>
    </row>
    <row r="171" spans="1:13" x14ac:dyDescent="0.25">
      <c r="A171" s="23">
        <v>41726</v>
      </c>
      <c r="B171" s="21">
        <v>2.6989999999999998</v>
      </c>
      <c r="C171" s="12">
        <f t="shared" si="10"/>
        <v>-8.4496693607641928E-3</v>
      </c>
      <c r="D171" s="6"/>
      <c r="E171" s="23">
        <v>41726</v>
      </c>
      <c r="F171" s="21">
        <v>100.4</v>
      </c>
      <c r="G171" s="12">
        <f t="shared" si="11"/>
        <v>9.9587566643195759E-3</v>
      </c>
      <c r="H171" s="21">
        <v>99.66</v>
      </c>
      <c r="I171" s="12">
        <f t="shared" si="12"/>
        <v>1.0340632603406286E-2</v>
      </c>
      <c r="J171" s="21">
        <v>98.76</v>
      </c>
      <c r="K171" s="12">
        <f t="shared" si="13"/>
        <v>1.0022499488648026E-2</v>
      </c>
      <c r="L171" s="21">
        <v>97.83</v>
      </c>
      <c r="M171" s="12">
        <f t="shared" si="14"/>
        <v>9.9101889129760892E-3</v>
      </c>
    </row>
    <row r="172" spans="1:13" x14ac:dyDescent="0.25">
      <c r="A172" s="23">
        <v>41733</v>
      </c>
      <c r="B172" s="21">
        <v>2.7090000000000001</v>
      </c>
      <c r="C172" s="12">
        <f t="shared" si="10"/>
        <v>3.705075954057144E-3</v>
      </c>
      <c r="D172" s="6"/>
      <c r="E172" s="23">
        <v>41733</v>
      </c>
      <c r="F172" s="21">
        <v>100.47</v>
      </c>
      <c r="G172" s="12">
        <f t="shared" si="11"/>
        <v>6.9721115537841813E-4</v>
      </c>
      <c r="H172" s="21">
        <v>99.77</v>
      </c>
      <c r="I172" s="12">
        <f t="shared" si="12"/>
        <v>1.1037527593818928E-3</v>
      </c>
      <c r="J172" s="21">
        <v>98.92</v>
      </c>
      <c r="K172" s="12">
        <f t="shared" si="13"/>
        <v>1.6200891049007349E-3</v>
      </c>
      <c r="L172" s="21">
        <v>98</v>
      </c>
      <c r="M172" s="12">
        <f t="shared" si="14"/>
        <v>1.7377082694470174E-3</v>
      </c>
    </row>
    <row r="173" spans="1:13" x14ac:dyDescent="0.25">
      <c r="A173" s="23">
        <v>41740</v>
      </c>
      <c r="B173" s="21">
        <v>2.8860000000000001</v>
      </c>
      <c r="C173" s="12">
        <f t="shared" si="10"/>
        <v>6.5337763012181638E-2</v>
      </c>
      <c r="D173" s="6"/>
      <c r="E173" s="23">
        <v>41740</v>
      </c>
      <c r="F173" s="21">
        <v>102.75</v>
      </c>
      <c r="G173" s="12">
        <f t="shared" si="11"/>
        <v>2.2693341295909237E-2</v>
      </c>
      <c r="H173" s="21">
        <v>101.85</v>
      </c>
      <c r="I173" s="12">
        <f t="shared" si="12"/>
        <v>2.0847950285656995E-2</v>
      </c>
      <c r="J173" s="21">
        <v>100.92</v>
      </c>
      <c r="K173" s="12">
        <f t="shared" si="13"/>
        <v>2.0218358269308533E-2</v>
      </c>
      <c r="L173" s="21">
        <v>99.95</v>
      </c>
      <c r="M173" s="12">
        <f t="shared" si="14"/>
        <v>1.98979591836735E-2</v>
      </c>
    </row>
    <row r="174" spans="1:13" x14ac:dyDescent="0.25">
      <c r="A174" s="23">
        <v>41747</v>
      </c>
      <c r="B174" s="21">
        <v>2.9710000000000001</v>
      </c>
      <c r="C174" s="12">
        <f t="shared" si="10"/>
        <v>2.9452529452529439E-2</v>
      </c>
      <c r="D174" s="6"/>
      <c r="E174" s="23">
        <v>41747</v>
      </c>
      <c r="F174" s="21">
        <v>103.97</v>
      </c>
      <c r="G174" s="12">
        <f t="shared" si="11"/>
        <v>1.1873479318734783E-2</v>
      </c>
      <c r="H174" s="21">
        <v>103.15</v>
      </c>
      <c r="I174" s="12">
        <f t="shared" si="12"/>
        <v>1.2763868433971639E-2</v>
      </c>
      <c r="J174" s="21">
        <v>102.25</v>
      </c>
      <c r="K174" s="12">
        <f t="shared" si="13"/>
        <v>1.317875544986126E-2</v>
      </c>
      <c r="L174" s="21">
        <v>101.26</v>
      </c>
      <c r="M174" s="12">
        <f t="shared" si="14"/>
        <v>1.3106553276638342E-2</v>
      </c>
    </row>
    <row r="175" spans="1:13" x14ac:dyDescent="0.25">
      <c r="A175" s="23">
        <v>41754</v>
      </c>
      <c r="B175" s="21">
        <v>3.0009999999999999</v>
      </c>
      <c r="C175" s="12">
        <f t="shared" si="10"/>
        <v>1.009761023224497E-2</v>
      </c>
      <c r="D175" s="6"/>
      <c r="E175" s="23">
        <v>41754</v>
      </c>
      <c r="F175" s="21">
        <v>102.1</v>
      </c>
      <c r="G175" s="12">
        <f t="shared" si="11"/>
        <v>-1.7985957487736889E-2</v>
      </c>
      <c r="H175" s="21">
        <v>101.53</v>
      </c>
      <c r="I175" s="12">
        <f t="shared" si="12"/>
        <v>-1.5705283567620014E-2</v>
      </c>
      <c r="J175" s="21">
        <v>100.76</v>
      </c>
      <c r="K175" s="12">
        <f t="shared" si="13"/>
        <v>-1.4572127139364253E-2</v>
      </c>
      <c r="L175" s="21">
        <v>99.9</v>
      </c>
      <c r="M175" s="12">
        <f t="shared" si="14"/>
        <v>-1.3430772269405485E-2</v>
      </c>
    </row>
    <row r="176" spans="1:13" x14ac:dyDescent="0.25">
      <c r="A176" s="23">
        <v>41761</v>
      </c>
      <c r="B176" s="21">
        <v>2.883</v>
      </c>
      <c r="C176" s="12">
        <f t="shared" si="10"/>
        <v>-3.9320226591136251E-2</v>
      </c>
      <c r="D176" s="6"/>
      <c r="E176" s="23">
        <v>41761</v>
      </c>
      <c r="F176" s="21">
        <v>100.21</v>
      </c>
      <c r="G176" s="12">
        <f t="shared" si="11"/>
        <v>-1.8511263467189037E-2</v>
      </c>
      <c r="H176" s="21">
        <v>99.52</v>
      </c>
      <c r="I176" s="12">
        <f t="shared" si="12"/>
        <v>-1.9797104304146607E-2</v>
      </c>
      <c r="J176" s="21">
        <v>98.65</v>
      </c>
      <c r="K176" s="12">
        <f t="shared" si="13"/>
        <v>-2.0940849543469624E-2</v>
      </c>
      <c r="L176" s="21">
        <v>97.75</v>
      </c>
      <c r="M176" s="12">
        <f t="shared" si="14"/>
        <v>-2.1521521521521578E-2</v>
      </c>
    </row>
    <row r="177" spans="1:13" x14ac:dyDescent="0.25">
      <c r="A177" s="23">
        <v>41768</v>
      </c>
      <c r="B177" s="21">
        <v>2.8319999999999999</v>
      </c>
      <c r="C177" s="12">
        <f t="shared" si="10"/>
        <v>-1.7689906347554685E-2</v>
      </c>
      <c r="D177" s="6"/>
      <c r="E177" s="23">
        <v>41768</v>
      </c>
      <c r="F177" s="21">
        <v>100</v>
      </c>
      <c r="G177" s="12">
        <f t="shared" si="11"/>
        <v>-2.0955992415925932E-3</v>
      </c>
      <c r="H177" s="21">
        <v>99.24</v>
      </c>
      <c r="I177" s="12">
        <f t="shared" si="12"/>
        <v>-2.8135048231511368E-3</v>
      </c>
      <c r="J177" s="21">
        <v>98.32</v>
      </c>
      <c r="K177" s="12">
        <f t="shared" si="13"/>
        <v>-3.3451596553473136E-3</v>
      </c>
      <c r="L177" s="21">
        <v>97.38</v>
      </c>
      <c r="M177" s="12">
        <f t="shared" si="14"/>
        <v>-3.7851662404092537E-3</v>
      </c>
    </row>
    <row r="178" spans="1:13" x14ac:dyDescent="0.25">
      <c r="A178" s="23">
        <v>41775</v>
      </c>
      <c r="B178" s="21">
        <v>2.8639999999999999</v>
      </c>
      <c r="C178" s="12">
        <f t="shared" si="10"/>
        <v>1.1299435028248598E-2</v>
      </c>
      <c r="D178" s="6"/>
      <c r="E178" s="23">
        <v>41775</v>
      </c>
      <c r="F178" s="21">
        <v>101.64</v>
      </c>
      <c r="G178" s="12">
        <f t="shared" si="11"/>
        <v>1.6400000000000005E-2</v>
      </c>
      <c r="H178" s="21">
        <v>101.09</v>
      </c>
      <c r="I178" s="12">
        <f t="shared" si="12"/>
        <v>1.8641676743248778E-2</v>
      </c>
      <c r="J178" s="21">
        <v>100.25</v>
      </c>
      <c r="K178" s="12">
        <f t="shared" si="13"/>
        <v>1.9629780309194537E-2</v>
      </c>
      <c r="L178" s="21">
        <v>99.32</v>
      </c>
      <c r="M178" s="12">
        <f t="shared" si="14"/>
        <v>1.9921955226945964E-2</v>
      </c>
    </row>
    <row r="179" spans="1:13" x14ac:dyDescent="0.25">
      <c r="A179" s="23">
        <v>41782</v>
      </c>
      <c r="B179" s="21">
        <v>2.8959999999999999</v>
      </c>
      <c r="C179" s="12">
        <f t="shared" si="10"/>
        <v>1.117318435754191E-2</v>
      </c>
      <c r="D179" s="6"/>
      <c r="E179" s="23">
        <v>41782</v>
      </c>
      <c r="F179" s="21">
        <v>103.44</v>
      </c>
      <c r="G179" s="12">
        <f t="shared" si="11"/>
        <v>1.7709563164108589E-2</v>
      </c>
      <c r="H179" s="21">
        <v>102.78</v>
      </c>
      <c r="I179" s="12">
        <f t="shared" si="12"/>
        <v>1.6717776238994932E-2</v>
      </c>
      <c r="J179" s="21">
        <v>101.79</v>
      </c>
      <c r="K179" s="12">
        <f t="shared" si="13"/>
        <v>1.5361596009975125E-2</v>
      </c>
      <c r="L179" s="21">
        <v>100.72</v>
      </c>
      <c r="M179" s="12">
        <f t="shared" si="14"/>
        <v>1.4095851792186928E-2</v>
      </c>
    </row>
    <row r="180" spans="1:13" x14ac:dyDescent="0.25">
      <c r="A180" s="23">
        <v>41789</v>
      </c>
      <c r="B180" s="21">
        <v>2.8530000000000002</v>
      </c>
      <c r="C180" s="12">
        <f t="shared" si="10"/>
        <v>-1.4848066298342439E-2</v>
      </c>
      <c r="D180" s="6"/>
      <c r="E180" s="23">
        <v>41789</v>
      </c>
      <c r="F180" s="21">
        <v>103.28</v>
      </c>
      <c r="G180" s="12">
        <f t="shared" si="11"/>
        <v>-1.5467904098994257E-3</v>
      </c>
      <c r="H180" s="21">
        <v>102.48</v>
      </c>
      <c r="I180" s="12">
        <f t="shared" si="12"/>
        <v>-2.9188558085230312E-3</v>
      </c>
      <c r="J180" s="21">
        <v>101.48</v>
      </c>
      <c r="K180" s="12">
        <f t="shared" si="13"/>
        <v>-3.0454858041065159E-3</v>
      </c>
      <c r="L180" s="21">
        <v>100.41</v>
      </c>
      <c r="M180" s="12">
        <f t="shared" si="14"/>
        <v>-3.0778395552025642E-3</v>
      </c>
    </row>
    <row r="181" spans="1:13" x14ac:dyDescent="0.25">
      <c r="A181" s="23">
        <v>41796</v>
      </c>
      <c r="B181" s="21">
        <v>2.819</v>
      </c>
      <c r="C181" s="12">
        <f t="shared" si="10"/>
        <v>-1.1917280056081406E-2</v>
      </c>
      <c r="D181" s="6"/>
      <c r="E181" s="23">
        <v>41796</v>
      </c>
      <c r="F181" s="21">
        <v>102.58</v>
      </c>
      <c r="G181" s="12">
        <f t="shared" si="11"/>
        <v>-6.777691711851306E-3</v>
      </c>
      <c r="H181" s="21">
        <v>101.89</v>
      </c>
      <c r="I181" s="12">
        <f t="shared" si="12"/>
        <v>-5.7572209211553807E-3</v>
      </c>
      <c r="J181" s="21">
        <v>100.99</v>
      </c>
      <c r="K181" s="12">
        <f t="shared" si="13"/>
        <v>-4.8285376428853872E-3</v>
      </c>
      <c r="L181" s="21">
        <v>100.01</v>
      </c>
      <c r="M181" s="12">
        <f t="shared" si="14"/>
        <v>-3.9836669654416046E-3</v>
      </c>
    </row>
    <row r="182" spans="1:13" x14ac:dyDescent="0.25">
      <c r="A182" s="23">
        <v>41803</v>
      </c>
      <c r="B182" s="21">
        <v>2.8820000000000001</v>
      </c>
      <c r="C182" s="12">
        <f t="shared" si="10"/>
        <v>2.2348350478893286E-2</v>
      </c>
      <c r="D182" s="6"/>
      <c r="E182" s="23">
        <v>41803</v>
      </c>
      <c r="F182" s="21">
        <v>105.32</v>
      </c>
      <c r="G182" s="12">
        <f t="shared" si="11"/>
        <v>2.6710859816728359E-2</v>
      </c>
      <c r="H182" s="21">
        <v>104.53</v>
      </c>
      <c r="I182" s="12">
        <f t="shared" si="12"/>
        <v>2.5910295416625779E-2</v>
      </c>
      <c r="J182" s="21">
        <v>103.53</v>
      </c>
      <c r="K182" s="12">
        <f t="shared" si="13"/>
        <v>2.5151005050005015E-2</v>
      </c>
      <c r="L182" s="21">
        <v>102.42</v>
      </c>
      <c r="M182" s="12">
        <f t="shared" si="14"/>
        <v>2.4097590240975866E-2</v>
      </c>
    </row>
    <row r="183" spans="1:13" x14ac:dyDescent="0.25">
      <c r="A183" s="23">
        <v>41810</v>
      </c>
      <c r="B183" s="21">
        <v>2.952</v>
      </c>
      <c r="C183" s="12">
        <f t="shared" si="10"/>
        <v>2.4288688410825758E-2</v>
      </c>
      <c r="D183" s="6"/>
      <c r="E183" s="23">
        <v>41810</v>
      </c>
      <c r="F183" s="21">
        <v>106.58</v>
      </c>
      <c r="G183" s="12">
        <f t="shared" si="11"/>
        <v>1.1963539688568222E-2</v>
      </c>
      <c r="H183" s="21">
        <v>106.13</v>
      </c>
      <c r="I183" s="12">
        <f t="shared" si="12"/>
        <v>1.5306610542427957E-2</v>
      </c>
      <c r="J183" s="21">
        <v>105.29</v>
      </c>
      <c r="K183" s="12">
        <f t="shared" si="13"/>
        <v>1.6999903409639767E-2</v>
      </c>
      <c r="L183" s="21">
        <v>104.23</v>
      </c>
      <c r="M183" s="12">
        <f t="shared" si="14"/>
        <v>1.7672329623120507E-2</v>
      </c>
    </row>
    <row r="184" spans="1:13" x14ac:dyDescent="0.25">
      <c r="A184" s="23">
        <v>41817</v>
      </c>
      <c r="B184" s="21">
        <v>2.9319999999999999</v>
      </c>
      <c r="C184" s="12">
        <f t="shared" si="10"/>
        <v>-6.7750677506775133E-3</v>
      </c>
      <c r="D184" s="6"/>
      <c r="E184" s="23">
        <v>41817</v>
      </c>
      <c r="F184" s="21">
        <v>106.06</v>
      </c>
      <c r="G184" s="12">
        <f t="shared" si="11"/>
        <v>-4.8789641583786457E-3</v>
      </c>
      <c r="H184" s="21">
        <v>105.32</v>
      </c>
      <c r="I184" s="12">
        <f t="shared" si="12"/>
        <v>-7.6321492509187063E-3</v>
      </c>
      <c r="J184" s="21">
        <v>104.35</v>
      </c>
      <c r="K184" s="12">
        <f t="shared" si="13"/>
        <v>-8.9277234305253292E-3</v>
      </c>
      <c r="L184" s="21">
        <v>103.41</v>
      </c>
      <c r="M184" s="12">
        <f t="shared" si="14"/>
        <v>-7.8672167322268761E-3</v>
      </c>
    </row>
    <row r="185" spans="1:13" x14ac:dyDescent="0.25">
      <c r="A185" s="23">
        <v>41824</v>
      </c>
      <c r="B185" s="21">
        <v>2.887</v>
      </c>
      <c r="C185" s="12">
        <f t="shared" si="10"/>
        <v>-1.5347885402455639E-2</v>
      </c>
      <c r="D185" s="6"/>
      <c r="E185" s="23">
        <v>41824</v>
      </c>
      <c r="F185" s="21">
        <v>104.81</v>
      </c>
      <c r="G185" s="12">
        <f t="shared" si="11"/>
        <v>-1.1785781633037902E-2</v>
      </c>
      <c r="H185" s="21">
        <v>104.22</v>
      </c>
      <c r="I185" s="12">
        <f t="shared" si="12"/>
        <v>-1.0444360045575337E-2</v>
      </c>
      <c r="J185" s="21">
        <v>103.39</v>
      </c>
      <c r="K185" s="12">
        <f t="shared" si="13"/>
        <v>-9.1998083373262471E-3</v>
      </c>
      <c r="L185" s="21">
        <v>102.55</v>
      </c>
      <c r="M185" s="12">
        <f t="shared" si="14"/>
        <v>-8.3164104051832461E-3</v>
      </c>
    </row>
    <row r="186" spans="1:13" x14ac:dyDescent="0.25">
      <c r="A186" s="23">
        <v>41831</v>
      </c>
      <c r="B186" s="21">
        <v>2.8290000000000002</v>
      </c>
      <c r="C186" s="12">
        <f t="shared" si="10"/>
        <v>-2.0090058884655291E-2</v>
      </c>
      <c r="D186" s="6"/>
      <c r="E186" s="23">
        <v>41831</v>
      </c>
      <c r="F186" s="21">
        <v>102.6</v>
      </c>
      <c r="G186" s="12">
        <f t="shared" si="11"/>
        <v>-2.1085774258181547E-2</v>
      </c>
      <c r="H186" s="21">
        <v>102.05</v>
      </c>
      <c r="I186" s="12">
        <f t="shared" si="12"/>
        <v>-2.0821339474189231E-2</v>
      </c>
      <c r="J186" s="21">
        <v>101.34</v>
      </c>
      <c r="K186" s="12">
        <f t="shared" si="13"/>
        <v>-1.9827836347809238E-2</v>
      </c>
      <c r="L186" s="21">
        <v>100.58</v>
      </c>
      <c r="M186" s="12">
        <f t="shared" si="14"/>
        <v>-1.9210141394441726E-2</v>
      </c>
    </row>
    <row r="187" spans="1:13" x14ac:dyDescent="0.25">
      <c r="A187" s="23">
        <v>41838</v>
      </c>
      <c r="B187" s="21">
        <v>2.786</v>
      </c>
      <c r="C187" s="12">
        <f t="shared" si="10"/>
        <v>-1.5199717214563502E-2</v>
      </c>
      <c r="D187" s="6"/>
      <c r="E187" s="23">
        <v>41838</v>
      </c>
      <c r="F187" s="21">
        <v>101.68</v>
      </c>
      <c r="G187" s="12">
        <f t="shared" si="11"/>
        <v>-8.9668615984404253E-3</v>
      </c>
      <c r="H187" s="21">
        <v>100.95</v>
      </c>
      <c r="I187" s="12">
        <f t="shared" si="12"/>
        <v>-1.0779029887310087E-2</v>
      </c>
      <c r="J187" s="21">
        <v>100.2</v>
      </c>
      <c r="K187" s="12">
        <f t="shared" si="13"/>
        <v>-1.1249259917110722E-2</v>
      </c>
      <c r="L187" s="21">
        <v>99.46</v>
      </c>
      <c r="M187" s="12">
        <f t="shared" si="14"/>
        <v>-1.1135414595347034E-2</v>
      </c>
    </row>
    <row r="188" spans="1:13" x14ac:dyDescent="0.25">
      <c r="A188" s="23">
        <v>41845</v>
      </c>
      <c r="B188" s="21">
        <v>2.782</v>
      </c>
      <c r="C188" s="12">
        <f t="shared" si="10"/>
        <v>-1.4357501794687738E-3</v>
      </c>
      <c r="D188" s="6"/>
      <c r="E188" s="23">
        <v>41845</v>
      </c>
      <c r="F188" s="21">
        <v>103.26</v>
      </c>
      <c r="G188" s="12">
        <f t="shared" si="11"/>
        <v>1.5538945712037748E-2</v>
      </c>
      <c r="H188" s="21">
        <v>101.7</v>
      </c>
      <c r="I188" s="12">
        <f t="shared" si="12"/>
        <v>7.429420505200594E-3</v>
      </c>
      <c r="J188" s="21">
        <v>100.72</v>
      </c>
      <c r="K188" s="12">
        <f t="shared" si="13"/>
        <v>5.1896207584829941E-3</v>
      </c>
      <c r="L188" s="21">
        <v>99.9</v>
      </c>
      <c r="M188" s="12">
        <f t="shared" si="14"/>
        <v>4.4238890006033779E-3</v>
      </c>
    </row>
    <row r="189" spans="1:13" x14ac:dyDescent="0.25">
      <c r="A189" s="23">
        <v>41852</v>
      </c>
      <c r="B189" s="21">
        <v>2.7349999999999999</v>
      </c>
      <c r="C189" s="12">
        <f t="shared" si="10"/>
        <v>-1.6894320632638446E-2</v>
      </c>
      <c r="D189" s="6"/>
      <c r="E189" s="23">
        <v>41852</v>
      </c>
      <c r="F189" s="21">
        <v>99.79</v>
      </c>
      <c r="G189" s="12">
        <f t="shared" si="11"/>
        <v>-3.3604493511524294E-2</v>
      </c>
      <c r="H189" s="21">
        <v>98.67</v>
      </c>
      <c r="I189" s="12">
        <f t="shared" si="12"/>
        <v>-2.9793510324483786E-2</v>
      </c>
      <c r="J189" s="21">
        <v>97.93</v>
      </c>
      <c r="K189" s="12">
        <f t="shared" si="13"/>
        <v>-2.7700555996822796E-2</v>
      </c>
      <c r="L189" s="21">
        <v>97.29</v>
      </c>
      <c r="M189" s="12">
        <f t="shared" si="14"/>
        <v>-2.6126126126126119E-2</v>
      </c>
    </row>
    <row r="190" spans="1:13" x14ac:dyDescent="0.25">
      <c r="A190" s="23">
        <v>41859</v>
      </c>
      <c r="B190" s="21">
        <v>2.6880000000000002</v>
      </c>
      <c r="C190" s="12">
        <f t="shared" si="10"/>
        <v>-1.7184643510054737E-2</v>
      </c>
      <c r="D190" s="6"/>
      <c r="E190" s="23">
        <v>41859</v>
      </c>
      <c r="F190" s="21">
        <v>97.52</v>
      </c>
      <c r="G190" s="12">
        <f t="shared" si="11"/>
        <v>-2.2747770317667202E-2</v>
      </c>
      <c r="H190" s="21">
        <v>96.74</v>
      </c>
      <c r="I190" s="12">
        <f t="shared" si="12"/>
        <v>-1.9560149994932673E-2</v>
      </c>
      <c r="J190" s="21">
        <v>96.3</v>
      </c>
      <c r="K190" s="12">
        <f t="shared" si="13"/>
        <v>-1.6644542019810166E-2</v>
      </c>
      <c r="L190" s="21">
        <v>95.92</v>
      </c>
      <c r="M190" s="12">
        <f t="shared" si="14"/>
        <v>-1.4081611676431334E-2</v>
      </c>
    </row>
    <row r="191" spans="1:13" x14ac:dyDescent="0.25">
      <c r="A191" s="23">
        <v>41866</v>
      </c>
      <c r="B191" s="21">
        <v>2.6850000000000001</v>
      </c>
      <c r="C191" s="12">
        <f t="shared" si="10"/>
        <v>-1.1160714285714708E-3</v>
      </c>
      <c r="D191" s="6"/>
      <c r="E191" s="23">
        <v>41866</v>
      </c>
      <c r="F191" s="21">
        <v>97.19</v>
      </c>
      <c r="G191" s="12">
        <f t="shared" si="11"/>
        <v>-3.3839212469236905E-3</v>
      </c>
      <c r="H191" s="21">
        <v>95.97</v>
      </c>
      <c r="I191" s="12">
        <f t="shared" si="12"/>
        <v>-7.9594790159189174E-3</v>
      </c>
      <c r="J191" s="21">
        <v>95.47</v>
      </c>
      <c r="K191" s="12">
        <f t="shared" si="13"/>
        <v>-8.6188992731048627E-3</v>
      </c>
      <c r="L191" s="21">
        <v>95.1</v>
      </c>
      <c r="M191" s="12">
        <f t="shared" si="14"/>
        <v>-8.5487906588824786E-3</v>
      </c>
    </row>
    <row r="192" spans="1:13" x14ac:dyDescent="0.25">
      <c r="A192" s="23">
        <v>41873</v>
      </c>
      <c r="B192" s="21">
        <v>2.7040000000000002</v>
      </c>
      <c r="C192" s="12">
        <f t="shared" si="10"/>
        <v>7.0763500931099168E-3</v>
      </c>
      <c r="D192" s="6"/>
      <c r="E192" s="23">
        <v>41873</v>
      </c>
      <c r="F192" s="21">
        <v>94.91</v>
      </c>
      <c r="G192" s="12">
        <f t="shared" si="11"/>
        <v>-2.3459203621771799E-2</v>
      </c>
      <c r="H192" s="21">
        <v>93.32</v>
      </c>
      <c r="I192" s="12">
        <f t="shared" si="12"/>
        <v>-2.7612795665312138E-2</v>
      </c>
      <c r="J192" s="21">
        <v>92.86</v>
      </c>
      <c r="K192" s="12">
        <f t="shared" si="13"/>
        <v>-2.7338430920708069E-2</v>
      </c>
      <c r="L192" s="21">
        <v>92.62</v>
      </c>
      <c r="M192" s="12">
        <f t="shared" si="14"/>
        <v>-2.6077812828601367E-2</v>
      </c>
    </row>
    <row r="193" spans="1:13" x14ac:dyDescent="0.25">
      <c r="A193" s="23">
        <v>41880</v>
      </c>
      <c r="B193" s="21">
        <v>2.75</v>
      </c>
      <c r="C193" s="12">
        <f t="shared" si="10"/>
        <v>1.7011834319526558E-2</v>
      </c>
      <c r="D193" s="6"/>
      <c r="E193" s="23">
        <v>41880</v>
      </c>
      <c r="F193" s="21">
        <v>94.32</v>
      </c>
      <c r="G193" s="12">
        <f t="shared" si="11"/>
        <v>-6.2164155515752129E-3</v>
      </c>
      <c r="H193" s="21">
        <v>93.69</v>
      </c>
      <c r="I193" s="12">
        <f t="shared" si="12"/>
        <v>3.964852121731725E-3</v>
      </c>
      <c r="J193" s="21">
        <v>93.32</v>
      </c>
      <c r="K193" s="12">
        <f t="shared" si="13"/>
        <v>4.9536937325004712E-3</v>
      </c>
      <c r="L193" s="21">
        <v>93.16</v>
      </c>
      <c r="M193" s="12">
        <f t="shared" si="14"/>
        <v>5.8302742388252216E-3</v>
      </c>
    </row>
    <row r="194" spans="1:13" x14ac:dyDescent="0.25">
      <c r="A194" s="23">
        <v>41887</v>
      </c>
      <c r="B194" s="21">
        <v>2.7480000000000002</v>
      </c>
      <c r="C194" s="12">
        <f t="shared" si="10"/>
        <v>-7.2727272727264721E-4</v>
      </c>
      <c r="D194" s="6"/>
      <c r="E194" s="23">
        <v>41887</v>
      </c>
      <c r="F194" s="21">
        <v>94.04</v>
      </c>
      <c r="G194" s="12">
        <f t="shared" si="11"/>
        <v>-2.9686174724341281E-3</v>
      </c>
      <c r="H194" s="21">
        <v>93.3</v>
      </c>
      <c r="I194" s="12">
        <f t="shared" si="12"/>
        <v>-4.1626641050272238E-3</v>
      </c>
      <c r="J194" s="21">
        <v>92.89</v>
      </c>
      <c r="K194" s="12">
        <f t="shared" si="13"/>
        <v>-4.6078011144448415E-3</v>
      </c>
      <c r="L194" s="21">
        <v>92.72</v>
      </c>
      <c r="M194" s="12">
        <f t="shared" si="14"/>
        <v>-4.7230571060540762E-3</v>
      </c>
    </row>
    <row r="195" spans="1:13" x14ac:dyDescent="0.25">
      <c r="A195" s="23">
        <v>41894</v>
      </c>
      <c r="B195" s="21">
        <v>2.6909999999999998</v>
      </c>
      <c r="C195" s="12">
        <f t="shared" si="10"/>
        <v>-2.0742358078602759E-2</v>
      </c>
      <c r="D195" s="6"/>
      <c r="E195" s="23">
        <v>41894</v>
      </c>
      <c r="F195" s="21">
        <v>92.44</v>
      </c>
      <c r="G195" s="12">
        <f t="shared" si="11"/>
        <v>-1.7014036580178738E-2</v>
      </c>
      <c r="H195" s="21">
        <v>91.6</v>
      </c>
      <c r="I195" s="12">
        <f t="shared" si="12"/>
        <v>-1.822079314040732E-2</v>
      </c>
      <c r="J195" s="21">
        <v>91.14</v>
      </c>
      <c r="K195" s="12">
        <f t="shared" si="13"/>
        <v>-1.8839487565938208E-2</v>
      </c>
      <c r="L195" s="21">
        <v>90.96</v>
      </c>
      <c r="M195" s="12">
        <f t="shared" si="14"/>
        <v>-1.8981880931837846E-2</v>
      </c>
    </row>
    <row r="196" spans="1:13" x14ac:dyDescent="0.25">
      <c r="A196" s="23">
        <v>41901</v>
      </c>
      <c r="B196" s="21">
        <v>2.677</v>
      </c>
      <c r="C196" s="12">
        <f t="shared" si="10"/>
        <v>-5.2025269416572989E-3</v>
      </c>
      <c r="D196" s="6"/>
      <c r="E196" s="23">
        <v>41901</v>
      </c>
      <c r="F196" s="21">
        <v>93.54</v>
      </c>
      <c r="G196" s="12">
        <f t="shared" si="11"/>
        <v>1.1899610558200007E-2</v>
      </c>
      <c r="H196" s="21">
        <v>92.53</v>
      </c>
      <c r="I196" s="12">
        <f t="shared" si="12"/>
        <v>1.0152838427947673E-2</v>
      </c>
      <c r="J196" s="21">
        <v>91.9</v>
      </c>
      <c r="K196" s="12">
        <f t="shared" si="13"/>
        <v>8.3388193987272881E-3</v>
      </c>
      <c r="L196" s="21">
        <v>91.57</v>
      </c>
      <c r="M196" s="12">
        <f t="shared" si="14"/>
        <v>6.7062445030782701E-3</v>
      </c>
    </row>
    <row r="197" spans="1:13" x14ac:dyDescent="0.25">
      <c r="A197" s="23">
        <v>41908</v>
      </c>
      <c r="B197" s="21">
        <v>2.762</v>
      </c>
      <c r="C197" s="12">
        <f t="shared" ref="C197:C260" si="15">(B197-B196)/B196</f>
        <v>3.1751961150541637E-2</v>
      </c>
      <c r="D197" s="6"/>
      <c r="E197" s="23">
        <v>41908</v>
      </c>
      <c r="F197" s="21">
        <v>92.39</v>
      </c>
      <c r="G197" s="12">
        <f t="shared" ref="G197:G260" si="16">(F197-F196)/F196</f>
        <v>-1.2294205687406518E-2</v>
      </c>
      <c r="H197" s="21">
        <v>91.65</v>
      </c>
      <c r="I197" s="12">
        <f t="shared" ref="I197:I260" si="17">(H197-H196)/H196</f>
        <v>-9.5104290500377768E-3</v>
      </c>
      <c r="J197" s="21">
        <v>91.15</v>
      </c>
      <c r="K197" s="12">
        <f t="shared" ref="K197:K260" si="18">(J197-J196)/J196</f>
        <v>-8.1610446137105538E-3</v>
      </c>
      <c r="L197" s="21">
        <v>90.81</v>
      </c>
      <c r="M197" s="12">
        <f t="shared" ref="M197:M260" si="19">(L197-L196)/L196</f>
        <v>-8.2996614611771432E-3</v>
      </c>
    </row>
    <row r="198" spans="1:13" x14ac:dyDescent="0.25">
      <c r="A198" s="23">
        <v>41915</v>
      </c>
      <c r="B198" s="21">
        <v>2.6669999999999998</v>
      </c>
      <c r="C198" s="12">
        <f t="shared" si="15"/>
        <v>-3.4395365677045688E-2</v>
      </c>
      <c r="D198" s="6"/>
      <c r="E198" s="23">
        <v>41915</v>
      </c>
      <c r="F198" s="21">
        <v>91.44</v>
      </c>
      <c r="G198" s="12">
        <f t="shared" si="16"/>
        <v>-1.0282498105855643E-2</v>
      </c>
      <c r="H198" s="21">
        <v>90.41</v>
      </c>
      <c r="I198" s="12">
        <f t="shared" si="17"/>
        <v>-1.3529732678668947E-2</v>
      </c>
      <c r="J198" s="21">
        <v>89.72</v>
      </c>
      <c r="K198" s="12">
        <f t="shared" si="18"/>
        <v>-1.5688425671969354E-2</v>
      </c>
      <c r="L198" s="21">
        <v>89.2</v>
      </c>
      <c r="M198" s="12">
        <f t="shared" si="19"/>
        <v>-1.7729324964210983E-2</v>
      </c>
    </row>
    <row r="199" spans="1:13" x14ac:dyDescent="0.25">
      <c r="A199" s="23">
        <v>41922</v>
      </c>
      <c r="B199" s="21">
        <v>2.4830000000000001</v>
      </c>
      <c r="C199" s="12">
        <f t="shared" si="15"/>
        <v>-6.8991376077990149E-2</v>
      </c>
      <c r="D199" s="6"/>
      <c r="E199" s="23">
        <v>41922</v>
      </c>
      <c r="F199" s="21">
        <v>87.62</v>
      </c>
      <c r="G199" s="12">
        <f t="shared" si="16"/>
        <v>-4.1776027996500362E-2</v>
      </c>
      <c r="H199" s="21">
        <v>86.81</v>
      </c>
      <c r="I199" s="12">
        <f t="shared" si="17"/>
        <v>-3.9818604136710477E-2</v>
      </c>
      <c r="J199" s="21">
        <v>86.34</v>
      </c>
      <c r="K199" s="12">
        <f t="shared" si="18"/>
        <v>-3.7672759696834549E-2</v>
      </c>
      <c r="L199" s="21">
        <v>85.99</v>
      </c>
      <c r="M199" s="12">
        <f t="shared" si="19"/>
        <v>-3.5986547085201881E-2</v>
      </c>
    </row>
    <row r="200" spans="1:13" x14ac:dyDescent="0.25">
      <c r="A200" s="23">
        <v>41929</v>
      </c>
      <c r="B200" s="21">
        <v>2.331</v>
      </c>
      <c r="C200" s="12">
        <f t="shared" si="15"/>
        <v>-6.121627064035446E-2</v>
      </c>
      <c r="D200" s="6"/>
      <c r="E200" s="23">
        <v>41929</v>
      </c>
      <c r="F200" s="21">
        <v>82.96</v>
      </c>
      <c r="G200" s="12">
        <f t="shared" si="16"/>
        <v>-5.3184204519516214E-2</v>
      </c>
      <c r="H200" s="21">
        <v>82.23</v>
      </c>
      <c r="I200" s="12">
        <f t="shared" si="17"/>
        <v>-5.2758898744384268E-2</v>
      </c>
      <c r="J200" s="21">
        <v>81.75</v>
      </c>
      <c r="K200" s="12">
        <f t="shared" si="18"/>
        <v>-5.3161917998610184E-2</v>
      </c>
      <c r="L200" s="21">
        <v>81.36</v>
      </c>
      <c r="M200" s="12">
        <f t="shared" si="19"/>
        <v>-5.3843470170950064E-2</v>
      </c>
    </row>
    <row r="201" spans="1:13" x14ac:dyDescent="0.25">
      <c r="A201" s="23">
        <v>41936</v>
      </c>
      <c r="B201" s="21">
        <v>2.347</v>
      </c>
      <c r="C201" s="12">
        <f t="shared" si="15"/>
        <v>6.8640068640068701E-3</v>
      </c>
      <c r="D201" s="6"/>
      <c r="E201" s="23">
        <v>41936</v>
      </c>
      <c r="F201" s="21">
        <v>81.83</v>
      </c>
      <c r="G201" s="12">
        <f t="shared" si="16"/>
        <v>-1.3621022179363495E-2</v>
      </c>
      <c r="H201" s="21">
        <v>81.42</v>
      </c>
      <c r="I201" s="12">
        <f t="shared" si="17"/>
        <v>-9.8504195549069962E-3</v>
      </c>
      <c r="J201" s="21">
        <v>81.05</v>
      </c>
      <c r="K201" s="12">
        <f t="shared" si="18"/>
        <v>-8.5626911314985055E-3</v>
      </c>
      <c r="L201" s="21">
        <v>80.739999999999995</v>
      </c>
      <c r="M201" s="12">
        <f t="shared" si="19"/>
        <v>-7.6204523107178531E-3</v>
      </c>
    </row>
    <row r="202" spans="1:13" x14ac:dyDescent="0.25">
      <c r="A202" s="23">
        <v>41943</v>
      </c>
      <c r="B202" s="21">
        <v>2.302</v>
      </c>
      <c r="C202" s="12">
        <f t="shared" si="15"/>
        <v>-1.9173412867490382E-2</v>
      </c>
      <c r="D202" s="6"/>
      <c r="E202" s="23">
        <v>41943</v>
      </c>
      <c r="F202" s="21">
        <v>81.260000000000005</v>
      </c>
      <c r="G202" s="12">
        <f t="shared" si="16"/>
        <v>-6.9656605157032044E-3</v>
      </c>
      <c r="H202" s="21">
        <v>81.02</v>
      </c>
      <c r="I202" s="12">
        <f t="shared" si="17"/>
        <v>-4.9127978383690209E-3</v>
      </c>
      <c r="J202" s="21">
        <v>80.87</v>
      </c>
      <c r="K202" s="12">
        <f t="shared" si="18"/>
        <v>-2.2208513263416731E-3</v>
      </c>
      <c r="L202" s="21">
        <v>80.760000000000005</v>
      </c>
      <c r="M202" s="12">
        <f t="shared" si="19"/>
        <v>2.4770869457530631E-4</v>
      </c>
    </row>
    <row r="203" spans="1:13" x14ac:dyDescent="0.25">
      <c r="A203" s="23">
        <v>41950</v>
      </c>
      <c r="B203" s="21">
        <v>2.2130000000000001</v>
      </c>
      <c r="C203" s="12">
        <f t="shared" si="15"/>
        <v>-3.8662033014769753E-2</v>
      </c>
      <c r="D203" s="6"/>
      <c r="E203" s="23">
        <v>41950</v>
      </c>
      <c r="F203" s="21">
        <v>78.239999999999995</v>
      </c>
      <c r="G203" s="12">
        <f t="shared" si="16"/>
        <v>-3.7164656657642257E-2</v>
      </c>
      <c r="H203" s="21">
        <v>78.22</v>
      </c>
      <c r="I203" s="12">
        <f t="shared" si="17"/>
        <v>-3.4559368057269779E-2</v>
      </c>
      <c r="J203" s="21">
        <v>78.180000000000007</v>
      </c>
      <c r="K203" s="12">
        <f t="shared" si="18"/>
        <v>-3.3263262025472952E-2</v>
      </c>
      <c r="L203" s="21">
        <v>78.19</v>
      </c>
      <c r="M203" s="12">
        <f t="shared" si="19"/>
        <v>-3.1822684497275967E-2</v>
      </c>
    </row>
    <row r="204" spans="1:13" x14ac:dyDescent="0.25">
      <c r="A204" s="23">
        <v>41957</v>
      </c>
      <c r="B204" s="21">
        <v>2.1829999999999998</v>
      </c>
      <c r="C204" s="12">
        <f t="shared" si="15"/>
        <v>-1.3556258472661658E-2</v>
      </c>
      <c r="D204" s="6"/>
      <c r="E204" s="23">
        <v>41957</v>
      </c>
      <c r="F204" s="21">
        <v>76.510000000000005</v>
      </c>
      <c r="G204" s="12">
        <f t="shared" si="16"/>
        <v>-2.2111451942740157E-2</v>
      </c>
      <c r="H204" s="21">
        <v>76.48</v>
      </c>
      <c r="I204" s="12">
        <f t="shared" si="17"/>
        <v>-2.2244950140628932E-2</v>
      </c>
      <c r="J204" s="21">
        <v>76.44</v>
      </c>
      <c r="K204" s="12">
        <f t="shared" si="18"/>
        <v>-2.2256331542594127E-2</v>
      </c>
      <c r="L204" s="21">
        <v>76.459999999999994</v>
      </c>
      <c r="M204" s="12">
        <f t="shared" si="19"/>
        <v>-2.2125591507865507E-2</v>
      </c>
    </row>
    <row r="205" spans="1:13" x14ac:dyDescent="0.25">
      <c r="A205" s="23">
        <v>41964</v>
      </c>
      <c r="B205" s="21">
        <v>2.1509999999999998</v>
      </c>
      <c r="C205" s="12">
        <f t="shared" si="15"/>
        <v>-1.4658726523133317E-2</v>
      </c>
      <c r="D205" s="6"/>
      <c r="E205" s="23">
        <v>41964</v>
      </c>
      <c r="F205" s="21">
        <v>75.38</v>
      </c>
      <c r="G205" s="12">
        <f t="shared" si="16"/>
        <v>-1.4769311201150302E-2</v>
      </c>
      <c r="H205" s="21">
        <v>75.45</v>
      </c>
      <c r="I205" s="12">
        <f t="shared" si="17"/>
        <v>-1.3467573221757336E-2</v>
      </c>
      <c r="J205" s="21">
        <v>75.48</v>
      </c>
      <c r="K205" s="12">
        <f t="shared" si="18"/>
        <v>-1.2558869701726764E-2</v>
      </c>
      <c r="L205" s="21">
        <v>75.52</v>
      </c>
      <c r="M205" s="12">
        <f t="shared" si="19"/>
        <v>-1.2294009939837794E-2</v>
      </c>
    </row>
    <row r="206" spans="1:13" x14ac:dyDescent="0.25">
      <c r="A206" s="23">
        <v>41971</v>
      </c>
      <c r="B206" s="21">
        <v>2.1019999999999999</v>
      </c>
      <c r="C206" s="12">
        <f t="shared" si="15"/>
        <v>-2.2780102278010198E-2</v>
      </c>
      <c r="D206" s="6"/>
      <c r="E206" s="23">
        <v>41971</v>
      </c>
      <c r="F206" s="21">
        <v>72.430000000000007</v>
      </c>
      <c r="G206" s="12">
        <f t="shared" si="16"/>
        <v>-3.9135049084637684E-2</v>
      </c>
      <c r="H206" s="21">
        <v>72.52</v>
      </c>
      <c r="I206" s="12">
        <f t="shared" si="17"/>
        <v>-3.8833664678595184E-2</v>
      </c>
      <c r="J206" s="21">
        <v>72.61</v>
      </c>
      <c r="K206" s="12">
        <f t="shared" si="18"/>
        <v>-3.80233174350822E-2</v>
      </c>
      <c r="L206" s="21">
        <v>72.75</v>
      </c>
      <c r="M206" s="12">
        <f t="shared" si="19"/>
        <v>-3.6679025423728764E-2</v>
      </c>
    </row>
    <row r="207" spans="1:13" x14ac:dyDescent="0.25">
      <c r="A207" s="23">
        <v>41978</v>
      </c>
      <c r="B207" s="21">
        <v>1.9019999999999999</v>
      </c>
      <c r="C207" s="12">
        <f t="shared" si="15"/>
        <v>-9.5147478591817297E-2</v>
      </c>
      <c r="D207" s="6"/>
      <c r="E207" s="23">
        <v>41978</v>
      </c>
      <c r="F207" s="21">
        <v>67.180000000000007</v>
      </c>
      <c r="G207" s="12">
        <f t="shared" si="16"/>
        <v>-7.2483777440287167E-2</v>
      </c>
      <c r="H207" s="21">
        <v>67.28</v>
      </c>
      <c r="I207" s="12">
        <f t="shared" si="17"/>
        <v>-7.2255929398786473E-2</v>
      </c>
      <c r="J207" s="21">
        <v>67.41</v>
      </c>
      <c r="K207" s="12">
        <f t="shared" si="18"/>
        <v>-7.1615479961437856E-2</v>
      </c>
      <c r="L207" s="21">
        <v>67.61</v>
      </c>
      <c r="M207" s="12">
        <f t="shared" si="19"/>
        <v>-7.0652920962199314E-2</v>
      </c>
    </row>
    <row r="208" spans="1:13" x14ac:dyDescent="0.25">
      <c r="A208" s="23">
        <v>41985</v>
      </c>
      <c r="B208" s="21">
        <v>1.712</v>
      </c>
      <c r="C208" s="12">
        <f t="shared" si="15"/>
        <v>-9.9894847528916905E-2</v>
      </c>
      <c r="D208" s="6"/>
      <c r="E208" s="23">
        <v>41985</v>
      </c>
      <c r="F208" s="21">
        <v>61.11</v>
      </c>
      <c r="G208" s="12">
        <f t="shared" si="16"/>
        <v>-9.0354272104793187E-2</v>
      </c>
      <c r="H208" s="21">
        <v>61.32</v>
      </c>
      <c r="I208" s="12">
        <f t="shared" si="17"/>
        <v>-8.8585017835909649E-2</v>
      </c>
      <c r="J208" s="21">
        <v>61.58</v>
      </c>
      <c r="K208" s="12">
        <f t="shared" si="18"/>
        <v>-8.6485684616525713E-2</v>
      </c>
      <c r="L208" s="21">
        <v>61.85</v>
      </c>
      <c r="M208" s="12">
        <f t="shared" si="19"/>
        <v>-8.5194497855346815E-2</v>
      </c>
    </row>
    <row r="209" spans="1:13" x14ac:dyDescent="0.25">
      <c r="A209" s="23">
        <v>41992</v>
      </c>
      <c r="B209" s="21">
        <v>1.607</v>
      </c>
      <c r="C209" s="12">
        <f t="shared" si="15"/>
        <v>-6.1331775700934572E-2</v>
      </c>
      <c r="D209" s="6"/>
      <c r="E209" s="23">
        <v>41992</v>
      </c>
      <c r="F209" s="21">
        <v>55.79</v>
      </c>
      <c r="G209" s="12">
        <f t="shared" si="16"/>
        <v>-8.7056128293241705E-2</v>
      </c>
      <c r="H209" s="21">
        <v>56.16</v>
      </c>
      <c r="I209" s="12">
        <f t="shared" si="17"/>
        <v>-8.4148727984344487E-2</v>
      </c>
      <c r="J209" s="21">
        <v>56.5</v>
      </c>
      <c r="K209" s="12">
        <f t="shared" si="18"/>
        <v>-8.2494316336472862E-2</v>
      </c>
      <c r="L209" s="21">
        <v>56.85</v>
      </c>
      <c r="M209" s="12">
        <f t="shared" si="19"/>
        <v>-8.084074373484236E-2</v>
      </c>
    </row>
    <row r="210" spans="1:13" x14ac:dyDescent="0.25">
      <c r="A210" s="23">
        <v>41999</v>
      </c>
      <c r="B210" s="21">
        <v>1.59</v>
      </c>
      <c r="C210" s="12">
        <f t="shared" si="15"/>
        <v>-1.0578718108276231E-2</v>
      </c>
      <c r="D210" s="6"/>
      <c r="E210" s="23">
        <v>41999</v>
      </c>
      <c r="F210" s="21">
        <v>55.74</v>
      </c>
      <c r="G210" s="12">
        <f t="shared" si="16"/>
        <v>-8.9621796020787159E-4</v>
      </c>
      <c r="H210" s="21">
        <v>56.12</v>
      </c>
      <c r="I210" s="12">
        <f t="shared" si="17"/>
        <v>-7.1225071225069711E-4</v>
      </c>
      <c r="J210" s="21">
        <v>56.54</v>
      </c>
      <c r="K210" s="12">
        <f t="shared" si="18"/>
        <v>7.0796460176989645E-4</v>
      </c>
      <c r="L210" s="21">
        <v>57.01</v>
      </c>
      <c r="M210" s="12">
        <f t="shared" si="19"/>
        <v>2.8144239226032819E-3</v>
      </c>
    </row>
    <row r="211" spans="1:13" x14ac:dyDescent="0.25">
      <c r="A211" s="23">
        <v>42006</v>
      </c>
      <c r="B211" s="21">
        <v>1.514</v>
      </c>
      <c r="C211" s="12">
        <f t="shared" si="15"/>
        <v>-4.7798742138364818E-2</v>
      </c>
      <c r="D211" s="6"/>
      <c r="E211" s="23">
        <v>42006</v>
      </c>
      <c r="F211" s="21">
        <v>53.42</v>
      </c>
      <c r="G211" s="12">
        <f t="shared" si="16"/>
        <v>-4.1621815572299971E-2</v>
      </c>
      <c r="H211" s="21">
        <v>53.84</v>
      </c>
      <c r="I211" s="12">
        <f t="shared" si="17"/>
        <v>-4.0627227369921491E-2</v>
      </c>
      <c r="J211" s="21">
        <v>54.39</v>
      </c>
      <c r="K211" s="12">
        <f t="shared" si="18"/>
        <v>-3.8026176158471856E-2</v>
      </c>
      <c r="L211" s="21">
        <v>55.05</v>
      </c>
      <c r="M211" s="12">
        <f t="shared" si="19"/>
        <v>-3.4379933345027203E-2</v>
      </c>
    </row>
    <row r="212" spans="1:13" x14ac:dyDescent="0.25">
      <c r="A212" s="23">
        <v>42013</v>
      </c>
      <c r="B212" s="21">
        <v>1.3759999999999999</v>
      </c>
      <c r="C212" s="12">
        <f t="shared" si="15"/>
        <v>-9.1149273447820423E-2</v>
      </c>
      <c r="D212" s="6"/>
      <c r="E212" s="23">
        <v>42013</v>
      </c>
      <c r="F212" s="21">
        <v>48.75</v>
      </c>
      <c r="G212" s="12">
        <f t="shared" si="16"/>
        <v>-8.7420441782104105E-2</v>
      </c>
      <c r="H212" s="21">
        <v>49.27</v>
      </c>
      <c r="I212" s="12">
        <f t="shared" si="17"/>
        <v>-8.4881129271916794E-2</v>
      </c>
      <c r="J212" s="21">
        <v>49.95</v>
      </c>
      <c r="K212" s="12">
        <f t="shared" si="18"/>
        <v>-8.1632653061224442E-2</v>
      </c>
      <c r="L212" s="21">
        <v>50.74</v>
      </c>
      <c r="M212" s="12">
        <f t="shared" si="19"/>
        <v>-7.829246139872835E-2</v>
      </c>
    </row>
    <row r="213" spans="1:13" x14ac:dyDescent="0.25">
      <c r="A213" s="23">
        <v>42020</v>
      </c>
      <c r="B213" s="21">
        <v>1.325</v>
      </c>
      <c r="C213" s="12">
        <f t="shared" si="15"/>
        <v>-3.7063953488372048E-2</v>
      </c>
      <c r="D213" s="6"/>
      <c r="E213" s="23">
        <v>42020</v>
      </c>
      <c r="F213" s="21">
        <v>47.08</v>
      </c>
      <c r="G213" s="12">
        <f t="shared" si="16"/>
        <v>-3.425641025641029E-2</v>
      </c>
      <c r="H213" s="21">
        <v>47.62</v>
      </c>
      <c r="I213" s="12">
        <f t="shared" si="17"/>
        <v>-3.3488938502131228E-2</v>
      </c>
      <c r="J213" s="21">
        <v>48.34</v>
      </c>
      <c r="K213" s="12">
        <f t="shared" si="18"/>
        <v>-3.2232232232232219E-2</v>
      </c>
      <c r="L213" s="21">
        <v>49.14</v>
      </c>
      <c r="M213" s="12">
        <f t="shared" si="19"/>
        <v>-3.1533307055577484E-2</v>
      </c>
    </row>
    <row r="214" spans="1:13" x14ac:dyDescent="0.25">
      <c r="A214" s="23">
        <v>42027</v>
      </c>
      <c r="B214" s="21">
        <v>1.35</v>
      </c>
      <c r="C214" s="12">
        <f t="shared" si="15"/>
        <v>1.8867924528301987E-2</v>
      </c>
      <c r="D214" s="6"/>
      <c r="E214" s="23">
        <v>42027</v>
      </c>
      <c r="F214" s="21">
        <v>46.52</v>
      </c>
      <c r="G214" s="12">
        <f t="shared" si="16"/>
        <v>-1.1894647408665998E-2</v>
      </c>
      <c r="H214" s="21">
        <v>47.05</v>
      </c>
      <c r="I214" s="12">
        <f t="shared" si="17"/>
        <v>-1.196976060478791E-2</v>
      </c>
      <c r="J214" s="21">
        <v>47.89</v>
      </c>
      <c r="K214" s="12">
        <f t="shared" si="18"/>
        <v>-9.3090608191974105E-3</v>
      </c>
      <c r="L214" s="21">
        <v>48.8</v>
      </c>
      <c r="M214" s="12">
        <f t="shared" si="19"/>
        <v>-6.9190069190069887E-3</v>
      </c>
    </row>
    <row r="215" spans="1:13" x14ac:dyDescent="0.25">
      <c r="A215" s="23">
        <v>42034</v>
      </c>
      <c r="B215" s="21">
        <v>1.377</v>
      </c>
      <c r="C215" s="12">
        <f t="shared" si="15"/>
        <v>1.9999999999999934E-2</v>
      </c>
      <c r="D215" s="6"/>
      <c r="E215" s="23">
        <v>42034</v>
      </c>
      <c r="F215" s="21">
        <v>45.72</v>
      </c>
      <c r="G215" s="12">
        <f t="shared" si="16"/>
        <v>-1.7196904557179798E-2</v>
      </c>
      <c r="H215" s="21">
        <v>46.47</v>
      </c>
      <c r="I215" s="12">
        <f t="shared" si="17"/>
        <v>-1.2327311370882004E-2</v>
      </c>
      <c r="J215" s="21">
        <v>47.55</v>
      </c>
      <c r="K215" s="12">
        <f t="shared" si="18"/>
        <v>-7.0996032574650947E-3</v>
      </c>
      <c r="L215" s="21">
        <v>48.67</v>
      </c>
      <c r="M215" s="12">
        <f t="shared" si="19"/>
        <v>-2.6639344262294152E-3</v>
      </c>
    </row>
    <row r="216" spans="1:13" x14ac:dyDescent="0.25">
      <c r="A216" s="23">
        <v>42041</v>
      </c>
      <c r="B216" s="21">
        <v>1.5309999999999999</v>
      </c>
      <c r="C216" s="12">
        <f t="shared" si="15"/>
        <v>0.11183732752360197</v>
      </c>
      <c r="D216" s="6"/>
      <c r="E216" s="23">
        <v>42041</v>
      </c>
      <c r="F216" s="21">
        <v>50.65</v>
      </c>
      <c r="G216" s="12">
        <f t="shared" si="16"/>
        <v>0.10783027121609798</v>
      </c>
      <c r="H216" s="21">
        <v>51.48</v>
      </c>
      <c r="I216" s="12">
        <f t="shared" si="17"/>
        <v>0.10781149128469977</v>
      </c>
      <c r="J216" s="21">
        <v>52.65</v>
      </c>
      <c r="K216" s="12">
        <f t="shared" si="18"/>
        <v>0.1072555205047319</v>
      </c>
      <c r="L216" s="21">
        <v>53.87</v>
      </c>
      <c r="M216" s="12">
        <f t="shared" si="19"/>
        <v>0.10684199712348461</v>
      </c>
    </row>
    <row r="217" spans="1:13" x14ac:dyDescent="0.25">
      <c r="A217" s="23">
        <v>42048</v>
      </c>
      <c r="B217" s="21">
        <v>1.575</v>
      </c>
      <c r="C217" s="12">
        <f t="shared" si="15"/>
        <v>2.8739386022207734E-2</v>
      </c>
      <c r="D217" s="6"/>
      <c r="E217" s="23">
        <v>42048</v>
      </c>
      <c r="F217" s="21">
        <v>51.14</v>
      </c>
      <c r="G217" s="12">
        <f t="shared" si="16"/>
        <v>9.6742349457058646E-3</v>
      </c>
      <c r="H217" s="21">
        <v>52.04</v>
      </c>
      <c r="I217" s="12">
        <f t="shared" si="17"/>
        <v>1.0878010878010923E-2</v>
      </c>
      <c r="J217" s="21">
        <v>53.28</v>
      </c>
      <c r="K217" s="12">
        <f t="shared" si="18"/>
        <v>1.1965811965812015E-2</v>
      </c>
      <c r="L217" s="21">
        <v>54.56</v>
      </c>
      <c r="M217" s="12">
        <f t="shared" si="19"/>
        <v>1.2808613328383235E-2</v>
      </c>
    </row>
    <row r="218" spans="1:13" x14ac:dyDescent="0.25">
      <c r="A218" s="23">
        <v>42055</v>
      </c>
      <c r="B218" s="21">
        <v>1.6040000000000001</v>
      </c>
      <c r="C218" s="12">
        <f t="shared" si="15"/>
        <v>1.8412698412698499E-2</v>
      </c>
      <c r="D218" s="6"/>
      <c r="E218" s="23">
        <v>42055</v>
      </c>
      <c r="F218" s="21">
        <v>51.79</v>
      </c>
      <c r="G218" s="12">
        <f t="shared" si="16"/>
        <v>1.2710207274149366E-2</v>
      </c>
      <c r="H218" s="21">
        <v>52.44</v>
      </c>
      <c r="I218" s="12">
        <f t="shared" si="17"/>
        <v>7.6863950807071211E-3</v>
      </c>
      <c r="J218" s="21">
        <v>53.65</v>
      </c>
      <c r="K218" s="12">
        <f t="shared" si="18"/>
        <v>6.9444444444443964E-3</v>
      </c>
      <c r="L218" s="21">
        <v>54.91</v>
      </c>
      <c r="M218" s="12">
        <f t="shared" si="19"/>
        <v>6.4149560117301007E-3</v>
      </c>
    </row>
    <row r="219" spans="1:13" x14ac:dyDescent="0.25">
      <c r="A219" s="23">
        <v>42062</v>
      </c>
      <c r="B219" s="21">
        <v>1.718</v>
      </c>
      <c r="C219" s="12">
        <f t="shared" si="15"/>
        <v>7.107231920199493E-2</v>
      </c>
      <c r="D219" s="6"/>
      <c r="E219" s="23">
        <v>42062</v>
      </c>
      <c r="F219" s="21">
        <v>49.53</v>
      </c>
      <c r="G219" s="12">
        <f t="shared" si="16"/>
        <v>-4.363776790886268E-2</v>
      </c>
      <c r="H219" s="21">
        <v>51.43</v>
      </c>
      <c r="I219" s="12">
        <f t="shared" si="17"/>
        <v>-1.926010678871087E-2</v>
      </c>
      <c r="J219" s="21">
        <v>53.03</v>
      </c>
      <c r="K219" s="12">
        <f t="shared" si="18"/>
        <v>-1.1556383970177025E-2</v>
      </c>
      <c r="L219" s="21">
        <v>54.55</v>
      </c>
      <c r="M219" s="12">
        <f t="shared" si="19"/>
        <v>-6.5561828446548797E-3</v>
      </c>
    </row>
    <row r="220" spans="1:13" x14ac:dyDescent="0.25">
      <c r="A220" s="23">
        <v>42069</v>
      </c>
      <c r="B220" s="21">
        <v>1.726</v>
      </c>
      <c r="C220" s="12">
        <f t="shared" si="15"/>
        <v>4.6565774155995386E-3</v>
      </c>
      <c r="D220" s="6"/>
      <c r="E220" s="23">
        <v>42069</v>
      </c>
      <c r="F220" s="21">
        <v>50.4</v>
      </c>
      <c r="G220" s="12">
        <f t="shared" si="16"/>
        <v>1.7565112053300979E-2</v>
      </c>
      <c r="H220" s="21">
        <v>52.25</v>
      </c>
      <c r="I220" s="12">
        <f t="shared" si="17"/>
        <v>1.5944001555512354E-2</v>
      </c>
      <c r="J220" s="21">
        <v>53.71</v>
      </c>
      <c r="K220" s="12">
        <f t="shared" si="18"/>
        <v>1.2822930416745234E-2</v>
      </c>
      <c r="L220" s="21">
        <v>55.03</v>
      </c>
      <c r="M220" s="12">
        <f t="shared" si="19"/>
        <v>8.7992667277727588E-3</v>
      </c>
    </row>
    <row r="221" spans="1:13" x14ac:dyDescent="0.25">
      <c r="A221" s="23">
        <v>42076</v>
      </c>
      <c r="B221" s="21">
        <v>1.6279999999999999</v>
      </c>
      <c r="C221" s="12">
        <f t="shared" si="15"/>
        <v>-5.677867902665127E-2</v>
      </c>
      <c r="D221" s="6"/>
      <c r="E221" s="23">
        <v>42076</v>
      </c>
      <c r="F221" s="21">
        <v>47.67</v>
      </c>
      <c r="G221" s="12">
        <f t="shared" si="16"/>
        <v>-5.4166666666666606E-2</v>
      </c>
      <c r="H221" s="21">
        <v>49.59</v>
      </c>
      <c r="I221" s="12">
        <f t="shared" si="17"/>
        <v>-5.0909090909090841E-2</v>
      </c>
      <c r="J221" s="21">
        <v>51.14</v>
      </c>
      <c r="K221" s="12">
        <f t="shared" si="18"/>
        <v>-4.7849562465090305E-2</v>
      </c>
      <c r="L221" s="21">
        <v>52.42</v>
      </c>
      <c r="M221" s="12">
        <f t="shared" si="19"/>
        <v>-4.7428675268035604E-2</v>
      </c>
    </row>
    <row r="222" spans="1:13" x14ac:dyDescent="0.25">
      <c r="A222" s="23">
        <v>42083</v>
      </c>
      <c r="B222" s="21">
        <v>1.575</v>
      </c>
      <c r="C222" s="12">
        <f t="shared" si="15"/>
        <v>-3.2555282555282519E-2</v>
      </c>
      <c r="D222" s="6"/>
      <c r="E222" s="23">
        <v>42083</v>
      </c>
      <c r="F222" s="21">
        <v>44.34</v>
      </c>
      <c r="G222" s="12">
        <f t="shared" si="16"/>
        <v>-6.9855254877281267E-2</v>
      </c>
      <c r="H222" s="21">
        <v>46.01</v>
      </c>
      <c r="I222" s="12">
        <f t="shared" si="17"/>
        <v>-7.2191974188344527E-2</v>
      </c>
      <c r="J222" s="21">
        <v>47.91</v>
      </c>
      <c r="K222" s="12">
        <f t="shared" si="18"/>
        <v>-6.3159953070003994E-2</v>
      </c>
      <c r="L222" s="21">
        <v>49.45</v>
      </c>
      <c r="M222" s="12">
        <f t="shared" si="19"/>
        <v>-5.6657764212132748E-2</v>
      </c>
    </row>
    <row r="223" spans="1:13" x14ac:dyDescent="0.25">
      <c r="A223" s="23">
        <v>42090</v>
      </c>
      <c r="B223" s="21">
        <v>1.6539999999999999</v>
      </c>
      <c r="C223" s="12">
        <f t="shared" si="15"/>
        <v>5.0158730158730132E-2</v>
      </c>
      <c r="D223" s="6"/>
      <c r="E223" s="23">
        <v>42090</v>
      </c>
      <c r="F223" s="21">
        <v>48.89</v>
      </c>
      <c r="G223" s="12">
        <f t="shared" si="16"/>
        <v>0.10261614794767697</v>
      </c>
      <c r="H223" s="21">
        <v>50.52</v>
      </c>
      <c r="I223" s="12">
        <f t="shared" si="17"/>
        <v>9.8022169093675407E-2</v>
      </c>
      <c r="J223" s="21">
        <v>51.85</v>
      </c>
      <c r="K223" s="12">
        <f t="shared" si="18"/>
        <v>8.2237528699645276E-2</v>
      </c>
      <c r="L223" s="21">
        <v>52.88</v>
      </c>
      <c r="M223" s="12">
        <f t="shared" si="19"/>
        <v>6.9362992922143568E-2</v>
      </c>
    </row>
    <row r="224" spans="1:13" x14ac:dyDescent="0.25">
      <c r="A224" s="23">
        <v>42097</v>
      </c>
      <c r="B224" s="21">
        <v>1.633</v>
      </c>
      <c r="C224" s="12">
        <f t="shared" si="15"/>
        <v>-1.2696493349455809E-2</v>
      </c>
      <c r="D224" s="6"/>
      <c r="E224" s="23">
        <v>42097</v>
      </c>
      <c r="F224" s="21">
        <v>48.88</v>
      </c>
      <c r="G224" s="12">
        <f t="shared" si="16"/>
        <v>-2.0454080589073451E-4</v>
      </c>
      <c r="H224" s="21">
        <v>50.53</v>
      </c>
      <c r="I224" s="12">
        <f t="shared" si="17"/>
        <v>1.9794140934279513E-4</v>
      </c>
      <c r="J224" s="21">
        <v>51.86</v>
      </c>
      <c r="K224" s="12">
        <f t="shared" si="18"/>
        <v>1.9286403085820656E-4</v>
      </c>
      <c r="L224" s="21">
        <v>52.83</v>
      </c>
      <c r="M224" s="12">
        <f t="shared" si="19"/>
        <v>-9.4553706505303065E-4</v>
      </c>
    </row>
    <row r="225" spans="1:13" x14ac:dyDescent="0.25">
      <c r="A225" s="23">
        <v>42104</v>
      </c>
      <c r="B225" s="21">
        <v>1.716</v>
      </c>
      <c r="C225" s="12">
        <f t="shared" si="15"/>
        <v>5.0826699326393117E-2</v>
      </c>
      <c r="D225" s="6"/>
      <c r="E225" s="23">
        <v>42104</v>
      </c>
      <c r="F225" s="21">
        <v>51.79</v>
      </c>
      <c r="G225" s="12">
        <f t="shared" si="16"/>
        <v>5.9533551554828076E-2</v>
      </c>
      <c r="H225" s="21">
        <v>53.33</v>
      </c>
      <c r="I225" s="12">
        <f t="shared" si="17"/>
        <v>5.5412626162675581E-2</v>
      </c>
      <c r="J225" s="21">
        <v>54.44</v>
      </c>
      <c r="K225" s="12">
        <f t="shared" si="18"/>
        <v>4.9749325106054731E-2</v>
      </c>
      <c r="L225" s="21">
        <v>55.14</v>
      </c>
      <c r="M225" s="12">
        <f t="shared" si="19"/>
        <v>4.3725156161272052E-2</v>
      </c>
    </row>
    <row r="226" spans="1:13" x14ac:dyDescent="0.25">
      <c r="A226" s="23">
        <v>42111</v>
      </c>
      <c r="B226" s="21">
        <v>1.7769999999999999</v>
      </c>
      <c r="C226" s="12">
        <f t="shared" si="15"/>
        <v>3.5547785547785517E-2</v>
      </c>
      <c r="D226" s="6"/>
      <c r="E226" s="23">
        <v>42111</v>
      </c>
      <c r="F226" s="21">
        <v>54.81</v>
      </c>
      <c r="G226" s="12">
        <f t="shared" si="16"/>
        <v>5.8312415524232539E-2</v>
      </c>
      <c r="H226" s="21">
        <v>56.35</v>
      </c>
      <c r="I226" s="12">
        <f t="shared" si="17"/>
        <v>5.6628539283705294E-2</v>
      </c>
      <c r="J226" s="21">
        <v>57.49</v>
      </c>
      <c r="K226" s="12">
        <f t="shared" si="18"/>
        <v>5.6024981631153645E-2</v>
      </c>
      <c r="L226" s="21">
        <v>58.13</v>
      </c>
      <c r="M226" s="12">
        <f t="shared" si="19"/>
        <v>5.422560754443239E-2</v>
      </c>
    </row>
    <row r="227" spans="1:13" x14ac:dyDescent="0.25">
      <c r="A227" s="23">
        <v>42118</v>
      </c>
      <c r="B227" s="21">
        <v>1.847</v>
      </c>
      <c r="C227" s="12">
        <f t="shared" si="15"/>
        <v>3.9392234102419849E-2</v>
      </c>
      <c r="D227" s="6"/>
      <c r="E227" s="23">
        <v>42118</v>
      </c>
      <c r="F227" s="21">
        <v>56.54</v>
      </c>
      <c r="G227" s="12">
        <f t="shared" si="16"/>
        <v>3.1563583287721159E-2</v>
      </c>
      <c r="H227" s="21">
        <v>58.04</v>
      </c>
      <c r="I227" s="12">
        <f t="shared" si="17"/>
        <v>2.9991126885536783E-2</v>
      </c>
      <c r="J227" s="21">
        <v>59.08</v>
      </c>
      <c r="K227" s="12">
        <f t="shared" si="18"/>
        <v>2.7656983823273546E-2</v>
      </c>
      <c r="L227" s="21">
        <v>59.74</v>
      </c>
      <c r="M227" s="12">
        <f t="shared" si="19"/>
        <v>2.769654223292619E-2</v>
      </c>
    </row>
    <row r="228" spans="1:13" x14ac:dyDescent="0.25">
      <c r="A228" s="23">
        <v>42125</v>
      </c>
      <c r="B228" s="21">
        <v>1.9239999999999999</v>
      </c>
      <c r="C228" s="12">
        <f t="shared" si="15"/>
        <v>4.1689225771521364E-2</v>
      </c>
      <c r="D228" s="6"/>
      <c r="E228" s="23">
        <v>42125</v>
      </c>
      <c r="F228" s="21">
        <v>58.28</v>
      </c>
      <c r="G228" s="12">
        <f t="shared" si="16"/>
        <v>3.0774672798019136E-2</v>
      </c>
      <c r="H228" s="21">
        <v>59.62</v>
      </c>
      <c r="I228" s="12">
        <f t="shared" si="17"/>
        <v>2.7222605099931053E-2</v>
      </c>
      <c r="J228" s="21">
        <v>60.35</v>
      </c>
      <c r="K228" s="12">
        <f t="shared" si="18"/>
        <v>2.1496276235612781E-2</v>
      </c>
      <c r="L228" s="21">
        <v>60.9</v>
      </c>
      <c r="M228" s="12">
        <f t="shared" si="19"/>
        <v>1.9417475728155283E-2</v>
      </c>
    </row>
    <row r="229" spans="1:13" x14ac:dyDescent="0.25">
      <c r="A229" s="23">
        <v>42132</v>
      </c>
      <c r="B229" s="21">
        <v>1.9219999999999999</v>
      </c>
      <c r="C229" s="12">
        <f t="shared" si="15"/>
        <v>-1.0395010395010404E-3</v>
      </c>
      <c r="D229" s="6"/>
      <c r="E229" s="23">
        <v>42132</v>
      </c>
      <c r="F229" s="21">
        <v>59.72</v>
      </c>
      <c r="G229" s="12">
        <f t="shared" si="16"/>
        <v>2.4708304735758368E-2</v>
      </c>
      <c r="H229" s="21">
        <v>60.79</v>
      </c>
      <c r="I229" s="12">
        <f t="shared" si="17"/>
        <v>1.9624287151962457E-2</v>
      </c>
      <c r="J229" s="21">
        <v>61.35</v>
      </c>
      <c r="K229" s="12">
        <f t="shared" si="18"/>
        <v>1.6570008285004142E-2</v>
      </c>
      <c r="L229" s="21">
        <v>61.75</v>
      </c>
      <c r="M229" s="12">
        <f t="shared" si="19"/>
        <v>1.3957307060755359E-2</v>
      </c>
    </row>
    <row r="230" spans="1:13" x14ac:dyDescent="0.25">
      <c r="A230" s="23">
        <v>42139</v>
      </c>
      <c r="B230" s="21">
        <v>1.9370000000000001</v>
      </c>
      <c r="C230" s="12">
        <f t="shared" si="15"/>
        <v>7.804370447450637E-3</v>
      </c>
      <c r="D230" s="6"/>
      <c r="E230" s="23">
        <v>42139</v>
      </c>
      <c r="F230" s="21">
        <v>60.01</v>
      </c>
      <c r="G230" s="12">
        <f t="shared" si="16"/>
        <v>4.8559946416610713E-3</v>
      </c>
      <c r="H230" s="21">
        <v>60.98</v>
      </c>
      <c r="I230" s="12">
        <f t="shared" si="17"/>
        <v>3.1255140648132544E-3</v>
      </c>
      <c r="J230" s="21">
        <v>61.49</v>
      </c>
      <c r="K230" s="12">
        <f t="shared" si="18"/>
        <v>2.2819885900570588E-3</v>
      </c>
      <c r="L230" s="21">
        <v>61.84</v>
      </c>
      <c r="M230" s="12">
        <f t="shared" si="19"/>
        <v>1.4574898785425653E-3</v>
      </c>
    </row>
    <row r="231" spans="1:13" x14ac:dyDescent="0.25">
      <c r="A231" s="23">
        <v>42146</v>
      </c>
      <c r="B231" s="21">
        <v>1.96</v>
      </c>
      <c r="C231" s="12">
        <f t="shared" si="15"/>
        <v>1.1874032008260149E-2</v>
      </c>
      <c r="D231" s="6"/>
      <c r="E231" s="23">
        <v>42146</v>
      </c>
      <c r="F231" s="21">
        <v>59.22</v>
      </c>
      <c r="G231" s="12">
        <f t="shared" si="16"/>
        <v>-1.3164472587902003E-2</v>
      </c>
      <c r="H231" s="21">
        <v>59.8</v>
      </c>
      <c r="I231" s="12">
        <f t="shared" si="17"/>
        <v>-1.9350606756313542E-2</v>
      </c>
      <c r="J231" s="21">
        <v>60.14</v>
      </c>
      <c r="K231" s="12">
        <f t="shared" si="18"/>
        <v>-2.1954789396649885E-2</v>
      </c>
      <c r="L231" s="21">
        <v>60.41</v>
      </c>
      <c r="M231" s="12">
        <f t="shared" si="19"/>
        <v>-2.3124191461837109E-2</v>
      </c>
    </row>
    <row r="232" spans="1:13" x14ac:dyDescent="0.25">
      <c r="A232" s="23">
        <v>42153</v>
      </c>
      <c r="B232" s="21">
        <v>1.93</v>
      </c>
      <c r="C232" s="12">
        <f t="shared" si="15"/>
        <v>-1.5306122448979605E-2</v>
      </c>
      <c r="D232" s="6"/>
      <c r="E232" s="23">
        <v>42153</v>
      </c>
      <c r="F232" s="21">
        <v>58.38</v>
      </c>
      <c r="G232" s="12">
        <f t="shared" si="16"/>
        <v>-1.4184397163120505E-2</v>
      </c>
      <c r="H232" s="21">
        <v>58.74</v>
      </c>
      <c r="I232" s="12">
        <f t="shared" si="17"/>
        <v>-1.7725752508361125E-2</v>
      </c>
      <c r="J232" s="21">
        <v>58.95</v>
      </c>
      <c r="K232" s="12">
        <f t="shared" si="18"/>
        <v>-1.978716328566674E-2</v>
      </c>
      <c r="L232" s="21">
        <v>59.14</v>
      </c>
      <c r="M232" s="12">
        <f t="shared" si="19"/>
        <v>-2.1023009435523855E-2</v>
      </c>
    </row>
    <row r="233" spans="1:13" x14ac:dyDescent="0.25">
      <c r="A233" s="23">
        <v>42160</v>
      </c>
      <c r="B233" s="21">
        <v>1.9750000000000001</v>
      </c>
      <c r="C233" s="12">
        <f t="shared" si="15"/>
        <v>2.3316062176165882E-2</v>
      </c>
      <c r="D233" s="6"/>
      <c r="E233" s="23">
        <v>42160</v>
      </c>
      <c r="F233" s="21">
        <v>59.65</v>
      </c>
      <c r="G233" s="12">
        <f t="shared" si="16"/>
        <v>2.1754025351147583E-2</v>
      </c>
      <c r="H233" s="21">
        <v>59.97</v>
      </c>
      <c r="I233" s="12">
        <f t="shared" si="17"/>
        <v>2.0939734422880437E-2</v>
      </c>
      <c r="J233" s="21">
        <v>60.19</v>
      </c>
      <c r="K233" s="12">
        <f t="shared" si="18"/>
        <v>2.103477523324843E-2</v>
      </c>
      <c r="L233" s="21">
        <v>60.36</v>
      </c>
      <c r="M233" s="12">
        <f t="shared" si="19"/>
        <v>2.0629015894487637E-2</v>
      </c>
    </row>
    <row r="234" spans="1:13" x14ac:dyDescent="0.25">
      <c r="A234" s="23">
        <v>42167</v>
      </c>
      <c r="B234" s="21">
        <v>2.0409999999999999</v>
      </c>
      <c r="C234" s="12">
        <f t="shared" si="15"/>
        <v>3.341772151898726E-2</v>
      </c>
      <c r="D234" s="6"/>
      <c r="E234" s="23">
        <v>42167</v>
      </c>
      <c r="F234" s="21">
        <v>60.09</v>
      </c>
      <c r="G234" s="12">
        <f t="shared" si="16"/>
        <v>7.376362112321959E-3</v>
      </c>
      <c r="H234" s="21">
        <v>60.53</v>
      </c>
      <c r="I234" s="12">
        <f t="shared" si="17"/>
        <v>9.3380023345006214E-3</v>
      </c>
      <c r="J234" s="21">
        <v>60.9</v>
      </c>
      <c r="K234" s="12">
        <f t="shared" si="18"/>
        <v>1.1795979398571205E-2</v>
      </c>
      <c r="L234" s="21">
        <v>61.1</v>
      </c>
      <c r="M234" s="12">
        <f t="shared" si="19"/>
        <v>1.2259774685222035E-2</v>
      </c>
    </row>
    <row r="235" spans="1:13" x14ac:dyDescent="0.25">
      <c r="A235" s="23">
        <v>42174</v>
      </c>
      <c r="B235" s="21">
        <v>2.0489999999999999</v>
      </c>
      <c r="C235" s="12">
        <f t="shared" si="15"/>
        <v>3.919647231749146E-3</v>
      </c>
      <c r="D235" s="6"/>
      <c r="E235" s="23">
        <v>42174</v>
      </c>
      <c r="F235" s="21">
        <v>59.89</v>
      </c>
      <c r="G235" s="12">
        <f t="shared" si="16"/>
        <v>-3.3283408221002303E-3</v>
      </c>
      <c r="H235" s="21">
        <v>60.31</v>
      </c>
      <c r="I235" s="12">
        <f t="shared" si="17"/>
        <v>-3.6345613745250101E-3</v>
      </c>
      <c r="J235" s="21">
        <v>60.68</v>
      </c>
      <c r="K235" s="12">
        <f t="shared" si="18"/>
        <v>-3.6124794745484214E-3</v>
      </c>
      <c r="L235" s="21">
        <v>60.96</v>
      </c>
      <c r="M235" s="12">
        <f t="shared" si="19"/>
        <v>-2.2913256955810241E-3</v>
      </c>
    </row>
    <row r="236" spans="1:13" x14ac:dyDescent="0.25">
      <c r="A236" s="23">
        <v>42181</v>
      </c>
      <c r="B236" s="21">
        <v>1.976</v>
      </c>
      <c r="C236" s="12">
        <f t="shared" si="15"/>
        <v>-3.5627135187896515E-2</v>
      </c>
      <c r="D236" s="6"/>
      <c r="E236" s="23">
        <v>42181</v>
      </c>
      <c r="F236" s="21">
        <v>60.06</v>
      </c>
      <c r="G236" s="12">
        <f t="shared" si="16"/>
        <v>2.8385373184171264E-3</v>
      </c>
      <c r="H236" s="21">
        <v>60.45</v>
      </c>
      <c r="I236" s="12">
        <f t="shared" si="17"/>
        <v>2.3213397446526372E-3</v>
      </c>
      <c r="J236" s="21">
        <v>60.74</v>
      </c>
      <c r="K236" s="12">
        <f t="shared" si="18"/>
        <v>9.8879367172053853E-4</v>
      </c>
      <c r="L236" s="21">
        <v>61.07</v>
      </c>
      <c r="M236" s="12">
        <f t="shared" si="19"/>
        <v>1.8044619422572085E-3</v>
      </c>
    </row>
    <row r="237" spans="1:13" x14ac:dyDescent="0.25">
      <c r="A237" s="23">
        <v>42188</v>
      </c>
      <c r="B237" s="21">
        <v>1.958</v>
      </c>
      <c r="C237" s="12">
        <f t="shared" si="15"/>
        <v>-9.1093117408906962E-3</v>
      </c>
      <c r="D237" s="6"/>
      <c r="E237" s="23">
        <v>42188</v>
      </c>
      <c r="F237" s="21">
        <v>57.92</v>
      </c>
      <c r="G237" s="12">
        <f t="shared" si="16"/>
        <v>-3.5631035631035639E-2</v>
      </c>
      <c r="H237" s="21">
        <v>58.3</v>
      </c>
      <c r="I237" s="12">
        <f t="shared" si="17"/>
        <v>-3.5566583953680821E-2</v>
      </c>
      <c r="J237" s="21">
        <v>58.59</v>
      </c>
      <c r="K237" s="12">
        <f t="shared" si="18"/>
        <v>-3.5396773131379629E-2</v>
      </c>
      <c r="L237" s="21">
        <v>58.97</v>
      </c>
      <c r="M237" s="12">
        <f t="shared" si="19"/>
        <v>-3.43867692811528E-2</v>
      </c>
    </row>
    <row r="238" spans="1:13" x14ac:dyDescent="0.25">
      <c r="A238" s="23">
        <v>42195</v>
      </c>
      <c r="B238" s="21">
        <v>1.952</v>
      </c>
      <c r="C238" s="12">
        <f t="shared" si="15"/>
        <v>-3.0643513789581234E-3</v>
      </c>
      <c r="D238" s="6"/>
      <c r="E238" s="23">
        <v>42195</v>
      </c>
      <c r="F238" s="21">
        <v>52.41</v>
      </c>
      <c r="G238" s="12">
        <f t="shared" si="16"/>
        <v>-9.5131215469613339E-2</v>
      </c>
      <c r="H238" s="21">
        <v>52.82</v>
      </c>
      <c r="I238" s="12">
        <f t="shared" si="17"/>
        <v>-9.3996569468267538E-2</v>
      </c>
      <c r="J238" s="21">
        <v>53.16</v>
      </c>
      <c r="K238" s="12">
        <f t="shared" si="18"/>
        <v>-9.2677931387608922E-2</v>
      </c>
      <c r="L238" s="21">
        <v>53.62</v>
      </c>
      <c r="M238" s="12">
        <f t="shared" si="19"/>
        <v>-9.0724096998473822E-2</v>
      </c>
    </row>
    <row r="239" spans="1:13" x14ac:dyDescent="0.25">
      <c r="A239" s="23">
        <v>42202</v>
      </c>
      <c r="B239" s="21">
        <v>1.8560000000000001</v>
      </c>
      <c r="C239" s="12">
        <f t="shared" si="15"/>
        <v>-4.9180327868852389E-2</v>
      </c>
      <c r="D239" s="6"/>
      <c r="E239" s="23">
        <v>42202</v>
      </c>
      <c r="F239" s="21">
        <v>51.69</v>
      </c>
      <c r="G239" s="12">
        <f t="shared" si="16"/>
        <v>-1.3737836290784181E-2</v>
      </c>
      <c r="H239" s="21">
        <v>52.09</v>
      </c>
      <c r="I239" s="12">
        <f t="shared" si="17"/>
        <v>-1.3820522529344886E-2</v>
      </c>
      <c r="J239" s="21">
        <v>52.48</v>
      </c>
      <c r="K239" s="12">
        <f t="shared" si="18"/>
        <v>-1.2791572610985699E-2</v>
      </c>
      <c r="L239" s="21">
        <v>53.02</v>
      </c>
      <c r="M239" s="12">
        <f t="shared" si="19"/>
        <v>-1.118985453189098E-2</v>
      </c>
    </row>
    <row r="240" spans="1:13" x14ac:dyDescent="0.25">
      <c r="A240" s="23">
        <v>42209</v>
      </c>
      <c r="B240" s="21">
        <v>1.823</v>
      </c>
      <c r="C240" s="12">
        <f t="shared" si="15"/>
        <v>-1.7780172413793177E-2</v>
      </c>
      <c r="D240" s="6"/>
      <c r="E240" s="23">
        <v>42209</v>
      </c>
      <c r="F240" s="21">
        <v>49.26</v>
      </c>
      <c r="G240" s="12">
        <f t="shared" si="16"/>
        <v>-4.7011027278003478E-2</v>
      </c>
      <c r="H240" s="21">
        <v>49.7</v>
      </c>
      <c r="I240" s="12">
        <f t="shared" si="17"/>
        <v>-4.5882127087732781E-2</v>
      </c>
      <c r="J240" s="21">
        <v>50.27</v>
      </c>
      <c r="K240" s="12">
        <f t="shared" si="18"/>
        <v>-4.2111280487804763E-2</v>
      </c>
      <c r="L240" s="21">
        <v>50.92</v>
      </c>
      <c r="M240" s="12">
        <f t="shared" si="19"/>
        <v>-3.9607695209354983E-2</v>
      </c>
    </row>
    <row r="241" spans="1:13" x14ac:dyDescent="0.25">
      <c r="A241" s="23">
        <v>42216</v>
      </c>
      <c r="B241" s="21">
        <v>1.7470000000000001</v>
      </c>
      <c r="C241" s="12">
        <f t="shared" si="15"/>
        <v>-4.1689522764673533E-2</v>
      </c>
      <c r="D241" s="6"/>
      <c r="E241" s="23">
        <v>42216</v>
      </c>
      <c r="F241" s="21">
        <v>47.96</v>
      </c>
      <c r="G241" s="12">
        <f t="shared" si="16"/>
        <v>-2.6390580592772984E-2</v>
      </c>
      <c r="H241" s="21">
        <v>48.37</v>
      </c>
      <c r="I241" s="12">
        <f t="shared" si="17"/>
        <v>-2.6760563380281797E-2</v>
      </c>
      <c r="J241" s="21">
        <v>49</v>
      </c>
      <c r="K241" s="12">
        <f t="shared" si="18"/>
        <v>-2.5263576685896221E-2</v>
      </c>
      <c r="L241" s="21">
        <v>49.67</v>
      </c>
      <c r="M241" s="12">
        <f t="shared" si="19"/>
        <v>-2.4548311076197957E-2</v>
      </c>
    </row>
    <row r="242" spans="1:13" x14ac:dyDescent="0.25">
      <c r="A242" s="23">
        <v>42223</v>
      </c>
      <c r="B242" s="21">
        <v>1.6950000000000001</v>
      </c>
      <c r="C242" s="12">
        <f t="shared" si="15"/>
        <v>-2.9765311963365796E-2</v>
      </c>
      <c r="D242" s="6"/>
      <c r="E242" s="23">
        <v>42223</v>
      </c>
      <c r="F242" s="21">
        <v>44.92</v>
      </c>
      <c r="G242" s="12">
        <f t="shared" si="16"/>
        <v>-6.3386155129274382E-2</v>
      </c>
      <c r="H242" s="21">
        <v>45.34</v>
      </c>
      <c r="I242" s="12">
        <f t="shared" si="17"/>
        <v>-6.2642133553855575E-2</v>
      </c>
      <c r="J242" s="21">
        <v>46</v>
      </c>
      <c r="K242" s="12">
        <f t="shared" si="18"/>
        <v>-6.1224489795918366E-2</v>
      </c>
      <c r="L242" s="21">
        <v>46.69</v>
      </c>
      <c r="M242" s="12">
        <f t="shared" si="19"/>
        <v>-5.9995973424602451E-2</v>
      </c>
    </row>
    <row r="243" spans="1:13" x14ac:dyDescent="0.25">
      <c r="A243" s="23">
        <v>42230</v>
      </c>
      <c r="B243" s="21">
        <v>1.724</v>
      </c>
      <c r="C243" s="12">
        <f t="shared" si="15"/>
        <v>1.7109144542772809E-2</v>
      </c>
      <c r="D243" s="6"/>
      <c r="E243" s="23">
        <v>42230</v>
      </c>
      <c r="F243" s="21">
        <v>43.21</v>
      </c>
      <c r="G243" s="12">
        <f t="shared" si="16"/>
        <v>-3.8067675868210166E-2</v>
      </c>
      <c r="H243" s="21">
        <v>43.93</v>
      </c>
      <c r="I243" s="12">
        <f t="shared" si="17"/>
        <v>-3.1098367887075509E-2</v>
      </c>
      <c r="J243" s="21">
        <v>44.98</v>
      </c>
      <c r="K243" s="12">
        <f t="shared" si="18"/>
        <v>-2.2173913043478329E-2</v>
      </c>
      <c r="L243" s="21">
        <v>45.87</v>
      </c>
      <c r="M243" s="12">
        <f t="shared" si="19"/>
        <v>-1.7562647247804677E-2</v>
      </c>
    </row>
    <row r="244" spans="1:13" x14ac:dyDescent="0.25">
      <c r="A244" s="23">
        <v>42237</v>
      </c>
      <c r="B244" s="21">
        <v>1.593</v>
      </c>
      <c r="C244" s="12">
        <f t="shared" si="15"/>
        <v>-7.5986078886310912E-2</v>
      </c>
      <c r="D244" s="6"/>
      <c r="E244" s="23">
        <v>42237</v>
      </c>
      <c r="F244" s="21">
        <v>41.38</v>
      </c>
      <c r="G244" s="12">
        <f t="shared" si="16"/>
        <v>-4.2351307567692627E-2</v>
      </c>
      <c r="H244" s="21">
        <v>41.86</v>
      </c>
      <c r="I244" s="12">
        <f t="shared" si="17"/>
        <v>-4.7120418848167547E-2</v>
      </c>
      <c r="J244" s="21">
        <v>42.77</v>
      </c>
      <c r="K244" s="12">
        <f t="shared" si="18"/>
        <v>-4.9132947976878477E-2</v>
      </c>
      <c r="L244" s="21">
        <v>43.58</v>
      </c>
      <c r="M244" s="12">
        <f t="shared" si="19"/>
        <v>-4.992369740571178E-2</v>
      </c>
    </row>
    <row r="245" spans="1:13" x14ac:dyDescent="0.25">
      <c r="A245" s="23">
        <v>42244</v>
      </c>
      <c r="B245" s="21">
        <v>1.4630000000000001</v>
      </c>
      <c r="C245" s="12">
        <f t="shared" si="15"/>
        <v>-8.1607030759573068E-2</v>
      </c>
      <c r="D245" s="6"/>
      <c r="E245" s="23">
        <v>42244</v>
      </c>
      <c r="F245" s="21">
        <v>40.79</v>
      </c>
      <c r="G245" s="12">
        <f t="shared" si="16"/>
        <v>-1.4258095698405108E-2</v>
      </c>
      <c r="H245" s="21">
        <v>41.52</v>
      </c>
      <c r="I245" s="12">
        <f t="shared" si="17"/>
        <v>-8.1223124701384694E-3</v>
      </c>
      <c r="J245" s="21">
        <v>42.33</v>
      </c>
      <c r="K245" s="12">
        <f t="shared" si="18"/>
        <v>-1.0287584755669973E-2</v>
      </c>
      <c r="L245" s="21">
        <v>43.12</v>
      </c>
      <c r="M245" s="12">
        <f t="shared" si="19"/>
        <v>-1.0555300596603966E-2</v>
      </c>
    </row>
    <row r="246" spans="1:13" x14ac:dyDescent="0.25">
      <c r="A246" s="23">
        <v>42251</v>
      </c>
      <c r="B246" s="21">
        <v>1.538</v>
      </c>
      <c r="C246" s="12">
        <f t="shared" si="15"/>
        <v>5.1264524948735443E-2</v>
      </c>
      <c r="D246" s="6"/>
      <c r="E246" s="23">
        <v>42251</v>
      </c>
      <c r="F246" s="21">
        <v>46.73</v>
      </c>
      <c r="G246" s="12">
        <f t="shared" si="16"/>
        <v>0.14562392743319436</v>
      </c>
      <c r="H246" s="21">
        <v>47.35</v>
      </c>
      <c r="I246" s="12">
        <f t="shared" si="17"/>
        <v>0.14041425818882461</v>
      </c>
      <c r="J246" s="21">
        <v>48.03</v>
      </c>
      <c r="K246" s="12">
        <f t="shared" si="18"/>
        <v>0.13465627214741324</v>
      </c>
      <c r="L246" s="21">
        <v>48.74</v>
      </c>
      <c r="M246" s="12">
        <f t="shared" si="19"/>
        <v>0.1303339517625233</v>
      </c>
    </row>
    <row r="247" spans="1:13" x14ac:dyDescent="0.25">
      <c r="A247" s="23">
        <v>42258</v>
      </c>
      <c r="B247" s="21">
        <v>1.49</v>
      </c>
      <c r="C247" s="12">
        <f t="shared" si="15"/>
        <v>-3.1209362808842681E-2</v>
      </c>
      <c r="D247" s="6"/>
      <c r="E247" s="23">
        <v>42258</v>
      </c>
      <c r="F247" s="21">
        <v>45.16</v>
      </c>
      <c r="G247" s="12">
        <f t="shared" si="16"/>
        <v>-3.3597260860261081E-2</v>
      </c>
      <c r="H247" s="21">
        <v>45.75</v>
      </c>
      <c r="I247" s="12">
        <f t="shared" si="17"/>
        <v>-3.3790918690601933E-2</v>
      </c>
      <c r="J247" s="21">
        <v>46.39</v>
      </c>
      <c r="K247" s="12">
        <f t="shared" si="18"/>
        <v>-3.4145325838017916E-2</v>
      </c>
      <c r="L247" s="21">
        <v>47.07</v>
      </c>
      <c r="M247" s="12">
        <f t="shared" si="19"/>
        <v>-3.426343865408292E-2</v>
      </c>
    </row>
    <row r="248" spans="1:13" x14ac:dyDescent="0.25">
      <c r="A248" s="23">
        <v>42265</v>
      </c>
      <c r="B248" s="21">
        <v>1.431</v>
      </c>
      <c r="C248" s="12">
        <f t="shared" si="15"/>
        <v>-3.9597315436241572E-2</v>
      </c>
      <c r="D248" s="6"/>
      <c r="E248" s="23">
        <v>42265</v>
      </c>
      <c r="F248" s="21">
        <v>45.46</v>
      </c>
      <c r="G248" s="12">
        <f t="shared" si="16"/>
        <v>6.6430469441985003E-3</v>
      </c>
      <c r="H248" s="21">
        <v>45.83</v>
      </c>
      <c r="I248" s="12">
        <f t="shared" si="17"/>
        <v>1.7486338797813835E-3</v>
      </c>
      <c r="J248" s="21">
        <v>46.32</v>
      </c>
      <c r="K248" s="12">
        <f t="shared" si="18"/>
        <v>-1.5089458935115387E-3</v>
      </c>
      <c r="L248" s="21">
        <v>46.89</v>
      </c>
      <c r="M248" s="12">
        <f t="shared" si="19"/>
        <v>-3.8240917782026707E-3</v>
      </c>
    </row>
    <row r="249" spans="1:13" x14ac:dyDescent="0.25">
      <c r="A249" s="23">
        <v>42272</v>
      </c>
      <c r="B249" s="21">
        <v>1.446</v>
      </c>
      <c r="C249" s="12">
        <f t="shared" si="15"/>
        <v>1.0482180293500979E-2</v>
      </c>
      <c r="D249" s="6"/>
      <c r="E249" s="23">
        <v>42272</v>
      </c>
      <c r="F249" s="21">
        <v>45.52</v>
      </c>
      <c r="G249" s="12">
        <f t="shared" si="16"/>
        <v>1.3198416190057694E-3</v>
      </c>
      <c r="H249" s="21">
        <v>46.02</v>
      </c>
      <c r="I249" s="12">
        <f t="shared" si="17"/>
        <v>4.1457560549859225E-3</v>
      </c>
      <c r="J249" s="21">
        <v>46.63</v>
      </c>
      <c r="K249" s="12">
        <f t="shared" si="18"/>
        <v>6.6925734024180106E-3</v>
      </c>
      <c r="L249" s="21">
        <v>47.29</v>
      </c>
      <c r="M249" s="12">
        <f t="shared" si="19"/>
        <v>8.5306035402004394E-3</v>
      </c>
    </row>
    <row r="250" spans="1:13" x14ac:dyDescent="0.25">
      <c r="A250" s="23">
        <v>42279</v>
      </c>
      <c r="B250" s="21">
        <v>1.4179999999999999</v>
      </c>
      <c r="C250" s="12">
        <f t="shared" si="15"/>
        <v>-1.9363762102351332E-2</v>
      </c>
      <c r="D250" s="6"/>
      <c r="E250" s="23">
        <v>42279</v>
      </c>
      <c r="F250" s="21">
        <v>45.01</v>
      </c>
      <c r="G250" s="12">
        <f t="shared" si="16"/>
        <v>-1.1203866432337546E-2</v>
      </c>
      <c r="H250" s="21">
        <v>45.46</v>
      </c>
      <c r="I250" s="12">
        <f t="shared" si="17"/>
        <v>-1.2168622338113912E-2</v>
      </c>
      <c r="J250" s="21">
        <v>46.05</v>
      </c>
      <c r="K250" s="12">
        <f t="shared" si="18"/>
        <v>-1.243834441346784E-2</v>
      </c>
      <c r="L250" s="21">
        <v>46.64</v>
      </c>
      <c r="M250" s="12">
        <f t="shared" si="19"/>
        <v>-1.3744977796574298E-2</v>
      </c>
    </row>
    <row r="251" spans="1:13" x14ac:dyDescent="0.25">
      <c r="A251" s="23">
        <v>42286</v>
      </c>
      <c r="B251" s="21">
        <v>1.4770000000000001</v>
      </c>
      <c r="C251" s="12">
        <f t="shared" si="15"/>
        <v>4.1607898448519157E-2</v>
      </c>
      <c r="D251" s="6"/>
      <c r="E251" s="23">
        <v>42286</v>
      </c>
      <c r="F251" s="21">
        <v>48.33</v>
      </c>
      <c r="G251" s="12">
        <f t="shared" si="16"/>
        <v>7.3761386358586992E-2</v>
      </c>
      <c r="H251" s="21">
        <v>48.86</v>
      </c>
      <c r="I251" s="12">
        <f t="shared" si="17"/>
        <v>7.479102507699073E-2</v>
      </c>
      <c r="J251" s="21">
        <v>49.56</v>
      </c>
      <c r="K251" s="12">
        <f t="shared" si="18"/>
        <v>7.6221498371335628E-2</v>
      </c>
      <c r="L251" s="21">
        <v>50.19</v>
      </c>
      <c r="M251" s="12">
        <f t="shared" si="19"/>
        <v>7.611492281303596E-2</v>
      </c>
    </row>
    <row r="252" spans="1:13" x14ac:dyDescent="0.25">
      <c r="A252" s="23">
        <v>42293</v>
      </c>
      <c r="B252" s="21">
        <v>1.3819999999999999</v>
      </c>
      <c r="C252" s="12">
        <f t="shared" si="15"/>
        <v>-6.4319566689235066E-2</v>
      </c>
      <c r="D252" s="6"/>
      <c r="E252" s="23">
        <v>42293</v>
      </c>
      <c r="F252" s="21">
        <v>46.74</v>
      </c>
      <c r="G252" s="12">
        <f t="shared" si="16"/>
        <v>-3.2898820608317739E-2</v>
      </c>
      <c r="H252" s="21">
        <v>47.23</v>
      </c>
      <c r="I252" s="12">
        <f t="shared" si="17"/>
        <v>-3.3360622185837137E-2</v>
      </c>
      <c r="J252" s="21">
        <v>48.01</v>
      </c>
      <c r="K252" s="12">
        <f t="shared" si="18"/>
        <v>-3.1275221953188138E-2</v>
      </c>
      <c r="L252" s="21">
        <v>48.7</v>
      </c>
      <c r="M252" s="12">
        <f t="shared" si="19"/>
        <v>-2.9687188683004483E-2</v>
      </c>
    </row>
    <row r="253" spans="1:13" x14ac:dyDescent="0.25">
      <c r="A253" s="23">
        <v>42300</v>
      </c>
      <c r="B253" s="21">
        <v>1.337</v>
      </c>
      <c r="C253" s="12">
        <f t="shared" si="15"/>
        <v>-3.256150506512296E-2</v>
      </c>
      <c r="D253" s="6"/>
      <c r="E253" s="23">
        <v>42300</v>
      </c>
      <c r="F253" s="21">
        <v>45.32</v>
      </c>
      <c r="G253" s="12">
        <f t="shared" si="16"/>
        <v>-3.0380830124090749E-2</v>
      </c>
      <c r="H253" s="21">
        <v>46.02</v>
      </c>
      <c r="I253" s="12">
        <f t="shared" si="17"/>
        <v>-2.5619309760745158E-2</v>
      </c>
      <c r="J253" s="21">
        <v>46.75</v>
      </c>
      <c r="K253" s="12">
        <f t="shared" si="18"/>
        <v>-2.6244532389085567E-2</v>
      </c>
      <c r="L253" s="21">
        <v>47.46</v>
      </c>
      <c r="M253" s="12">
        <f t="shared" si="19"/>
        <v>-2.5462012320328582E-2</v>
      </c>
    </row>
    <row r="254" spans="1:13" x14ac:dyDescent="0.25">
      <c r="A254" s="23">
        <v>42307</v>
      </c>
      <c r="B254" s="21">
        <v>1.381</v>
      </c>
      <c r="C254" s="12">
        <f t="shared" si="15"/>
        <v>3.2909498878085294E-2</v>
      </c>
      <c r="D254" s="6"/>
      <c r="E254" s="23">
        <v>42307</v>
      </c>
      <c r="F254" s="21">
        <v>45.15</v>
      </c>
      <c r="G254" s="12">
        <f t="shared" si="16"/>
        <v>-3.7511032656664099E-3</v>
      </c>
      <c r="H254" s="21">
        <v>46.04</v>
      </c>
      <c r="I254" s="12">
        <f t="shared" si="17"/>
        <v>4.3459365493255149E-4</v>
      </c>
      <c r="J254" s="21">
        <v>46.82</v>
      </c>
      <c r="K254" s="12">
        <f t="shared" si="18"/>
        <v>1.4973262032085622E-3</v>
      </c>
      <c r="L254" s="21">
        <v>47.52</v>
      </c>
      <c r="M254" s="12">
        <f t="shared" si="19"/>
        <v>1.2642225031606041E-3</v>
      </c>
    </row>
    <row r="255" spans="1:13" x14ac:dyDescent="0.25">
      <c r="A255" s="23">
        <v>42314</v>
      </c>
      <c r="B255" s="21">
        <v>1.4490000000000001</v>
      </c>
      <c r="C255" s="12">
        <f t="shared" si="15"/>
        <v>4.9239681390296927E-2</v>
      </c>
      <c r="D255" s="6"/>
      <c r="E255" s="23">
        <v>42314</v>
      </c>
      <c r="F255" s="21">
        <v>45.97</v>
      </c>
      <c r="G255" s="12">
        <f t="shared" si="16"/>
        <v>1.8161683277962356E-2</v>
      </c>
      <c r="H255" s="21">
        <v>46.95</v>
      </c>
      <c r="I255" s="12">
        <f t="shared" si="17"/>
        <v>1.9765421372719454E-2</v>
      </c>
      <c r="J255" s="21">
        <v>47.78</v>
      </c>
      <c r="K255" s="12">
        <f t="shared" si="18"/>
        <v>2.0504058094831287E-2</v>
      </c>
      <c r="L255" s="21">
        <v>48.51</v>
      </c>
      <c r="M255" s="12">
        <f t="shared" si="19"/>
        <v>2.0833333333333225E-2</v>
      </c>
    </row>
    <row r="256" spans="1:13" x14ac:dyDescent="0.25">
      <c r="A256" s="23">
        <v>42321</v>
      </c>
      <c r="B256" s="21">
        <v>1.3720000000000001</v>
      </c>
      <c r="C256" s="12">
        <f t="shared" si="15"/>
        <v>-5.3140096618357453E-2</v>
      </c>
      <c r="D256" s="6"/>
      <c r="E256" s="23">
        <v>42321</v>
      </c>
      <c r="F256" s="21">
        <v>42.64</v>
      </c>
      <c r="G256" s="12">
        <f t="shared" si="16"/>
        <v>-7.2438546878398916E-2</v>
      </c>
      <c r="H256" s="21">
        <v>43.9</v>
      </c>
      <c r="I256" s="12">
        <f t="shared" si="17"/>
        <v>-6.496272630457943E-2</v>
      </c>
      <c r="J256" s="21">
        <v>44.86</v>
      </c>
      <c r="K256" s="12">
        <f t="shared" si="18"/>
        <v>-6.1113436584344948E-2</v>
      </c>
      <c r="L256" s="21">
        <v>45.66</v>
      </c>
      <c r="M256" s="12">
        <f t="shared" si="19"/>
        <v>-5.8750773036487354E-2</v>
      </c>
    </row>
    <row r="257" spans="1:13" x14ac:dyDescent="0.25">
      <c r="A257" s="23">
        <v>42328</v>
      </c>
      <c r="B257" s="21">
        <v>1.3160000000000001</v>
      </c>
      <c r="C257" s="12">
        <f t="shared" si="15"/>
        <v>-4.0816326530612276E-2</v>
      </c>
      <c r="D257" s="6"/>
      <c r="E257" s="23">
        <v>42328</v>
      </c>
      <c r="F257" s="21">
        <v>40.82</v>
      </c>
      <c r="G257" s="12">
        <f t="shared" si="16"/>
        <v>-4.2682926829268296E-2</v>
      </c>
      <c r="H257" s="21">
        <v>42.01</v>
      </c>
      <c r="I257" s="12">
        <f t="shared" si="17"/>
        <v>-4.3052391799544433E-2</v>
      </c>
      <c r="J257" s="21">
        <v>43.14</v>
      </c>
      <c r="K257" s="12">
        <f t="shared" si="18"/>
        <v>-3.8341506910387846E-2</v>
      </c>
      <c r="L257" s="21">
        <v>44.08</v>
      </c>
      <c r="M257" s="12">
        <f t="shared" si="19"/>
        <v>-3.4603591765221167E-2</v>
      </c>
    </row>
    <row r="258" spans="1:13" x14ac:dyDescent="0.25">
      <c r="A258" s="23">
        <v>42335</v>
      </c>
      <c r="B258" s="21">
        <v>1.371</v>
      </c>
      <c r="C258" s="12">
        <f t="shared" si="15"/>
        <v>4.1793313069908765E-2</v>
      </c>
      <c r="D258" s="6"/>
      <c r="E258" s="23">
        <v>42335</v>
      </c>
      <c r="F258" s="21">
        <v>42.34</v>
      </c>
      <c r="G258" s="12">
        <f t="shared" si="16"/>
        <v>3.7236648701616928E-2</v>
      </c>
      <c r="H258" s="21">
        <v>43.73</v>
      </c>
      <c r="I258" s="12">
        <f t="shared" si="17"/>
        <v>4.0942632706498429E-2</v>
      </c>
      <c r="J258" s="21">
        <v>44.83</v>
      </c>
      <c r="K258" s="12">
        <f t="shared" si="18"/>
        <v>3.917477978674079E-2</v>
      </c>
      <c r="L258" s="21">
        <v>45.73</v>
      </c>
      <c r="M258" s="12">
        <f t="shared" si="19"/>
        <v>3.7431941923774921E-2</v>
      </c>
    </row>
    <row r="259" spans="1:13" x14ac:dyDescent="0.25">
      <c r="A259" s="23">
        <v>42342</v>
      </c>
      <c r="B259" s="21">
        <v>1.365</v>
      </c>
      <c r="C259" s="12">
        <f t="shared" si="15"/>
        <v>-4.3763676148796541E-3</v>
      </c>
      <c r="D259" s="6"/>
      <c r="E259" s="23">
        <v>42342</v>
      </c>
      <c r="F259" s="21">
        <v>40.9</v>
      </c>
      <c r="G259" s="12">
        <f t="shared" si="16"/>
        <v>-3.4010392064241966E-2</v>
      </c>
      <c r="H259" s="21">
        <v>42.27</v>
      </c>
      <c r="I259" s="12">
        <f t="shared" si="17"/>
        <v>-3.3386691058769583E-2</v>
      </c>
      <c r="J259" s="21">
        <v>43.33</v>
      </c>
      <c r="K259" s="12">
        <f t="shared" si="18"/>
        <v>-3.3459736783403971E-2</v>
      </c>
      <c r="L259" s="21">
        <v>44.21</v>
      </c>
      <c r="M259" s="12">
        <f t="shared" si="19"/>
        <v>-3.323857424010488E-2</v>
      </c>
    </row>
    <row r="260" spans="1:13" x14ac:dyDescent="0.25">
      <c r="A260" s="23">
        <v>42349</v>
      </c>
      <c r="B260" s="21">
        <v>1.2490000000000001</v>
      </c>
      <c r="C260" s="12">
        <f t="shared" si="15"/>
        <v>-8.4981684981684902E-2</v>
      </c>
      <c r="D260" s="6"/>
      <c r="E260" s="23">
        <v>42349</v>
      </c>
      <c r="F260" s="21">
        <v>36.94</v>
      </c>
      <c r="G260" s="12">
        <f t="shared" si="16"/>
        <v>-9.6821515892420565E-2</v>
      </c>
      <c r="H260" s="21">
        <v>38.54</v>
      </c>
      <c r="I260" s="12">
        <f t="shared" si="17"/>
        <v>-8.8242252188313317E-2</v>
      </c>
      <c r="J260" s="21">
        <v>39.81</v>
      </c>
      <c r="K260" s="12">
        <f t="shared" si="18"/>
        <v>-8.1237018232171623E-2</v>
      </c>
      <c r="L260" s="21">
        <v>40.79</v>
      </c>
      <c r="M260" s="12">
        <f t="shared" si="19"/>
        <v>-7.7358063786473683E-2</v>
      </c>
    </row>
    <row r="261" spans="1:13" x14ac:dyDescent="0.25">
      <c r="A261" s="23">
        <v>42356</v>
      </c>
      <c r="B261" s="21">
        <v>1.2649999999999999</v>
      </c>
      <c r="C261" s="12">
        <f t="shared" ref="C261:C324" si="20">(B261-B260)/B260</f>
        <v>1.281024819855868E-2</v>
      </c>
      <c r="D261" s="6"/>
      <c r="E261" s="23">
        <v>42356</v>
      </c>
      <c r="F261" s="21">
        <v>35.770000000000003</v>
      </c>
      <c r="G261" s="12">
        <f t="shared" ref="G261:G324" si="21">(F261-F260)/F260</f>
        <v>-3.1672983216025845E-2</v>
      </c>
      <c r="H261" s="21">
        <v>37.04</v>
      </c>
      <c r="I261" s="12">
        <f t="shared" ref="I261:I324" si="22">(H261-H260)/H260</f>
        <v>-3.8920601971977165E-2</v>
      </c>
      <c r="J261" s="21">
        <v>38.18</v>
      </c>
      <c r="K261" s="12">
        <f t="shared" ref="K261:K324" si="23">(J261-J260)/J260</f>
        <v>-4.0944486309972432E-2</v>
      </c>
      <c r="L261" s="21">
        <v>39.1</v>
      </c>
      <c r="M261" s="12">
        <f t="shared" ref="M261:M324" si="24">(L261-L260)/L260</f>
        <v>-4.1431723461632701E-2</v>
      </c>
    </row>
    <row r="262" spans="1:13" x14ac:dyDescent="0.25">
      <c r="A262" s="23">
        <v>42363</v>
      </c>
      <c r="B262" s="21">
        <v>1.2450000000000001</v>
      </c>
      <c r="C262" s="12">
        <f t="shared" si="20"/>
        <v>-1.5810276679841737E-2</v>
      </c>
      <c r="D262" s="6"/>
      <c r="E262" s="23">
        <v>42363</v>
      </c>
      <c r="F262" s="21">
        <v>36.619999999999997</v>
      </c>
      <c r="G262" s="12">
        <f t="shared" si="21"/>
        <v>2.3762929829465873E-2</v>
      </c>
      <c r="H262" s="21">
        <v>37.6</v>
      </c>
      <c r="I262" s="12">
        <f t="shared" si="22"/>
        <v>1.511879049676032E-2</v>
      </c>
      <c r="J262" s="21">
        <v>38.450000000000003</v>
      </c>
      <c r="K262" s="12">
        <f t="shared" si="23"/>
        <v>7.0717653221582799E-3</v>
      </c>
      <c r="L262" s="21">
        <v>39.17</v>
      </c>
      <c r="M262" s="12">
        <f t="shared" si="24"/>
        <v>1.7902813299232809E-3</v>
      </c>
    </row>
    <row r="263" spans="1:13" x14ac:dyDescent="0.25">
      <c r="A263" s="23">
        <v>42370</v>
      </c>
      <c r="B263" s="21">
        <v>1.2769999999999999</v>
      </c>
      <c r="C263" s="12">
        <f t="shared" si="20"/>
        <v>2.5702811244979761E-2</v>
      </c>
      <c r="D263" s="6"/>
      <c r="E263" s="23">
        <v>42370</v>
      </c>
      <c r="F263" s="21">
        <v>37.08</v>
      </c>
      <c r="G263" s="12">
        <f t="shared" si="21"/>
        <v>1.2561441835062831E-2</v>
      </c>
      <c r="H263" s="21">
        <v>38.119999999999997</v>
      </c>
      <c r="I263" s="12">
        <f t="shared" si="22"/>
        <v>1.3829787234042447E-2</v>
      </c>
      <c r="J263" s="21">
        <v>39</v>
      </c>
      <c r="K263" s="12">
        <f t="shared" si="23"/>
        <v>1.4304291287386141E-2</v>
      </c>
      <c r="L263" s="21">
        <v>39.76</v>
      </c>
      <c r="M263" s="12">
        <f t="shared" si="24"/>
        <v>1.5062547868266435E-2</v>
      </c>
    </row>
    <row r="264" spans="1:13" x14ac:dyDescent="0.25">
      <c r="A264" s="23">
        <v>42377</v>
      </c>
      <c r="B264" s="21">
        <v>1.2030000000000001</v>
      </c>
      <c r="C264" s="12">
        <f t="shared" si="20"/>
        <v>-5.7948316366483829E-2</v>
      </c>
      <c r="D264" s="6"/>
      <c r="E264" s="23">
        <v>42377</v>
      </c>
      <c r="F264" s="21">
        <v>34.630000000000003</v>
      </c>
      <c r="G264" s="12">
        <f t="shared" si="21"/>
        <v>-6.607335490830625E-2</v>
      </c>
      <c r="H264" s="21">
        <v>35.83</v>
      </c>
      <c r="I264" s="12">
        <f t="shared" si="22"/>
        <v>-6.0073452256033562E-2</v>
      </c>
      <c r="J264" s="21">
        <v>36.92</v>
      </c>
      <c r="K264" s="12">
        <f t="shared" si="23"/>
        <v>-5.3333333333333288E-2</v>
      </c>
      <c r="L264" s="21">
        <v>37.9</v>
      </c>
      <c r="M264" s="12">
        <f t="shared" si="24"/>
        <v>-4.6780684104627754E-2</v>
      </c>
    </row>
    <row r="265" spans="1:13" x14ac:dyDescent="0.25">
      <c r="A265" s="23">
        <v>42384</v>
      </c>
      <c r="B265" s="21">
        <v>1.083</v>
      </c>
      <c r="C265" s="12">
        <f t="shared" si="20"/>
        <v>-9.9750623441396596E-2</v>
      </c>
      <c r="D265" s="6"/>
      <c r="E265" s="23">
        <v>42384</v>
      </c>
      <c r="F265" s="21">
        <v>30.59</v>
      </c>
      <c r="G265" s="12">
        <f t="shared" si="21"/>
        <v>-0.11666185388391576</v>
      </c>
      <c r="H265" s="21">
        <v>31.59</v>
      </c>
      <c r="I265" s="12">
        <f t="shared" si="22"/>
        <v>-0.11833658945018137</v>
      </c>
      <c r="J265" s="21">
        <v>32.64</v>
      </c>
      <c r="K265" s="12">
        <f t="shared" si="23"/>
        <v>-0.11592632719393285</v>
      </c>
      <c r="L265" s="21">
        <v>33.630000000000003</v>
      </c>
      <c r="M265" s="12">
        <f t="shared" si="24"/>
        <v>-0.11266490765171494</v>
      </c>
    </row>
    <row r="266" spans="1:13" x14ac:dyDescent="0.25">
      <c r="A266" s="23">
        <v>42391</v>
      </c>
      <c r="B266" s="21">
        <v>1.0649999999999999</v>
      </c>
      <c r="C266" s="12">
        <f t="shared" si="20"/>
        <v>-1.6620498614958464E-2</v>
      </c>
      <c r="D266" s="6"/>
      <c r="E266" s="23">
        <v>42391</v>
      </c>
      <c r="F266" s="21">
        <v>29.18</v>
      </c>
      <c r="G266" s="12">
        <f t="shared" si="21"/>
        <v>-4.6093494606080421E-2</v>
      </c>
      <c r="H266" s="21">
        <v>30.57</v>
      </c>
      <c r="I266" s="12">
        <f t="shared" si="22"/>
        <v>-3.2288698955365611E-2</v>
      </c>
      <c r="J266" s="21">
        <v>31.74</v>
      </c>
      <c r="K266" s="12">
        <f t="shared" si="23"/>
        <v>-2.7573529411764771E-2</v>
      </c>
      <c r="L266" s="21">
        <v>32.76</v>
      </c>
      <c r="M266" s="12">
        <f t="shared" si="24"/>
        <v>-2.5869759143621898E-2</v>
      </c>
    </row>
    <row r="267" spans="1:13" x14ac:dyDescent="0.25">
      <c r="A267" s="23">
        <v>42398</v>
      </c>
      <c r="B267" s="21">
        <v>1.0980000000000001</v>
      </c>
      <c r="C267" s="12">
        <f t="shared" si="20"/>
        <v>3.0985915492957879E-2</v>
      </c>
      <c r="D267" s="6"/>
      <c r="E267" s="23">
        <v>42398</v>
      </c>
      <c r="F267" s="21">
        <v>32.19</v>
      </c>
      <c r="G267" s="12">
        <f t="shared" si="21"/>
        <v>0.10315284441398211</v>
      </c>
      <c r="H267" s="21">
        <v>33.69</v>
      </c>
      <c r="I267" s="12">
        <f t="shared" si="22"/>
        <v>0.10206084396467116</v>
      </c>
      <c r="J267" s="21">
        <v>35.04</v>
      </c>
      <c r="K267" s="12">
        <f t="shared" si="23"/>
        <v>0.10396975425330815</v>
      </c>
      <c r="L267" s="21">
        <v>36.14</v>
      </c>
      <c r="M267" s="12">
        <f t="shared" si="24"/>
        <v>0.10317460317460325</v>
      </c>
    </row>
    <row r="268" spans="1:13" x14ac:dyDescent="0.25">
      <c r="A268" s="23">
        <v>42405</v>
      </c>
      <c r="B268" s="21">
        <v>1.0580000000000001</v>
      </c>
      <c r="C268" s="12">
        <f t="shared" si="20"/>
        <v>-3.6429872495446297E-2</v>
      </c>
      <c r="D268" s="6"/>
      <c r="E268" s="23">
        <v>42405</v>
      </c>
      <c r="F268" s="21">
        <v>31.28</v>
      </c>
      <c r="G268" s="12">
        <f t="shared" si="21"/>
        <v>-2.8269648959304026E-2</v>
      </c>
      <c r="H268" s="21">
        <v>32.99</v>
      </c>
      <c r="I268" s="12">
        <f t="shared" si="22"/>
        <v>-2.0777678836449862E-2</v>
      </c>
      <c r="J268" s="21">
        <v>34.6</v>
      </c>
      <c r="K268" s="12">
        <f t="shared" si="23"/>
        <v>-1.2557077625570711E-2</v>
      </c>
      <c r="L268" s="21">
        <v>35.950000000000003</v>
      </c>
      <c r="M268" s="12">
        <f t="shared" si="24"/>
        <v>-5.2573325954620286E-3</v>
      </c>
    </row>
    <row r="269" spans="1:13" x14ac:dyDescent="0.25">
      <c r="A269" s="23">
        <v>42412</v>
      </c>
      <c r="B269" s="21">
        <v>0.99399999999999999</v>
      </c>
      <c r="C269" s="12">
        <f t="shared" si="20"/>
        <v>-6.0491493383742961E-2</v>
      </c>
      <c r="D269" s="6"/>
      <c r="E269" s="23">
        <v>42412</v>
      </c>
      <c r="F269" s="21">
        <v>28.15</v>
      </c>
      <c r="G269" s="12">
        <f t="shared" si="21"/>
        <v>-0.10006393861892592</v>
      </c>
      <c r="H269" s="21">
        <v>30.36</v>
      </c>
      <c r="I269" s="12">
        <f t="shared" si="22"/>
        <v>-7.9721127614428691E-2</v>
      </c>
      <c r="J269" s="21">
        <v>32.19</v>
      </c>
      <c r="K269" s="12">
        <f t="shared" si="23"/>
        <v>-6.9653179190751549E-2</v>
      </c>
      <c r="L269" s="21">
        <v>33.61</v>
      </c>
      <c r="M269" s="12">
        <f t="shared" si="24"/>
        <v>-6.5090403337969491E-2</v>
      </c>
    </row>
    <row r="270" spans="1:13" x14ac:dyDescent="0.25">
      <c r="A270" s="23">
        <v>42419</v>
      </c>
      <c r="B270" s="21">
        <v>1.109</v>
      </c>
      <c r="C270" s="12">
        <f t="shared" si="20"/>
        <v>0.11569416498993963</v>
      </c>
      <c r="D270" s="6"/>
      <c r="E270" s="23">
        <v>42419</v>
      </c>
      <c r="F270" s="21">
        <v>30.03</v>
      </c>
      <c r="G270" s="12">
        <f t="shared" si="21"/>
        <v>6.6785079928952135E-2</v>
      </c>
      <c r="H270" s="21">
        <v>32.159999999999997</v>
      </c>
      <c r="I270" s="12">
        <f t="shared" si="22"/>
        <v>5.9288537549407022E-2</v>
      </c>
      <c r="J270" s="21">
        <v>33.82</v>
      </c>
      <c r="K270" s="12">
        <f t="shared" si="23"/>
        <v>5.0636843740292099E-2</v>
      </c>
      <c r="L270" s="21">
        <v>35.06</v>
      </c>
      <c r="M270" s="12">
        <f t="shared" si="24"/>
        <v>4.3141922047009902E-2</v>
      </c>
    </row>
    <row r="271" spans="1:13" x14ac:dyDescent="0.25">
      <c r="A271" s="23">
        <v>42426</v>
      </c>
      <c r="B271" s="21">
        <v>1.073</v>
      </c>
      <c r="C271" s="12">
        <f t="shared" si="20"/>
        <v>-3.2461677186654672E-2</v>
      </c>
      <c r="D271" s="6"/>
      <c r="E271" s="23">
        <v>42426</v>
      </c>
      <c r="F271" s="21">
        <v>32.270000000000003</v>
      </c>
      <c r="G271" s="12">
        <f t="shared" si="21"/>
        <v>7.4592074592074661E-2</v>
      </c>
      <c r="H271" s="21">
        <v>34.090000000000003</v>
      </c>
      <c r="I271" s="12">
        <f t="shared" si="22"/>
        <v>6.0012437810945493E-2</v>
      </c>
      <c r="J271" s="21">
        <v>35.46</v>
      </c>
      <c r="K271" s="12">
        <f t="shared" si="23"/>
        <v>4.849201655824957E-2</v>
      </c>
      <c r="L271" s="21">
        <v>36.43</v>
      </c>
      <c r="M271" s="12">
        <f t="shared" si="24"/>
        <v>3.9075869937250353E-2</v>
      </c>
    </row>
    <row r="272" spans="1:13" x14ac:dyDescent="0.25">
      <c r="A272" s="23">
        <v>42433</v>
      </c>
      <c r="B272" s="21">
        <v>1.0469999999999999</v>
      </c>
      <c r="C272" s="12">
        <f t="shared" si="20"/>
        <v>-2.4231127679403563E-2</v>
      </c>
      <c r="D272" s="6"/>
      <c r="E272" s="23">
        <v>42433</v>
      </c>
      <c r="F272" s="21">
        <v>34.659999999999997</v>
      </c>
      <c r="G272" s="12">
        <f t="shared" si="21"/>
        <v>7.4062596839169298E-2</v>
      </c>
      <c r="H272" s="21">
        <v>36.42</v>
      </c>
      <c r="I272" s="12">
        <f t="shared" si="22"/>
        <v>6.8348489293047751E-2</v>
      </c>
      <c r="J272" s="21">
        <v>37.61</v>
      </c>
      <c r="K272" s="12">
        <f t="shared" si="23"/>
        <v>6.0631697687535208E-2</v>
      </c>
      <c r="L272" s="21">
        <v>38.46</v>
      </c>
      <c r="M272" s="12">
        <f t="shared" si="24"/>
        <v>5.5723304968432641E-2</v>
      </c>
    </row>
    <row r="273" spans="1:13" x14ac:dyDescent="0.25">
      <c r="A273" s="23">
        <v>42440</v>
      </c>
      <c r="B273" s="21">
        <v>1.147</v>
      </c>
      <c r="C273" s="12">
        <f t="shared" si="20"/>
        <v>9.5510983763132856E-2</v>
      </c>
      <c r="D273" s="6"/>
      <c r="E273" s="23">
        <v>42440</v>
      </c>
      <c r="F273" s="21">
        <v>37.81</v>
      </c>
      <c r="G273" s="12">
        <f t="shared" si="21"/>
        <v>9.0882862088863411E-2</v>
      </c>
      <c r="H273" s="21">
        <v>39.56</v>
      </c>
      <c r="I273" s="12">
        <f t="shared" si="22"/>
        <v>8.6216364634816051E-2</v>
      </c>
      <c r="J273" s="21">
        <v>40.6</v>
      </c>
      <c r="K273" s="12">
        <f t="shared" si="23"/>
        <v>7.9500132943366178E-2</v>
      </c>
      <c r="L273" s="21">
        <v>41.38</v>
      </c>
      <c r="M273" s="12">
        <f t="shared" si="24"/>
        <v>7.5923036921476908E-2</v>
      </c>
    </row>
    <row r="274" spans="1:13" x14ac:dyDescent="0.25">
      <c r="A274" s="23">
        <v>42447</v>
      </c>
      <c r="B274" s="21">
        <v>1.181</v>
      </c>
      <c r="C274" s="12">
        <f t="shared" si="20"/>
        <v>2.9642545771578054E-2</v>
      </c>
      <c r="D274" s="6"/>
      <c r="E274" s="23">
        <v>42447</v>
      </c>
      <c r="F274" s="21">
        <v>38.32</v>
      </c>
      <c r="G274" s="12">
        <f t="shared" si="21"/>
        <v>1.3488495107114466E-2</v>
      </c>
      <c r="H274" s="21">
        <v>39.94</v>
      </c>
      <c r="I274" s="12">
        <f t="shared" si="22"/>
        <v>9.6056622851363859E-3</v>
      </c>
      <c r="J274" s="21">
        <v>40.82</v>
      </c>
      <c r="K274" s="12">
        <f t="shared" si="23"/>
        <v>5.4187192118226321E-3</v>
      </c>
      <c r="L274" s="21">
        <v>41.48</v>
      </c>
      <c r="M274" s="12">
        <f t="shared" si="24"/>
        <v>2.4166263895600364E-3</v>
      </c>
    </row>
    <row r="275" spans="1:13" x14ac:dyDescent="0.25">
      <c r="A275" s="23">
        <v>42454</v>
      </c>
      <c r="B275" s="21">
        <v>1.286</v>
      </c>
      <c r="C275" s="12">
        <f t="shared" si="20"/>
        <v>8.8907705334462295E-2</v>
      </c>
      <c r="D275" s="6"/>
      <c r="E275" s="23">
        <v>42454</v>
      </c>
      <c r="F275" s="21">
        <v>40.15</v>
      </c>
      <c r="G275" s="12">
        <f t="shared" si="21"/>
        <v>4.7755741127348601E-2</v>
      </c>
      <c r="H275" s="21">
        <v>41.37</v>
      </c>
      <c r="I275" s="12">
        <f t="shared" si="22"/>
        <v>3.5803705558337499E-2</v>
      </c>
      <c r="J275" s="21">
        <v>42.15</v>
      </c>
      <c r="K275" s="12">
        <f t="shared" si="23"/>
        <v>3.2582067613914703E-2</v>
      </c>
      <c r="L275" s="21">
        <v>42.73</v>
      </c>
      <c r="M275" s="12">
        <f t="shared" si="24"/>
        <v>3.0135004821600773E-2</v>
      </c>
    </row>
    <row r="276" spans="1:13" x14ac:dyDescent="0.25">
      <c r="A276" s="23">
        <v>42461</v>
      </c>
      <c r="B276" s="21">
        <v>1.3380000000000001</v>
      </c>
      <c r="C276" s="12">
        <f t="shared" si="20"/>
        <v>4.0435458786936274E-2</v>
      </c>
      <c r="D276" s="6"/>
      <c r="E276" s="23">
        <v>42461</v>
      </c>
      <c r="F276" s="21">
        <v>38.22</v>
      </c>
      <c r="G276" s="12">
        <f t="shared" si="21"/>
        <v>-4.8069738480697378E-2</v>
      </c>
      <c r="H276" s="21">
        <v>39.53</v>
      </c>
      <c r="I276" s="12">
        <f t="shared" si="22"/>
        <v>-4.4476673918298196E-2</v>
      </c>
      <c r="J276" s="21">
        <v>40.409999999999997</v>
      </c>
      <c r="K276" s="12">
        <f t="shared" si="23"/>
        <v>-4.1281138790035636E-2</v>
      </c>
      <c r="L276" s="21">
        <v>41.03</v>
      </c>
      <c r="M276" s="12">
        <f t="shared" si="24"/>
        <v>-3.9784694593961993E-2</v>
      </c>
    </row>
    <row r="277" spans="1:13" x14ac:dyDescent="0.25">
      <c r="A277" s="23">
        <v>42468</v>
      </c>
      <c r="B277" s="21">
        <v>1.3460000000000001</v>
      </c>
      <c r="C277" s="12">
        <f t="shared" si="20"/>
        <v>5.9790732436472392E-3</v>
      </c>
      <c r="D277" s="6"/>
      <c r="E277" s="23">
        <v>42468</v>
      </c>
      <c r="F277" s="21">
        <v>37.26</v>
      </c>
      <c r="G277" s="12">
        <f t="shared" si="21"/>
        <v>-2.5117739403453711E-2</v>
      </c>
      <c r="H277" s="21">
        <v>38.520000000000003</v>
      </c>
      <c r="I277" s="12">
        <f t="shared" si="22"/>
        <v>-2.5550215026562052E-2</v>
      </c>
      <c r="J277" s="21">
        <v>39.409999999999997</v>
      </c>
      <c r="K277" s="12">
        <f t="shared" si="23"/>
        <v>-2.4746349913387776E-2</v>
      </c>
      <c r="L277" s="21">
        <v>39.99</v>
      </c>
      <c r="M277" s="12">
        <f t="shared" si="24"/>
        <v>-2.5347306848647309E-2</v>
      </c>
    </row>
    <row r="278" spans="1:13" x14ac:dyDescent="0.25">
      <c r="A278" s="23">
        <v>42475</v>
      </c>
      <c r="B278" s="21">
        <v>1.466</v>
      </c>
      <c r="C278" s="12">
        <f t="shared" si="20"/>
        <v>8.9153046062407038E-2</v>
      </c>
      <c r="D278" s="6"/>
      <c r="E278" s="23">
        <v>42475</v>
      </c>
      <c r="F278" s="21">
        <v>41.23</v>
      </c>
      <c r="G278" s="12">
        <f t="shared" si="21"/>
        <v>0.10654857756307029</v>
      </c>
      <c r="H278" s="21">
        <v>42.53</v>
      </c>
      <c r="I278" s="12">
        <f t="shared" si="22"/>
        <v>0.10410176531671853</v>
      </c>
      <c r="J278" s="21">
        <v>43.37</v>
      </c>
      <c r="K278" s="12">
        <f t="shared" si="23"/>
        <v>0.10048211113930478</v>
      </c>
      <c r="L278" s="21">
        <v>43.87</v>
      </c>
      <c r="M278" s="12">
        <f t="shared" si="24"/>
        <v>9.7024256064015879E-2</v>
      </c>
    </row>
    <row r="279" spans="1:13" x14ac:dyDescent="0.25">
      <c r="A279" s="23">
        <v>42482</v>
      </c>
      <c r="B279" s="21">
        <v>1.462</v>
      </c>
      <c r="C279" s="12">
        <f t="shared" si="20"/>
        <v>-2.7285129604365647E-3</v>
      </c>
      <c r="D279" s="6"/>
      <c r="E279" s="23">
        <v>42482</v>
      </c>
      <c r="F279" s="21">
        <v>42.08</v>
      </c>
      <c r="G279" s="12">
        <f t="shared" si="21"/>
        <v>2.061605626970656E-2</v>
      </c>
      <c r="H279" s="21">
        <v>43.27</v>
      </c>
      <c r="I279" s="12">
        <f t="shared" si="22"/>
        <v>1.7399482718081401E-2</v>
      </c>
      <c r="J279" s="21">
        <v>43.97</v>
      </c>
      <c r="K279" s="12">
        <f t="shared" si="23"/>
        <v>1.3834447774959683E-2</v>
      </c>
      <c r="L279" s="21">
        <v>44.42</v>
      </c>
      <c r="M279" s="12">
        <f t="shared" si="24"/>
        <v>1.2537041258263147E-2</v>
      </c>
    </row>
    <row r="280" spans="1:13" x14ac:dyDescent="0.25">
      <c r="A280" s="23">
        <v>42489</v>
      </c>
      <c r="B280" s="21">
        <v>1.5449999999999999</v>
      </c>
      <c r="C280" s="12">
        <f t="shared" si="20"/>
        <v>5.6771545827633357E-2</v>
      </c>
      <c r="D280" s="6"/>
      <c r="E280" s="23">
        <v>42489</v>
      </c>
      <c r="F280" s="21">
        <v>44.79</v>
      </c>
      <c r="G280" s="12">
        <f t="shared" si="21"/>
        <v>6.4401140684410663E-2</v>
      </c>
      <c r="H280" s="21">
        <v>45.65</v>
      </c>
      <c r="I280" s="12">
        <f t="shared" si="22"/>
        <v>5.5003466605038021E-2</v>
      </c>
      <c r="J280" s="21">
        <v>46.15</v>
      </c>
      <c r="K280" s="12">
        <f t="shared" si="23"/>
        <v>4.9579258585399133E-2</v>
      </c>
      <c r="L280" s="21">
        <v>46.54</v>
      </c>
      <c r="M280" s="12">
        <f t="shared" si="24"/>
        <v>4.7726249437190393E-2</v>
      </c>
    </row>
    <row r="281" spans="1:13" x14ac:dyDescent="0.25">
      <c r="A281" s="23">
        <v>42496</v>
      </c>
      <c r="B281" s="21">
        <v>1.492</v>
      </c>
      <c r="C281" s="12">
        <f t="shared" si="20"/>
        <v>-3.4304207119741061E-2</v>
      </c>
      <c r="D281" s="6"/>
      <c r="E281" s="23">
        <v>42496</v>
      </c>
      <c r="F281" s="21">
        <v>44.24</v>
      </c>
      <c r="G281" s="12">
        <f t="shared" si="21"/>
        <v>-1.2279526680062451E-2</v>
      </c>
      <c r="H281" s="21">
        <v>44.91</v>
      </c>
      <c r="I281" s="12">
        <f t="shared" si="22"/>
        <v>-1.6210295728368063E-2</v>
      </c>
      <c r="J281" s="21">
        <v>45.34</v>
      </c>
      <c r="K281" s="12">
        <f t="shared" si="23"/>
        <v>-1.7551462621885054E-2</v>
      </c>
      <c r="L281" s="21">
        <v>45.72</v>
      </c>
      <c r="M281" s="12">
        <f t="shared" si="24"/>
        <v>-1.761925225612377E-2</v>
      </c>
    </row>
    <row r="282" spans="1:13" x14ac:dyDescent="0.25">
      <c r="A282" s="23">
        <v>42503</v>
      </c>
      <c r="B282" s="21">
        <v>1.5049999999999999</v>
      </c>
      <c r="C282" s="12">
        <f t="shared" si="20"/>
        <v>8.7131367292224531E-3</v>
      </c>
      <c r="D282" s="6"/>
      <c r="E282" s="23">
        <v>42503</v>
      </c>
      <c r="F282" s="21">
        <v>45.45</v>
      </c>
      <c r="G282" s="12">
        <f t="shared" si="21"/>
        <v>2.7350813743218825E-2</v>
      </c>
      <c r="H282" s="21">
        <v>46.15</v>
      </c>
      <c r="I282" s="12">
        <f t="shared" si="22"/>
        <v>2.7610777109775154E-2</v>
      </c>
      <c r="J282" s="21">
        <v>46.61</v>
      </c>
      <c r="K282" s="12">
        <f t="shared" si="23"/>
        <v>2.8010586678429553E-2</v>
      </c>
      <c r="L282" s="21">
        <v>47.03</v>
      </c>
      <c r="M282" s="12">
        <f t="shared" si="24"/>
        <v>2.8652668416447993E-2</v>
      </c>
    </row>
    <row r="283" spans="1:13" x14ac:dyDescent="0.25">
      <c r="A283" s="23">
        <v>42510</v>
      </c>
      <c r="B283" s="21">
        <v>1.6220000000000001</v>
      </c>
      <c r="C283" s="12">
        <f t="shared" si="20"/>
        <v>7.7740863787375561E-2</v>
      </c>
      <c r="D283" s="6"/>
      <c r="E283" s="23">
        <v>42510</v>
      </c>
      <c r="F283" s="21">
        <v>48.03</v>
      </c>
      <c r="G283" s="12">
        <f t="shared" si="21"/>
        <v>5.6765676567656721E-2</v>
      </c>
      <c r="H283" s="21">
        <v>48.65</v>
      </c>
      <c r="I283" s="12">
        <f t="shared" si="22"/>
        <v>5.4171180931744313E-2</v>
      </c>
      <c r="J283" s="21">
        <v>49.09</v>
      </c>
      <c r="K283" s="12">
        <f t="shared" si="23"/>
        <v>5.3207466208968116E-2</v>
      </c>
      <c r="L283" s="21">
        <v>49.43</v>
      </c>
      <c r="M283" s="12">
        <f t="shared" si="24"/>
        <v>5.1031256644694843E-2</v>
      </c>
    </row>
    <row r="284" spans="1:13" x14ac:dyDescent="0.25">
      <c r="A284" s="23">
        <v>42517</v>
      </c>
      <c r="B284" s="21">
        <v>1.6259999999999999</v>
      </c>
      <c r="C284" s="12">
        <f t="shared" si="20"/>
        <v>2.4660912453759441E-3</v>
      </c>
      <c r="D284" s="6"/>
      <c r="E284" s="23">
        <v>42517</v>
      </c>
      <c r="F284" s="21">
        <v>49.01</v>
      </c>
      <c r="G284" s="12">
        <f t="shared" si="21"/>
        <v>2.0403914220278926E-2</v>
      </c>
      <c r="H284" s="21">
        <v>49.44</v>
      </c>
      <c r="I284" s="12">
        <f t="shared" si="22"/>
        <v>1.6238437821171618E-2</v>
      </c>
      <c r="J284" s="21">
        <v>49.81</v>
      </c>
      <c r="K284" s="12">
        <f t="shared" si="23"/>
        <v>1.4666938276634728E-2</v>
      </c>
      <c r="L284" s="21">
        <v>50.12</v>
      </c>
      <c r="M284" s="12">
        <f t="shared" si="24"/>
        <v>1.3959134129071368E-2</v>
      </c>
    </row>
    <row r="285" spans="1:13" x14ac:dyDescent="0.25">
      <c r="A285" s="23">
        <v>42524</v>
      </c>
      <c r="B285" s="21">
        <v>1.6060000000000001</v>
      </c>
      <c r="C285" s="12">
        <f t="shared" si="20"/>
        <v>-1.2300123001229887E-2</v>
      </c>
      <c r="D285" s="6"/>
      <c r="E285" s="23">
        <v>42524</v>
      </c>
      <c r="F285" s="21">
        <v>48.91</v>
      </c>
      <c r="G285" s="12">
        <f t="shared" si="21"/>
        <v>-2.0403999183840325E-3</v>
      </c>
      <c r="H285" s="21">
        <v>49.38</v>
      </c>
      <c r="I285" s="12">
        <f t="shared" si="22"/>
        <v>-1.2135922330096111E-3</v>
      </c>
      <c r="J285" s="21">
        <v>49.79</v>
      </c>
      <c r="K285" s="12">
        <f t="shared" si="23"/>
        <v>-4.0152579803258632E-4</v>
      </c>
      <c r="L285" s="21">
        <v>50.13</v>
      </c>
      <c r="M285" s="12">
        <f t="shared" si="24"/>
        <v>1.9952114924192172E-4</v>
      </c>
    </row>
    <row r="286" spans="1:13" x14ac:dyDescent="0.25">
      <c r="A286" s="23">
        <v>42531</v>
      </c>
      <c r="B286" s="21">
        <v>1.573</v>
      </c>
      <c r="C286" s="12">
        <f t="shared" si="20"/>
        <v>-2.0547945205479538E-2</v>
      </c>
      <c r="D286" s="6"/>
      <c r="E286" s="23">
        <v>42531</v>
      </c>
      <c r="F286" s="21">
        <v>50.18</v>
      </c>
      <c r="G286" s="12">
        <f t="shared" si="21"/>
        <v>2.5966060110406936E-2</v>
      </c>
      <c r="H286" s="21">
        <v>50.77</v>
      </c>
      <c r="I286" s="12">
        <f t="shared" si="22"/>
        <v>2.8149048197650881E-2</v>
      </c>
      <c r="J286" s="21">
        <v>51.25</v>
      </c>
      <c r="K286" s="12">
        <f t="shared" si="23"/>
        <v>2.9323157260494094E-2</v>
      </c>
      <c r="L286" s="21">
        <v>51.63</v>
      </c>
      <c r="M286" s="12">
        <f t="shared" si="24"/>
        <v>2.9922202274087373E-2</v>
      </c>
    </row>
    <row r="287" spans="1:13" x14ac:dyDescent="0.25">
      <c r="A287" s="23">
        <v>42538</v>
      </c>
      <c r="B287" s="21">
        <v>1.45</v>
      </c>
      <c r="C287" s="12">
        <f t="shared" si="20"/>
        <v>-7.8194532739987291E-2</v>
      </c>
      <c r="D287" s="6"/>
      <c r="E287" s="23">
        <v>42538</v>
      </c>
      <c r="F287" s="21">
        <v>47.91</v>
      </c>
      <c r="G287" s="12">
        <f t="shared" si="21"/>
        <v>-4.5237146273415768E-2</v>
      </c>
      <c r="H287" s="21">
        <v>48.48</v>
      </c>
      <c r="I287" s="12">
        <f t="shared" si="22"/>
        <v>-4.5105377191254799E-2</v>
      </c>
      <c r="J287" s="21">
        <v>48.98</v>
      </c>
      <c r="K287" s="12">
        <f t="shared" si="23"/>
        <v>-4.4292682926829328E-2</v>
      </c>
      <c r="L287" s="21">
        <v>49.41</v>
      </c>
      <c r="M287" s="12">
        <f t="shared" si="24"/>
        <v>-4.2998256827426029E-2</v>
      </c>
    </row>
    <row r="288" spans="1:13" x14ac:dyDescent="0.25">
      <c r="A288" s="23">
        <v>42545</v>
      </c>
      <c r="B288" s="21">
        <v>1.4910000000000001</v>
      </c>
      <c r="C288" s="12">
        <f t="shared" si="20"/>
        <v>2.827586206896562E-2</v>
      </c>
      <c r="D288" s="6"/>
      <c r="E288" s="23">
        <v>42545</v>
      </c>
      <c r="F288" s="21">
        <v>49.02</v>
      </c>
      <c r="G288" s="12">
        <f t="shared" si="21"/>
        <v>2.3168440826549917E-2</v>
      </c>
      <c r="H288" s="21">
        <v>49.73</v>
      </c>
      <c r="I288" s="12">
        <f t="shared" si="22"/>
        <v>2.5783828382838287E-2</v>
      </c>
      <c r="J288" s="21">
        <v>50.26</v>
      </c>
      <c r="K288" s="12">
        <f t="shared" si="23"/>
        <v>2.6133115557370381E-2</v>
      </c>
      <c r="L288" s="21">
        <v>50.72</v>
      </c>
      <c r="M288" s="12">
        <f t="shared" si="24"/>
        <v>2.6512851649463719E-2</v>
      </c>
    </row>
    <row r="289" spans="1:13" x14ac:dyDescent="0.25">
      <c r="A289" s="23">
        <v>42552</v>
      </c>
      <c r="B289" s="21">
        <v>1.4419999999999999</v>
      </c>
      <c r="C289" s="12">
        <f t="shared" si="20"/>
        <v>-3.2863849765258316E-2</v>
      </c>
      <c r="D289" s="6"/>
      <c r="E289" s="23">
        <v>42552</v>
      </c>
      <c r="F289" s="21">
        <v>48.28</v>
      </c>
      <c r="G289" s="12">
        <f t="shared" si="21"/>
        <v>-1.5095879232966175E-2</v>
      </c>
      <c r="H289" s="21">
        <v>48.97</v>
      </c>
      <c r="I289" s="12">
        <f t="shared" si="22"/>
        <v>-1.5282525638447578E-2</v>
      </c>
      <c r="J289" s="21">
        <v>49.54</v>
      </c>
      <c r="K289" s="12">
        <f t="shared" si="23"/>
        <v>-1.432550736171904E-2</v>
      </c>
      <c r="L289" s="21">
        <v>50.09</v>
      </c>
      <c r="M289" s="12">
        <f t="shared" si="24"/>
        <v>-1.2421135646687608E-2</v>
      </c>
    </row>
    <row r="290" spans="1:13" x14ac:dyDescent="0.25">
      <c r="A290" s="23">
        <v>42559</v>
      </c>
      <c r="B290" s="21">
        <v>1.373</v>
      </c>
      <c r="C290" s="12">
        <f t="shared" si="20"/>
        <v>-4.7850208044382767E-2</v>
      </c>
      <c r="D290" s="6"/>
      <c r="E290" s="23">
        <v>42559</v>
      </c>
      <c r="F290" s="21">
        <v>46.15</v>
      </c>
      <c r="G290" s="12">
        <f t="shared" si="21"/>
        <v>-4.4117647058823581E-2</v>
      </c>
      <c r="H290" s="21">
        <v>46.85</v>
      </c>
      <c r="I290" s="12">
        <f t="shared" si="22"/>
        <v>-4.3291811313048753E-2</v>
      </c>
      <c r="J290" s="21">
        <v>47.47</v>
      </c>
      <c r="K290" s="12">
        <f t="shared" si="23"/>
        <v>-4.1784416633023826E-2</v>
      </c>
      <c r="L290" s="21">
        <v>48.07</v>
      </c>
      <c r="M290" s="12">
        <f t="shared" si="24"/>
        <v>-4.0327410660810602E-2</v>
      </c>
    </row>
    <row r="291" spans="1:13" x14ac:dyDescent="0.25">
      <c r="A291" s="23">
        <v>42566</v>
      </c>
      <c r="B291" s="21">
        <v>1.3680000000000001</v>
      </c>
      <c r="C291" s="12">
        <f t="shared" si="20"/>
        <v>-3.6416605972322603E-3</v>
      </c>
      <c r="D291" s="6"/>
      <c r="E291" s="23">
        <v>42566</v>
      </c>
      <c r="F291" s="21">
        <v>45.59</v>
      </c>
      <c r="G291" s="12">
        <f t="shared" si="21"/>
        <v>-1.2134344528710622E-2</v>
      </c>
      <c r="H291" s="21">
        <v>46.32</v>
      </c>
      <c r="I291" s="12">
        <f t="shared" si="22"/>
        <v>-1.1312700106723609E-2</v>
      </c>
      <c r="J291" s="21">
        <v>46.96</v>
      </c>
      <c r="K291" s="12">
        <f t="shared" si="23"/>
        <v>-1.0743627554244744E-2</v>
      </c>
      <c r="L291" s="21">
        <v>47.65</v>
      </c>
      <c r="M291" s="12">
        <f t="shared" si="24"/>
        <v>-8.7372581651758204E-3</v>
      </c>
    </row>
    <row r="292" spans="1:13" x14ac:dyDescent="0.25">
      <c r="A292" s="23">
        <v>42573</v>
      </c>
      <c r="B292" s="21">
        <v>1.3340000000000001</v>
      </c>
      <c r="C292" s="12">
        <f t="shared" si="20"/>
        <v>-2.4853801169590663E-2</v>
      </c>
      <c r="D292" s="6"/>
      <c r="E292" s="23">
        <v>42573</v>
      </c>
      <c r="F292" s="21">
        <v>44.75</v>
      </c>
      <c r="G292" s="12">
        <f t="shared" si="21"/>
        <v>-1.8425093222197923E-2</v>
      </c>
      <c r="H292" s="21">
        <v>45.49</v>
      </c>
      <c r="I292" s="12">
        <f t="shared" si="22"/>
        <v>-1.7918825561312572E-2</v>
      </c>
      <c r="J292" s="21">
        <v>46.18</v>
      </c>
      <c r="K292" s="12">
        <f t="shared" si="23"/>
        <v>-1.6609880749574129E-2</v>
      </c>
      <c r="L292" s="21">
        <v>46.89</v>
      </c>
      <c r="M292" s="12">
        <f t="shared" si="24"/>
        <v>-1.5949632738719792E-2</v>
      </c>
    </row>
    <row r="293" spans="1:13" x14ac:dyDescent="0.25">
      <c r="A293" s="23">
        <v>42580</v>
      </c>
      <c r="B293" s="21">
        <v>1.32</v>
      </c>
      <c r="C293" s="12">
        <f t="shared" si="20"/>
        <v>-1.0494752623688165E-2</v>
      </c>
      <c r="D293" s="6"/>
      <c r="E293" s="23">
        <v>42580</v>
      </c>
      <c r="F293" s="21">
        <v>42.14</v>
      </c>
      <c r="G293" s="12">
        <f t="shared" si="21"/>
        <v>-5.8324022346368701E-2</v>
      </c>
      <c r="H293" s="21">
        <v>42.87</v>
      </c>
      <c r="I293" s="12">
        <f t="shared" si="22"/>
        <v>-5.7595075840844237E-2</v>
      </c>
      <c r="J293" s="21">
        <v>43.61</v>
      </c>
      <c r="K293" s="12">
        <f t="shared" si="23"/>
        <v>-5.5651797314854923E-2</v>
      </c>
      <c r="L293" s="21">
        <v>44.33</v>
      </c>
      <c r="M293" s="12">
        <f t="shared" si="24"/>
        <v>-5.4595862657283049E-2</v>
      </c>
    </row>
    <row r="294" spans="1:13" x14ac:dyDescent="0.25">
      <c r="A294" s="23">
        <v>42587</v>
      </c>
      <c r="B294" s="21">
        <v>1.331</v>
      </c>
      <c r="C294" s="12">
        <f t="shared" si="20"/>
        <v>8.3333333333332569E-3</v>
      </c>
      <c r="D294" s="6"/>
      <c r="E294" s="23">
        <v>42587</v>
      </c>
      <c r="F294" s="21">
        <v>40.83</v>
      </c>
      <c r="G294" s="12">
        <f t="shared" si="21"/>
        <v>-3.1086853345989613E-2</v>
      </c>
      <c r="H294" s="21">
        <v>41.6</v>
      </c>
      <c r="I294" s="12">
        <f t="shared" si="22"/>
        <v>-2.9624445999533382E-2</v>
      </c>
      <c r="J294" s="21">
        <v>42.39</v>
      </c>
      <c r="K294" s="12">
        <f t="shared" si="23"/>
        <v>-2.7975235037835333E-2</v>
      </c>
      <c r="L294" s="21">
        <v>43.15</v>
      </c>
      <c r="M294" s="12">
        <f t="shared" si="24"/>
        <v>-2.6618542747575E-2</v>
      </c>
    </row>
    <row r="295" spans="1:13" x14ac:dyDescent="0.25">
      <c r="A295" s="23">
        <v>42594</v>
      </c>
      <c r="B295" s="21">
        <v>1.325</v>
      </c>
      <c r="C295" s="12">
        <f t="shared" si="20"/>
        <v>-4.5078888054094707E-3</v>
      </c>
      <c r="D295" s="6"/>
      <c r="E295" s="23">
        <v>42594</v>
      </c>
      <c r="F295" s="21">
        <v>43.1</v>
      </c>
      <c r="G295" s="12">
        <f t="shared" si="21"/>
        <v>5.5596375214303287E-2</v>
      </c>
      <c r="H295" s="21">
        <v>43.83</v>
      </c>
      <c r="I295" s="12">
        <f t="shared" si="22"/>
        <v>5.3605769230769151E-2</v>
      </c>
      <c r="J295" s="21">
        <v>44.58</v>
      </c>
      <c r="K295" s="12">
        <f t="shared" si="23"/>
        <v>5.166312809624906E-2</v>
      </c>
      <c r="L295" s="21">
        <v>45.29</v>
      </c>
      <c r="M295" s="12">
        <f t="shared" si="24"/>
        <v>4.9594438006952506E-2</v>
      </c>
    </row>
    <row r="296" spans="1:13" x14ac:dyDescent="0.25">
      <c r="A296" s="23">
        <v>42601</v>
      </c>
      <c r="B296" s="21">
        <v>1.4410000000000001</v>
      </c>
      <c r="C296" s="12">
        <f t="shared" si="20"/>
        <v>8.7547169811320838E-2</v>
      </c>
      <c r="D296" s="6"/>
      <c r="E296" s="23">
        <v>42601</v>
      </c>
      <c r="F296" s="21">
        <v>47.17</v>
      </c>
      <c r="G296" s="12">
        <f t="shared" si="21"/>
        <v>9.4431554524361958E-2</v>
      </c>
      <c r="H296" s="21">
        <v>47.83</v>
      </c>
      <c r="I296" s="12">
        <f t="shared" si="22"/>
        <v>9.1261692904403377E-2</v>
      </c>
      <c r="J296" s="21">
        <v>48.52</v>
      </c>
      <c r="K296" s="12">
        <f t="shared" si="23"/>
        <v>8.8380439659040036E-2</v>
      </c>
      <c r="L296" s="21">
        <v>49.16</v>
      </c>
      <c r="M296" s="12">
        <f t="shared" si="24"/>
        <v>8.544932656215494E-2</v>
      </c>
    </row>
    <row r="297" spans="1:13" x14ac:dyDescent="0.25">
      <c r="A297" s="23">
        <v>42608</v>
      </c>
      <c r="B297" s="21">
        <v>1.4239999999999999</v>
      </c>
      <c r="C297" s="12">
        <f t="shared" si="20"/>
        <v>-1.1797362942401197E-2</v>
      </c>
      <c r="D297" s="6"/>
      <c r="E297" s="23">
        <v>42608</v>
      </c>
      <c r="F297" s="21">
        <v>47.38</v>
      </c>
      <c r="G297" s="12">
        <f t="shared" si="21"/>
        <v>4.4519821920712497E-3</v>
      </c>
      <c r="H297" s="21">
        <v>48</v>
      </c>
      <c r="I297" s="12">
        <f t="shared" si="22"/>
        <v>3.5542546518921537E-3</v>
      </c>
      <c r="J297" s="21">
        <v>48.65</v>
      </c>
      <c r="K297" s="12">
        <f t="shared" si="23"/>
        <v>2.6793075020609121E-3</v>
      </c>
      <c r="L297" s="21">
        <v>49.29</v>
      </c>
      <c r="M297" s="12">
        <f t="shared" si="24"/>
        <v>2.6444263628967162E-3</v>
      </c>
    </row>
    <row r="298" spans="1:13" x14ac:dyDescent="0.25">
      <c r="A298" s="23">
        <v>42615</v>
      </c>
      <c r="B298" s="21">
        <v>1.371</v>
      </c>
      <c r="C298" s="12">
        <f t="shared" si="20"/>
        <v>-3.7219101123595465E-2</v>
      </c>
      <c r="D298" s="6"/>
      <c r="E298" s="23">
        <v>42615</v>
      </c>
      <c r="F298" s="21">
        <v>45.13</v>
      </c>
      <c r="G298" s="12">
        <f t="shared" si="21"/>
        <v>-4.7488391726466864E-2</v>
      </c>
      <c r="H298" s="21">
        <v>45.75</v>
      </c>
      <c r="I298" s="12">
        <f t="shared" si="22"/>
        <v>-4.6875E-2</v>
      </c>
      <c r="J298" s="21">
        <v>46.36</v>
      </c>
      <c r="K298" s="12">
        <f t="shared" si="23"/>
        <v>-4.7070914696813959E-2</v>
      </c>
      <c r="L298" s="21">
        <v>46.97</v>
      </c>
      <c r="M298" s="12">
        <f t="shared" si="24"/>
        <v>-4.7068370866301487E-2</v>
      </c>
    </row>
    <row r="299" spans="1:13" x14ac:dyDescent="0.25">
      <c r="A299" s="23">
        <v>42622</v>
      </c>
      <c r="B299" s="21">
        <v>1.413</v>
      </c>
      <c r="C299" s="12">
        <f t="shared" si="20"/>
        <v>3.0634573304157576E-2</v>
      </c>
      <c r="D299" s="6"/>
      <c r="E299" s="23">
        <v>42622</v>
      </c>
      <c r="F299" s="21">
        <v>45.96</v>
      </c>
      <c r="G299" s="12">
        <f t="shared" si="21"/>
        <v>1.8391313981830228E-2</v>
      </c>
      <c r="H299" s="21">
        <v>46.58</v>
      </c>
      <c r="I299" s="12">
        <f t="shared" si="22"/>
        <v>1.8142076502732203E-2</v>
      </c>
      <c r="J299" s="21">
        <v>47.22</v>
      </c>
      <c r="K299" s="12">
        <f t="shared" si="23"/>
        <v>1.8550474547023285E-2</v>
      </c>
      <c r="L299" s="21">
        <v>47.87</v>
      </c>
      <c r="M299" s="12">
        <f t="shared" si="24"/>
        <v>1.9161166702150279E-2</v>
      </c>
    </row>
    <row r="300" spans="1:13" x14ac:dyDescent="0.25">
      <c r="A300" s="23">
        <v>42629</v>
      </c>
      <c r="B300" s="21">
        <v>1.4390000000000001</v>
      </c>
      <c r="C300" s="12">
        <f t="shared" si="20"/>
        <v>1.8400566171266824E-2</v>
      </c>
      <c r="D300" s="6"/>
      <c r="E300" s="23">
        <v>42629</v>
      </c>
      <c r="F300" s="21">
        <v>44.34</v>
      </c>
      <c r="G300" s="12">
        <f t="shared" si="21"/>
        <v>-3.5248041775456866E-2</v>
      </c>
      <c r="H300" s="21">
        <v>44.92</v>
      </c>
      <c r="I300" s="12">
        <f t="shared" si="22"/>
        <v>-3.5637612709317229E-2</v>
      </c>
      <c r="J300" s="21">
        <v>45.59</v>
      </c>
      <c r="K300" s="12">
        <f t="shared" si="23"/>
        <v>-3.4519271495129088E-2</v>
      </c>
      <c r="L300" s="21">
        <v>46.25</v>
      </c>
      <c r="M300" s="12">
        <f t="shared" si="24"/>
        <v>-3.3841654480885677E-2</v>
      </c>
    </row>
    <row r="301" spans="1:13" x14ac:dyDescent="0.25">
      <c r="A301" s="23">
        <v>42636</v>
      </c>
      <c r="B301" s="21">
        <v>1.44</v>
      </c>
      <c r="C301" s="12">
        <f t="shared" si="20"/>
        <v>6.9492703266149398E-4</v>
      </c>
      <c r="D301" s="6"/>
      <c r="E301" s="23">
        <v>42636</v>
      </c>
      <c r="F301" s="21">
        <v>44.58</v>
      </c>
      <c r="G301" s="12">
        <f t="shared" si="21"/>
        <v>5.4127198917454863E-3</v>
      </c>
      <c r="H301" s="21">
        <v>45.15</v>
      </c>
      <c r="I301" s="12">
        <f t="shared" si="22"/>
        <v>5.1202137132679622E-3</v>
      </c>
      <c r="J301" s="21">
        <v>45.78</v>
      </c>
      <c r="K301" s="12">
        <f t="shared" si="23"/>
        <v>4.1675806097827969E-3</v>
      </c>
      <c r="L301" s="21">
        <v>46.4</v>
      </c>
      <c r="M301" s="12">
        <f t="shared" si="24"/>
        <v>3.2432432432432127E-3</v>
      </c>
    </row>
    <row r="302" spans="1:13" x14ac:dyDescent="0.25">
      <c r="A302" s="23">
        <v>42643</v>
      </c>
      <c r="B302" s="21">
        <v>1.486</v>
      </c>
      <c r="C302" s="12">
        <f t="shared" si="20"/>
        <v>3.1944444444444477E-2</v>
      </c>
      <c r="D302" s="6"/>
      <c r="E302" s="23">
        <v>42643</v>
      </c>
      <c r="F302" s="21">
        <v>46.74</v>
      </c>
      <c r="G302" s="12">
        <f t="shared" si="21"/>
        <v>4.8452220726783395E-2</v>
      </c>
      <c r="H302" s="21">
        <v>47.32</v>
      </c>
      <c r="I302" s="12">
        <f t="shared" si="22"/>
        <v>4.806201550387601E-2</v>
      </c>
      <c r="J302" s="21">
        <v>47.9</v>
      </c>
      <c r="K302" s="12">
        <f t="shared" si="23"/>
        <v>4.6308431629532493E-2</v>
      </c>
      <c r="L302" s="21">
        <v>48.44</v>
      </c>
      <c r="M302" s="12">
        <f t="shared" si="24"/>
        <v>4.3965517241379294E-2</v>
      </c>
    </row>
    <row r="303" spans="1:13" x14ac:dyDescent="0.25">
      <c r="A303" s="23">
        <v>42650</v>
      </c>
      <c r="B303" s="21">
        <v>1.506</v>
      </c>
      <c r="C303" s="12">
        <f t="shared" si="20"/>
        <v>1.3458950201884265E-2</v>
      </c>
      <c r="D303" s="6"/>
      <c r="E303" s="23">
        <v>42650</v>
      </c>
      <c r="F303" s="21">
        <v>49.52</v>
      </c>
      <c r="G303" s="12">
        <f t="shared" si="21"/>
        <v>5.9477963200684658E-2</v>
      </c>
      <c r="H303" s="21">
        <v>50.09</v>
      </c>
      <c r="I303" s="12">
        <f t="shared" si="22"/>
        <v>5.853761622992399E-2</v>
      </c>
      <c r="J303" s="21">
        <v>50.7</v>
      </c>
      <c r="K303" s="12">
        <f t="shared" si="23"/>
        <v>5.8455114822547061E-2</v>
      </c>
      <c r="L303" s="21">
        <v>51.25</v>
      </c>
      <c r="M303" s="12">
        <f t="shared" si="24"/>
        <v>5.8009909165978576E-2</v>
      </c>
    </row>
    <row r="304" spans="1:13" x14ac:dyDescent="0.25">
      <c r="A304" s="23">
        <v>42657</v>
      </c>
      <c r="B304" s="21">
        <v>1.5029999999999999</v>
      </c>
      <c r="C304" s="12">
        <f t="shared" si="20"/>
        <v>-1.9920318725100356E-3</v>
      </c>
      <c r="D304" s="6"/>
      <c r="E304" s="23">
        <v>42657</v>
      </c>
      <c r="F304" s="21">
        <v>50.44</v>
      </c>
      <c r="G304" s="12">
        <f t="shared" si="21"/>
        <v>1.8578352180936886E-2</v>
      </c>
      <c r="H304" s="21">
        <v>50.87</v>
      </c>
      <c r="I304" s="12">
        <f t="shared" si="22"/>
        <v>1.5571970453184147E-2</v>
      </c>
      <c r="J304" s="21">
        <v>51.39</v>
      </c>
      <c r="K304" s="12">
        <f t="shared" si="23"/>
        <v>1.3609467455621256E-2</v>
      </c>
      <c r="L304" s="21">
        <v>51.86</v>
      </c>
      <c r="M304" s="12">
        <f t="shared" si="24"/>
        <v>1.1902439024390234E-2</v>
      </c>
    </row>
    <row r="305" spans="1:13" x14ac:dyDescent="0.25">
      <c r="A305" s="23">
        <v>42664</v>
      </c>
      <c r="B305" s="21">
        <v>1.5489999999999999</v>
      </c>
      <c r="C305" s="12">
        <f t="shared" si="20"/>
        <v>3.0605455755156382E-2</v>
      </c>
      <c r="D305" s="6"/>
      <c r="E305" s="23">
        <v>42664</v>
      </c>
      <c r="F305" s="21">
        <v>50.62</v>
      </c>
      <c r="G305" s="12">
        <f t="shared" si="21"/>
        <v>3.5685963521015014E-3</v>
      </c>
      <c r="H305" s="21">
        <v>50.97</v>
      </c>
      <c r="I305" s="12">
        <f t="shared" si="22"/>
        <v>1.9657951641439244E-3</v>
      </c>
      <c r="J305" s="21">
        <v>51.49</v>
      </c>
      <c r="K305" s="12">
        <f t="shared" si="23"/>
        <v>1.9459038723487335E-3</v>
      </c>
      <c r="L305" s="21">
        <v>51.99</v>
      </c>
      <c r="M305" s="12">
        <f t="shared" si="24"/>
        <v>2.5067489394524213E-3</v>
      </c>
    </row>
    <row r="306" spans="1:13" x14ac:dyDescent="0.25">
      <c r="A306" s="23">
        <v>42671</v>
      </c>
      <c r="B306" s="21">
        <v>1.534</v>
      </c>
      <c r="C306" s="12">
        <f t="shared" si="20"/>
        <v>-9.6836668818592007E-3</v>
      </c>
      <c r="D306" s="6"/>
      <c r="E306" s="23">
        <v>42671</v>
      </c>
      <c r="F306" s="21">
        <v>49.62</v>
      </c>
      <c r="G306" s="12">
        <f t="shared" si="21"/>
        <v>-1.9755037534571317E-2</v>
      </c>
      <c r="H306" s="21">
        <v>50.25</v>
      </c>
      <c r="I306" s="12">
        <f t="shared" si="22"/>
        <v>-1.4125956444967606E-2</v>
      </c>
      <c r="J306" s="21">
        <v>50.86</v>
      </c>
      <c r="K306" s="12">
        <f t="shared" si="23"/>
        <v>-1.2235385511749904E-2</v>
      </c>
      <c r="L306" s="21">
        <v>51.43</v>
      </c>
      <c r="M306" s="12">
        <f t="shared" si="24"/>
        <v>-1.0771302173494946E-2</v>
      </c>
    </row>
    <row r="307" spans="1:13" x14ac:dyDescent="0.25">
      <c r="A307" s="23">
        <v>42678</v>
      </c>
      <c r="B307" s="21">
        <v>1.5289999999999999</v>
      </c>
      <c r="C307" s="12">
        <f t="shared" si="20"/>
        <v>-3.25945241199486E-3</v>
      </c>
      <c r="D307" s="6"/>
      <c r="E307" s="23">
        <v>42678</v>
      </c>
      <c r="F307" s="21">
        <v>45.52</v>
      </c>
      <c r="G307" s="12">
        <f t="shared" si="21"/>
        <v>-8.2627972591696783E-2</v>
      </c>
      <c r="H307" s="21">
        <v>46.11</v>
      </c>
      <c r="I307" s="12">
        <f t="shared" si="22"/>
        <v>-8.2388059701492544E-2</v>
      </c>
      <c r="J307" s="21">
        <v>46.71</v>
      </c>
      <c r="K307" s="12">
        <f t="shared" si="23"/>
        <v>-8.1596539520251643E-2</v>
      </c>
      <c r="L307" s="21">
        <v>47.32</v>
      </c>
      <c r="M307" s="12">
        <f t="shared" si="24"/>
        <v>-7.9914446820921636E-2</v>
      </c>
    </row>
    <row r="308" spans="1:13" x14ac:dyDescent="0.25">
      <c r="A308" s="23">
        <v>42685</v>
      </c>
      <c r="B308" s="21">
        <v>1.4590000000000001</v>
      </c>
      <c r="C308" s="12">
        <f t="shared" si="20"/>
        <v>-4.5781556572923376E-2</v>
      </c>
      <c r="D308" s="6"/>
      <c r="E308" s="23">
        <v>42685</v>
      </c>
      <c r="F308" s="21">
        <v>44.95</v>
      </c>
      <c r="G308" s="12">
        <f t="shared" si="21"/>
        <v>-1.2521968365553608E-2</v>
      </c>
      <c r="H308" s="21">
        <v>45.6</v>
      </c>
      <c r="I308" s="12">
        <f t="shared" si="22"/>
        <v>-1.106050748210796E-2</v>
      </c>
      <c r="J308" s="21">
        <v>46.3</v>
      </c>
      <c r="K308" s="12">
        <f t="shared" si="23"/>
        <v>-8.7775636908585669E-3</v>
      </c>
      <c r="L308" s="21">
        <v>47</v>
      </c>
      <c r="M308" s="12">
        <f t="shared" si="24"/>
        <v>-6.7624683009298451E-3</v>
      </c>
    </row>
    <row r="309" spans="1:13" x14ac:dyDescent="0.25">
      <c r="A309" s="23">
        <v>42692</v>
      </c>
      <c r="B309" s="21">
        <v>1.3879999999999999</v>
      </c>
      <c r="C309" s="12">
        <f t="shared" si="20"/>
        <v>-4.8663468128855497E-2</v>
      </c>
      <c r="D309" s="6"/>
      <c r="E309" s="23">
        <v>42692</v>
      </c>
      <c r="F309" s="21">
        <v>45.16</v>
      </c>
      <c r="G309" s="12">
        <f t="shared" si="21"/>
        <v>4.6718576195771688E-3</v>
      </c>
      <c r="H309" s="21">
        <v>45.75</v>
      </c>
      <c r="I309" s="12">
        <f t="shared" si="22"/>
        <v>3.2894736842104949E-3</v>
      </c>
      <c r="J309" s="21">
        <v>46.46</v>
      </c>
      <c r="K309" s="12">
        <f t="shared" si="23"/>
        <v>3.4557235421167109E-3</v>
      </c>
      <c r="L309" s="21">
        <v>47.16</v>
      </c>
      <c r="M309" s="12">
        <f t="shared" si="24"/>
        <v>3.4042553191488637E-3</v>
      </c>
    </row>
    <row r="310" spans="1:13" x14ac:dyDescent="0.25">
      <c r="A310" s="23">
        <v>42699</v>
      </c>
      <c r="B310" s="21">
        <v>1.47</v>
      </c>
      <c r="C310" s="12">
        <f t="shared" si="20"/>
        <v>5.9077809798270951E-2</v>
      </c>
      <c r="D310" s="6"/>
      <c r="E310" s="23">
        <v>42699</v>
      </c>
      <c r="F310" s="21">
        <v>47.83</v>
      </c>
      <c r="G310" s="12">
        <f t="shared" si="21"/>
        <v>5.9123117803365856E-2</v>
      </c>
      <c r="H310" s="21">
        <v>48.68</v>
      </c>
      <c r="I310" s="12">
        <f t="shared" si="22"/>
        <v>6.4043715846994531E-2</v>
      </c>
      <c r="J310" s="21">
        <v>49.51</v>
      </c>
      <c r="K310" s="12">
        <f t="shared" si="23"/>
        <v>6.5647869134739495E-2</v>
      </c>
      <c r="L310" s="21">
        <v>50.25</v>
      </c>
      <c r="M310" s="12">
        <f t="shared" si="24"/>
        <v>6.5521628498727807E-2</v>
      </c>
    </row>
    <row r="311" spans="1:13" x14ac:dyDescent="0.25">
      <c r="A311" s="23">
        <v>42706</v>
      </c>
      <c r="B311" s="21">
        <v>1.5289999999999999</v>
      </c>
      <c r="C311" s="12">
        <f t="shared" si="20"/>
        <v>4.0136054421768666E-2</v>
      </c>
      <c r="D311" s="6"/>
      <c r="E311" s="23">
        <v>42706</v>
      </c>
      <c r="F311" s="21">
        <v>48.9</v>
      </c>
      <c r="G311" s="12">
        <f t="shared" si="21"/>
        <v>2.2370896926615102E-2</v>
      </c>
      <c r="H311" s="21">
        <v>49.81</v>
      </c>
      <c r="I311" s="12">
        <f t="shared" si="22"/>
        <v>2.3212818405916241E-2</v>
      </c>
      <c r="J311" s="21">
        <v>50.68</v>
      </c>
      <c r="K311" s="12">
        <f t="shared" si="23"/>
        <v>2.3631589577863092E-2</v>
      </c>
      <c r="L311" s="21">
        <v>51.36</v>
      </c>
      <c r="M311" s="12">
        <f t="shared" si="24"/>
        <v>2.208955223880596E-2</v>
      </c>
    </row>
    <row r="312" spans="1:13" x14ac:dyDescent="0.25">
      <c r="A312" s="23">
        <v>42713</v>
      </c>
      <c r="B312" s="21">
        <v>1.575</v>
      </c>
      <c r="C312" s="12">
        <f t="shared" si="20"/>
        <v>3.0085022890778315E-2</v>
      </c>
      <c r="D312" s="6"/>
      <c r="E312" s="23">
        <v>42713</v>
      </c>
      <c r="F312" s="21">
        <v>50.97</v>
      </c>
      <c r="G312" s="12">
        <f t="shared" si="21"/>
        <v>4.2331288343558288E-2</v>
      </c>
      <c r="H312" s="21">
        <v>52.01</v>
      </c>
      <c r="I312" s="12">
        <f t="shared" si="22"/>
        <v>4.416783778357751E-2</v>
      </c>
      <c r="J312" s="21">
        <v>52.95</v>
      </c>
      <c r="K312" s="12">
        <f t="shared" si="23"/>
        <v>4.4790844514601483E-2</v>
      </c>
      <c r="L312" s="21">
        <v>53.65</v>
      </c>
      <c r="M312" s="12">
        <f t="shared" si="24"/>
        <v>4.4587227414330202E-2</v>
      </c>
    </row>
    <row r="313" spans="1:13" x14ac:dyDescent="0.25">
      <c r="A313" s="23">
        <v>42720</v>
      </c>
      <c r="B313" s="21">
        <v>1.603</v>
      </c>
      <c r="C313" s="12">
        <f t="shared" si="20"/>
        <v>1.7777777777777795E-2</v>
      </c>
      <c r="D313" s="6"/>
      <c r="E313" s="23">
        <v>42720</v>
      </c>
      <c r="F313" s="21">
        <v>51.93</v>
      </c>
      <c r="G313" s="12">
        <f t="shared" si="21"/>
        <v>1.8834608593290187E-2</v>
      </c>
      <c r="H313" s="21">
        <v>52.94</v>
      </c>
      <c r="I313" s="12">
        <f t="shared" si="22"/>
        <v>1.7881176696789073E-2</v>
      </c>
      <c r="J313" s="21">
        <v>53.85</v>
      </c>
      <c r="K313" s="12">
        <f t="shared" si="23"/>
        <v>1.6997167138810172E-2</v>
      </c>
      <c r="L313" s="21">
        <v>54.52</v>
      </c>
      <c r="M313" s="12">
        <f t="shared" si="24"/>
        <v>1.62162162162163E-2</v>
      </c>
    </row>
    <row r="314" spans="1:13" x14ac:dyDescent="0.25">
      <c r="A314" s="23">
        <v>42727</v>
      </c>
      <c r="B314" s="21">
        <v>1.655</v>
      </c>
      <c r="C314" s="12">
        <f t="shared" si="20"/>
        <v>3.2439176543980069E-2</v>
      </c>
      <c r="D314" s="6"/>
      <c r="E314" s="23">
        <v>42727</v>
      </c>
      <c r="F314" s="21">
        <v>52.56</v>
      </c>
      <c r="G314" s="12">
        <f t="shared" si="21"/>
        <v>1.2131715771230551E-2</v>
      </c>
      <c r="H314" s="21">
        <v>53.5</v>
      </c>
      <c r="I314" s="12">
        <f t="shared" si="22"/>
        <v>1.0578012844729926E-2</v>
      </c>
      <c r="J314" s="21">
        <v>54.29</v>
      </c>
      <c r="K314" s="12">
        <f t="shared" si="23"/>
        <v>8.1708449396471258E-3</v>
      </c>
      <c r="L314" s="21">
        <v>54.91</v>
      </c>
      <c r="M314" s="12">
        <f t="shared" si="24"/>
        <v>7.1533382245046488E-3</v>
      </c>
    </row>
    <row r="315" spans="1:13" x14ac:dyDescent="0.25">
      <c r="A315" s="23">
        <v>42734</v>
      </c>
      <c r="B315" s="21">
        <v>1.7150000000000001</v>
      </c>
      <c r="C315" s="12">
        <f t="shared" si="20"/>
        <v>3.6253776435045348E-2</v>
      </c>
      <c r="D315" s="6"/>
      <c r="E315" s="23">
        <v>42734</v>
      </c>
      <c r="F315" s="21">
        <v>53.86</v>
      </c>
      <c r="G315" s="12">
        <f t="shared" si="21"/>
        <v>2.4733637747336324E-2</v>
      </c>
      <c r="H315" s="21">
        <v>54.78</v>
      </c>
      <c r="I315" s="12">
        <f t="shared" si="22"/>
        <v>2.3925233644859833E-2</v>
      </c>
      <c r="J315" s="21">
        <v>55.53</v>
      </c>
      <c r="K315" s="12">
        <f t="shared" si="23"/>
        <v>2.2840302081414663E-2</v>
      </c>
      <c r="L315" s="21">
        <v>56.12</v>
      </c>
      <c r="M315" s="12">
        <f t="shared" si="24"/>
        <v>2.203605900564562E-2</v>
      </c>
    </row>
    <row r="316" spans="1:13" x14ac:dyDescent="0.25">
      <c r="A316" s="23">
        <v>42741</v>
      </c>
      <c r="B316" s="21">
        <v>1.6950000000000001</v>
      </c>
      <c r="C316" s="12">
        <f t="shared" si="20"/>
        <v>-1.1661807580174937E-2</v>
      </c>
      <c r="D316" s="6"/>
      <c r="E316" s="23">
        <v>42741</v>
      </c>
      <c r="F316" s="21">
        <v>53.34</v>
      </c>
      <c r="G316" s="12">
        <f t="shared" si="21"/>
        <v>-9.6546602302264393E-3</v>
      </c>
      <c r="H316" s="21">
        <v>54.27</v>
      </c>
      <c r="I316" s="12">
        <f t="shared" si="22"/>
        <v>-9.3099671412924054E-3</v>
      </c>
      <c r="J316" s="21">
        <v>55.09</v>
      </c>
      <c r="K316" s="12">
        <f t="shared" si="23"/>
        <v>-7.9236448766432151E-3</v>
      </c>
      <c r="L316" s="21">
        <v>55.78</v>
      </c>
      <c r="M316" s="12">
        <f t="shared" si="24"/>
        <v>-6.0584461867426286E-3</v>
      </c>
    </row>
    <row r="317" spans="1:13" x14ac:dyDescent="0.25">
      <c r="A317" s="23">
        <v>42748</v>
      </c>
      <c r="B317" s="21">
        <v>1.6279999999999999</v>
      </c>
      <c r="C317" s="12">
        <f t="shared" si="20"/>
        <v>-3.9528023598820156E-2</v>
      </c>
      <c r="D317" s="6"/>
      <c r="E317" s="23">
        <v>42748</v>
      </c>
      <c r="F317" s="21">
        <v>52.08</v>
      </c>
      <c r="G317" s="12">
        <f t="shared" si="21"/>
        <v>-2.3622047244094582E-2</v>
      </c>
      <c r="H317" s="21">
        <v>52.92</v>
      </c>
      <c r="I317" s="12">
        <f t="shared" si="22"/>
        <v>-2.4875621890547289E-2</v>
      </c>
      <c r="J317" s="21">
        <v>53.74</v>
      </c>
      <c r="K317" s="12">
        <f t="shared" si="23"/>
        <v>-2.4505354873842828E-2</v>
      </c>
      <c r="L317" s="21">
        <v>54.48</v>
      </c>
      <c r="M317" s="12">
        <f t="shared" si="24"/>
        <v>-2.3305844388669849E-2</v>
      </c>
    </row>
    <row r="318" spans="1:13" x14ac:dyDescent="0.25">
      <c r="A318" s="23">
        <v>42755</v>
      </c>
      <c r="B318" s="21">
        <v>1.615</v>
      </c>
      <c r="C318" s="12">
        <f t="shared" si="20"/>
        <v>-7.9852579852579247E-3</v>
      </c>
      <c r="D318" s="6"/>
      <c r="E318" s="23">
        <v>42755</v>
      </c>
      <c r="F318" s="21">
        <v>51.84</v>
      </c>
      <c r="G318" s="12">
        <f t="shared" si="21"/>
        <v>-4.608294930875478E-3</v>
      </c>
      <c r="H318" s="21">
        <v>52.62</v>
      </c>
      <c r="I318" s="12">
        <f t="shared" si="22"/>
        <v>-5.6689342403628924E-3</v>
      </c>
      <c r="J318" s="21">
        <v>53.37</v>
      </c>
      <c r="K318" s="12">
        <f t="shared" si="23"/>
        <v>-6.8850018608113978E-3</v>
      </c>
      <c r="L318" s="21">
        <v>54.06</v>
      </c>
      <c r="M318" s="12">
        <f t="shared" si="24"/>
        <v>-7.7092511013214871E-3</v>
      </c>
    </row>
    <row r="319" spans="1:13" x14ac:dyDescent="0.25">
      <c r="A319" s="23">
        <v>42762</v>
      </c>
      <c r="B319" s="21">
        <v>1.5740000000000001</v>
      </c>
      <c r="C319" s="12">
        <f t="shared" si="20"/>
        <v>-2.5386996904024722E-2</v>
      </c>
      <c r="D319" s="6"/>
      <c r="E319" s="23">
        <v>42762</v>
      </c>
      <c r="F319" s="21">
        <v>53.13</v>
      </c>
      <c r="G319" s="12">
        <f t="shared" si="21"/>
        <v>2.4884259259259241E-2</v>
      </c>
      <c r="H319" s="21">
        <v>53.78</v>
      </c>
      <c r="I319" s="12">
        <f t="shared" si="22"/>
        <v>2.2044849866970806E-2</v>
      </c>
      <c r="J319" s="21">
        <v>54.35</v>
      </c>
      <c r="K319" s="12">
        <f t="shared" si="23"/>
        <v>1.8362375866591795E-2</v>
      </c>
      <c r="L319" s="21">
        <v>54.82</v>
      </c>
      <c r="M319" s="12">
        <f t="shared" si="24"/>
        <v>1.4058453570107252E-2</v>
      </c>
    </row>
    <row r="320" spans="1:13" x14ac:dyDescent="0.25">
      <c r="A320" s="23">
        <v>42769</v>
      </c>
      <c r="B320" s="21">
        <v>1.5629999999999999</v>
      </c>
      <c r="C320" s="12">
        <f t="shared" si="20"/>
        <v>-6.9885641677256164E-3</v>
      </c>
      <c r="D320" s="6"/>
      <c r="E320" s="23">
        <v>42769</v>
      </c>
      <c r="F320" s="21">
        <v>53.34</v>
      </c>
      <c r="G320" s="12">
        <f t="shared" si="21"/>
        <v>3.9525691699604905E-3</v>
      </c>
      <c r="H320" s="21">
        <v>53.96</v>
      </c>
      <c r="I320" s="12">
        <f t="shared" si="22"/>
        <v>3.3469691335068744E-3</v>
      </c>
      <c r="J320" s="21">
        <v>54.47</v>
      </c>
      <c r="K320" s="12">
        <f t="shared" si="23"/>
        <v>2.2079116835326115E-3</v>
      </c>
      <c r="L320" s="21">
        <v>54.91</v>
      </c>
      <c r="M320" s="12">
        <f t="shared" si="24"/>
        <v>1.6417365924844274E-3</v>
      </c>
    </row>
    <row r="321" spans="1:13" x14ac:dyDescent="0.25">
      <c r="A321" s="23">
        <v>42776</v>
      </c>
      <c r="B321" s="21">
        <v>1.536</v>
      </c>
      <c r="C321" s="12">
        <f t="shared" si="20"/>
        <v>-1.7274472168905895E-2</v>
      </c>
      <c r="D321" s="6"/>
      <c r="E321" s="23">
        <v>42776</v>
      </c>
      <c r="F321" s="21">
        <v>52.88</v>
      </c>
      <c r="G321" s="12">
        <f t="shared" si="21"/>
        <v>-8.6239220097487964E-3</v>
      </c>
      <c r="H321" s="21">
        <v>53.42</v>
      </c>
      <c r="I321" s="12">
        <f t="shared" si="22"/>
        <v>-1.0007412898443275E-2</v>
      </c>
      <c r="J321" s="21">
        <v>53.9</v>
      </c>
      <c r="K321" s="12">
        <f t="shared" si="23"/>
        <v>-1.0464475858270613E-2</v>
      </c>
      <c r="L321" s="21">
        <v>54.3</v>
      </c>
      <c r="M321" s="12">
        <f t="shared" si="24"/>
        <v>-1.1109087597887443E-2</v>
      </c>
    </row>
    <row r="322" spans="1:13" x14ac:dyDescent="0.25">
      <c r="A322" s="23">
        <v>42783</v>
      </c>
      <c r="B322" s="21">
        <v>1.5469999999999999</v>
      </c>
      <c r="C322" s="12">
        <f t="shared" si="20"/>
        <v>7.1614583333332671E-3</v>
      </c>
      <c r="D322" s="6"/>
      <c r="E322" s="23">
        <v>42783</v>
      </c>
      <c r="F322" s="21">
        <v>53.2</v>
      </c>
      <c r="G322" s="12">
        <f t="shared" si="21"/>
        <v>6.0514372163388858E-3</v>
      </c>
      <c r="H322" s="21">
        <v>53.65</v>
      </c>
      <c r="I322" s="12">
        <f t="shared" si="22"/>
        <v>4.305503556720271E-3</v>
      </c>
      <c r="J322" s="21">
        <v>54.03</v>
      </c>
      <c r="K322" s="12">
        <f t="shared" si="23"/>
        <v>2.4118738404453163E-3</v>
      </c>
      <c r="L322" s="21">
        <v>54.35</v>
      </c>
      <c r="M322" s="12">
        <f t="shared" si="24"/>
        <v>9.2081031307558498E-4</v>
      </c>
    </row>
    <row r="323" spans="1:13" x14ac:dyDescent="0.25">
      <c r="A323" s="23">
        <v>42790</v>
      </c>
      <c r="B323" s="21">
        <v>1.5329999999999999</v>
      </c>
      <c r="C323" s="12">
        <f t="shared" si="20"/>
        <v>-9.0497737556561163E-3</v>
      </c>
      <c r="D323" s="6"/>
      <c r="E323" s="23">
        <v>42790</v>
      </c>
      <c r="F323" s="21">
        <v>54.02</v>
      </c>
      <c r="G323" s="12">
        <f t="shared" si="21"/>
        <v>1.5413533834586471E-2</v>
      </c>
      <c r="H323" s="21">
        <v>54.34</v>
      </c>
      <c r="I323" s="12">
        <f t="shared" si="22"/>
        <v>1.2861136999068124E-2</v>
      </c>
      <c r="J323" s="21">
        <v>54.58</v>
      </c>
      <c r="K323" s="12">
        <f t="shared" si="23"/>
        <v>1.0179529890801354E-2</v>
      </c>
      <c r="L323" s="21">
        <v>54.77</v>
      </c>
      <c r="M323" s="12">
        <f t="shared" si="24"/>
        <v>7.7276908923643367E-3</v>
      </c>
    </row>
    <row r="324" spans="1:13" x14ac:dyDescent="0.25">
      <c r="A324" s="23">
        <v>42797</v>
      </c>
      <c r="B324" s="21">
        <v>1.492</v>
      </c>
      <c r="C324" s="12">
        <f t="shared" si="20"/>
        <v>-2.6744944553163685E-2</v>
      </c>
      <c r="D324" s="6"/>
      <c r="E324" s="23">
        <v>42797</v>
      </c>
      <c r="F324" s="21">
        <v>53.57</v>
      </c>
      <c r="G324" s="12">
        <f t="shared" si="21"/>
        <v>-8.3302480562755053E-3</v>
      </c>
      <c r="H324" s="21">
        <v>54</v>
      </c>
      <c r="I324" s="12">
        <f t="shared" si="22"/>
        <v>-6.2569009937431617E-3</v>
      </c>
      <c r="J324" s="21">
        <v>54.32</v>
      </c>
      <c r="K324" s="12">
        <f t="shared" si="23"/>
        <v>-4.7636496885305607E-3</v>
      </c>
      <c r="L324" s="21">
        <v>54.57</v>
      </c>
      <c r="M324" s="12">
        <f t="shared" si="24"/>
        <v>-3.6516341062626041E-3</v>
      </c>
    </row>
    <row r="325" spans="1:13" x14ac:dyDescent="0.25">
      <c r="A325" s="23">
        <v>42804</v>
      </c>
      <c r="B325" s="21">
        <v>1.484</v>
      </c>
      <c r="C325" s="12">
        <f t="shared" ref="C325:C388" si="25">(B325-B324)/B324</f>
        <v>-5.3619302949061707E-3</v>
      </c>
      <c r="D325" s="6"/>
      <c r="E325" s="23">
        <v>42804</v>
      </c>
      <c r="F325" s="21">
        <v>50.88</v>
      </c>
      <c r="G325" s="12">
        <f t="shared" ref="G325:G388" si="26">(F325-F324)/F324</f>
        <v>-5.0214672391263725E-2</v>
      </c>
      <c r="H325" s="21">
        <v>51.41</v>
      </c>
      <c r="I325" s="12">
        <f t="shared" ref="I325:I388" si="27">(H325-H324)/H324</f>
        <v>-4.7962962962963027E-2</v>
      </c>
      <c r="J325" s="21">
        <v>51.81</v>
      </c>
      <c r="K325" s="12">
        <f t="shared" ref="K325:K388" si="28">(J325-J324)/J324</f>
        <v>-4.6207658321060344E-2</v>
      </c>
      <c r="L325" s="21">
        <v>52.13</v>
      </c>
      <c r="M325" s="12">
        <f t="shared" ref="M325:M388" si="29">(L325-L324)/L324</f>
        <v>-4.4713212387758799E-2</v>
      </c>
    </row>
    <row r="326" spans="1:13" x14ac:dyDescent="0.25">
      <c r="A326" s="23">
        <v>42811</v>
      </c>
      <c r="B326" s="21">
        <v>1.454</v>
      </c>
      <c r="C326" s="12">
        <f t="shared" si="25"/>
        <v>-2.0215633423180612E-2</v>
      </c>
      <c r="D326" s="6"/>
      <c r="E326" s="23">
        <v>42811</v>
      </c>
      <c r="F326" s="21">
        <v>48.5</v>
      </c>
      <c r="G326" s="12">
        <f t="shared" si="26"/>
        <v>-4.6776729559748473E-2</v>
      </c>
      <c r="H326" s="21">
        <v>49.04</v>
      </c>
      <c r="I326" s="12">
        <f t="shared" si="27"/>
        <v>-4.6099980548531365E-2</v>
      </c>
      <c r="J326" s="21">
        <v>49.47</v>
      </c>
      <c r="K326" s="12">
        <f t="shared" si="28"/>
        <v>-4.5165026056745869E-2</v>
      </c>
      <c r="L326" s="21">
        <v>49.79</v>
      </c>
      <c r="M326" s="12">
        <f t="shared" si="29"/>
        <v>-4.4887780548628492E-2</v>
      </c>
    </row>
    <row r="327" spans="1:13" x14ac:dyDescent="0.25">
      <c r="A327" s="23">
        <v>42818</v>
      </c>
      <c r="B327" s="21">
        <v>1.4910000000000001</v>
      </c>
      <c r="C327" s="12">
        <f t="shared" si="25"/>
        <v>2.5447042640990472E-2</v>
      </c>
      <c r="D327" s="6"/>
      <c r="E327" s="23">
        <v>42818</v>
      </c>
      <c r="F327" s="21">
        <v>47.85</v>
      </c>
      <c r="G327" s="12">
        <f t="shared" si="26"/>
        <v>-1.3402061855670075E-2</v>
      </c>
      <c r="H327" s="21">
        <v>48.5</v>
      </c>
      <c r="I327" s="12">
        <f t="shared" si="27"/>
        <v>-1.1011419249592152E-2</v>
      </c>
      <c r="J327" s="21">
        <v>48.94</v>
      </c>
      <c r="K327" s="12">
        <f t="shared" si="28"/>
        <v>-1.0713563776025897E-2</v>
      </c>
      <c r="L327" s="21">
        <v>49.26</v>
      </c>
      <c r="M327" s="12">
        <f t="shared" si="29"/>
        <v>-1.0644707772645132E-2</v>
      </c>
    </row>
    <row r="328" spans="1:13" x14ac:dyDescent="0.25">
      <c r="A328" s="23">
        <v>42825</v>
      </c>
      <c r="B328" s="21">
        <v>1.5649999999999999</v>
      </c>
      <c r="C328" s="12">
        <f t="shared" si="25"/>
        <v>4.9631120053655157E-2</v>
      </c>
      <c r="D328" s="6"/>
      <c r="E328" s="23">
        <v>42825</v>
      </c>
      <c r="F328" s="21">
        <v>49.31</v>
      </c>
      <c r="G328" s="12">
        <f t="shared" si="26"/>
        <v>3.0512016718913286E-2</v>
      </c>
      <c r="H328" s="21">
        <v>49.81</v>
      </c>
      <c r="I328" s="12">
        <f t="shared" si="27"/>
        <v>2.7010309278350561E-2</v>
      </c>
      <c r="J328" s="21">
        <v>50.17</v>
      </c>
      <c r="K328" s="12">
        <f t="shared" si="28"/>
        <v>2.5132815692685002E-2</v>
      </c>
      <c r="L328" s="21">
        <v>50.42</v>
      </c>
      <c r="M328" s="12">
        <f t="shared" si="29"/>
        <v>2.3548518067397557E-2</v>
      </c>
    </row>
    <row r="329" spans="1:13" x14ac:dyDescent="0.25">
      <c r="A329" s="23">
        <v>42832</v>
      </c>
      <c r="B329" s="21">
        <v>1.6359999999999999</v>
      </c>
      <c r="C329" s="12">
        <f t="shared" si="25"/>
        <v>4.5367412140575047E-2</v>
      </c>
      <c r="D329" s="6"/>
      <c r="E329" s="23">
        <v>42832</v>
      </c>
      <c r="F329" s="21">
        <v>51.27</v>
      </c>
      <c r="G329" s="12">
        <f t="shared" si="26"/>
        <v>3.9748529709997989E-2</v>
      </c>
      <c r="H329" s="21">
        <v>51.72</v>
      </c>
      <c r="I329" s="12">
        <f t="shared" si="27"/>
        <v>3.8345713712105933E-2</v>
      </c>
      <c r="J329" s="21">
        <v>52.07</v>
      </c>
      <c r="K329" s="12">
        <f t="shared" si="28"/>
        <v>3.787123779150884E-2</v>
      </c>
      <c r="L329" s="21">
        <v>52.32</v>
      </c>
      <c r="M329" s="12">
        <f t="shared" si="29"/>
        <v>3.7683458944863121E-2</v>
      </c>
    </row>
    <row r="330" spans="1:13" x14ac:dyDescent="0.25">
      <c r="A330" s="23">
        <v>42839</v>
      </c>
      <c r="B330" s="21">
        <v>1.6559999999999999</v>
      </c>
      <c r="C330" s="12">
        <f t="shared" si="25"/>
        <v>1.2224938875305635E-2</v>
      </c>
      <c r="D330" s="6"/>
      <c r="E330" s="23">
        <v>42839</v>
      </c>
      <c r="F330" s="21">
        <v>53.19</v>
      </c>
      <c r="G330" s="12">
        <f t="shared" si="26"/>
        <v>3.7448800468109895E-2</v>
      </c>
      <c r="H330" s="21">
        <v>53.6</v>
      </c>
      <c r="I330" s="12">
        <f t="shared" si="27"/>
        <v>3.6349574632637327E-2</v>
      </c>
      <c r="J330" s="21">
        <v>53.92</v>
      </c>
      <c r="K330" s="12">
        <f t="shared" si="28"/>
        <v>3.5529095448434828E-2</v>
      </c>
      <c r="L330" s="21">
        <v>54.15</v>
      </c>
      <c r="M330" s="12">
        <f t="shared" si="29"/>
        <v>3.497706422018345E-2</v>
      </c>
    </row>
    <row r="331" spans="1:13" x14ac:dyDescent="0.25">
      <c r="A331" s="23">
        <v>42846</v>
      </c>
      <c r="B331" s="21">
        <v>1.621</v>
      </c>
      <c r="C331" s="12">
        <f t="shared" si="25"/>
        <v>-2.1135265700483043E-2</v>
      </c>
      <c r="D331" s="6"/>
      <c r="E331" s="23">
        <v>42846</v>
      </c>
      <c r="F331" s="21">
        <v>51.08</v>
      </c>
      <c r="G331" s="12">
        <f t="shared" si="26"/>
        <v>-3.9669110735100571E-2</v>
      </c>
      <c r="H331" s="21">
        <v>51.5</v>
      </c>
      <c r="I331" s="12">
        <f t="shared" si="27"/>
        <v>-3.9179104477611963E-2</v>
      </c>
      <c r="J331" s="21">
        <v>51.84</v>
      </c>
      <c r="K331" s="12">
        <f t="shared" si="28"/>
        <v>-3.8575667655786315E-2</v>
      </c>
      <c r="L331" s="21">
        <v>52.12</v>
      </c>
      <c r="M331" s="12">
        <f t="shared" si="29"/>
        <v>-3.7488457987072968E-2</v>
      </c>
    </row>
    <row r="332" spans="1:13" x14ac:dyDescent="0.25">
      <c r="A332" s="23">
        <v>42853</v>
      </c>
      <c r="B332" s="21">
        <v>1.5329999999999999</v>
      </c>
      <c r="C332" s="12">
        <f t="shared" si="25"/>
        <v>-5.4287476866132063E-2</v>
      </c>
      <c r="D332" s="6"/>
      <c r="E332" s="23">
        <v>42853</v>
      </c>
      <c r="F332" s="21">
        <v>49.34</v>
      </c>
      <c r="G332" s="12">
        <f t="shared" si="26"/>
        <v>-3.4064212999216817E-2</v>
      </c>
      <c r="H332" s="21">
        <v>49.67</v>
      </c>
      <c r="I332" s="12">
        <f t="shared" si="27"/>
        <v>-3.5533980582524237E-2</v>
      </c>
      <c r="J332" s="21">
        <v>49.94</v>
      </c>
      <c r="K332" s="12">
        <f t="shared" si="28"/>
        <v>-3.6651234567901342E-2</v>
      </c>
      <c r="L332" s="21">
        <v>50.18</v>
      </c>
      <c r="M332" s="12">
        <f t="shared" si="29"/>
        <v>-3.7221795855717534E-2</v>
      </c>
    </row>
    <row r="333" spans="1:13" x14ac:dyDescent="0.25">
      <c r="A333" s="23">
        <v>42860</v>
      </c>
      <c r="B333" s="21">
        <v>1.46</v>
      </c>
      <c r="C333" s="12">
        <f t="shared" si="25"/>
        <v>-4.7619047619047589E-2</v>
      </c>
      <c r="D333" s="6"/>
      <c r="E333" s="23">
        <v>42860</v>
      </c>
      <c r="F333" s="21">
        <v>47.21</v>
      </c>
      <c r="G333" s="12">
        <f t="shared" si="26"/>
        <v>-4.3169841913255014E-2</v>
      </c>
      <c r="H333" s="21">
        <v>47.57</v>
      </c>
      <c r="I333" s="12">
        <f t="shared" si="27"/>
        <v>-4.227904167505539E-2</v>
      </c>
      <c r="J333" s="21">
        <v>47.84</v>
      </c>
      <c r="K333" s="12">
        <f t="shared" si="28"/>
        <v>-4.2050460552663087E-2</v>
      </c>
      <c r="L333" s="21">
        <v>48.09</v>
      </c>
      <c r="M333" s="12">
        <f t="shared" si="29"/>
        <v>-4.1650059784774734E-2</v>
      </c>
    </row>
    <row r="334" spans="1:13" x14ac:dyDescent="0.25">
      <c r="A334" s="23">
        <v>42867</v>
      </c>
      <c r="B334" s="21">
        <v>1.486</v>
      </c>
      <c r="C334" s="12">
        <f t="shared" si="25"/>
        <v>1.7808219178082209E-2</v>
      </c>
      <c r="D334" s="6"/>
      <c r="E334" s="23">
        <v>42867</v>
      </c>
      <c r="F334" s="21">
        <v>47.06</v>
      </c>
      <c r="G334" s="12">
        <f t="shared" si="26"/>
        <v>-3.177292946409629E-3</v>
      </c>
      <c r="H334" s="21">
        <v>47.44</v>
      </c>
      <c r="I334" s="12">
        <f t="shared" si="27"/>
        <v>-2.7328147992432741E-3</v>
      </c>
      <c r="J334" s="21">
        <v>47.76</v>
      </c>
      <c r="K334" s="12">
        <f t="shared" si="28"/>
        <v>-1.672240802675698E-3</v>
      </c>
      <c r="L334" s="21">
        <v>48.03</v>
      </c>
      <c r="M334" s="12">
        <f t="shared" si="29"/>
        <v>-1.2476606363069718E-3</v>
      </c>
    </row>
    <row r="335" spans="1:13" x14ac:dyDescent="0.25">
      <c r="A335" s="23">
        <v>42874</v>
      </c>
      <c r="B335" s="21">
        <v>1.569</v>
      </c>
      <c r="C335" s="12">
        <f t="shared" si="25"/>
        <v>5.5854643337819629E-2</v>
      </c>
      <c r="D335" s="6"/>
      <c r="E335" s="23">
        <v>42874</v>
      </c>
      <c r="F335" s="21">
        <v>49.25</v>
      </c>
      <c r="G335" s="12">
        <f t="shared" si="26"/>
        <v>4.653633659158516E-2</v>
      </c>
      <c r="H335" s="21">
        <v>49.58</v>
      </c>
      <c r="I335" s="12">
        <f t="shared" si="27"/>
        <v>4.5109612141652627E-2</v>
      </c>
      <c r="J335" s="21">
        <v>49.84</v>
      </c>
      <c r="K335" s="12">
        <f t="shared" si="28"/>
        <v>4.3551088777219547E-2</v>
      </c>
      <c r="L335" s="21">
        <v>50.08</v>
      </c>
      <c r="M335" s="12">
        <f t="shared" si="29"/>
        <v>4.2681657297522324E-2</v>
      </c>
    </row>
    <row r="336" spans="1:13" x14ac:dyDescent="0.25">
      <c r="A336" s="23">
        <v>42881</v>
      </c>
      <c r="B336" s="21">
        <v>1.61</v>
      </c>
      <c r="C336" s="12">
        <f t="shared" si="25"/>
        <v>2.6131293817718386E-2</v>
      </c>
      <c r="D336" s="6"/>
      <c r="E336" s="23">
        <v>42881</v>
      </c>
      <c r="F336" s="21">
        <v>50.45</v>
      </c>
      <c r="G336" s="12">
        <f t="shared" si="26"/>
        <v>2.4365482233502597E-2</v>
      </c>
      <c r="H336" s="21">
        <v>50.73</v>
      </c>
      <c r="I336" s="12">
        <f t="shared" si="27"/>
        <v>2.3194836627672421E-2</v>
      </c>
      <c r="J336" s="21">
        <v>50.93</v>
      </c>
      <c r="K336" s="12">
        <f t="shared" si="28"/>
        <v>2.1869983948635558E-2</v>
      </c>
      <c r="L336" s="21">
        <v>51.09</v>
      </c>
      <c r="M336" s="12">
        <f t="shared" si="29"/>
        <v>2.0167731629393074E-2</v>
      </c>
    </row>
    <row r="337" spans="1:13" x14ac:dyDescent="0.25">
      <c r="A337" s="23">
        <v>42888</v>
      </c>
      <c r="B337" s="21">
        <v>1.585</v>
      </c>
      <c r="C337" s="12">
        <f t="shared" si="25"/>
        <v>-1.5527950310559088E-2</v>
      </c>
      <c r="D337" s="6"/>
      <c r="E337" s="23">
        <v>42888</v>
      </c>
      <c r="F337" s="21">
        <v>48.5</v>
      </c>
      <c r="G337" s="12">
        <f t="shared" si="26"/>
        <v>-3.8652130822596685E-2</v>
      </c>
      <c r="H337" s="21">
        <v>48.74</v>
      </c>
      <c r="I337" s="12">
        <f t="shared" si="27"/>
        <v>-3.9227281687364383E-2</v>
      </c>
      <c r="J337" s="21">
        <v>48.92</v>
      </c>
      <c r="K337" s="12">
        <f t="shared" si="28"/>
        <v>-3.9465933634400117E-2</v>
      </c>
      <c r="L337" s="21">
        <v>49.06</v>
      </c>
      <c r="M337" s="12">
        <f t="shared" si="29"/>
        <v>-3.9733803092581739E-2</v>
      </c>
    </row>
    <row r="338" spans="1:13" x14ac:dyDescent="0.25">
      <c r="A338" s="23">
        <v>42895</v>
      </c>
      <c r="B338" s="21">
        <v>1.4810000000000001</v>
      </c>
      <c r="C338" s="12">
        <f t="shared" si="25"/>
        <v>-6.5615141955835884E-2</v>
      </c>
      <c r="D338" s="6"/>
      <c r="E338" s="23">
        <v>42895</v>
      </c>
      <c r="F338" s="21">
        <v>46.56</v>
      </c>
      <c r="G338" s="12">
        <f t="shared" si="26"/>
        <v>-3.9999999999999952E-2</v>
      </c>
      <c r="H338" s="21">
        <v>46.77</v>
      </c>
      <c r="I338" s="12">
        <f t="shared" si="27"/>
        <v>-4.0418547394337277E-2</v>
      </c>
      <c r="J338" s="21">
        <v>46.98</v>
      </c>
      <c r="K338" s="12">
        <f t="shared" si="28"/>
        <v>-3.9656582174979658E-2</v>
      </c>
      <c r="L338" s="21">
        <v>47.16</v>
      </c>
      <c r="M338" s="12">
        <f t="shared" si="29"/>
        <v>-3.8728088055442429E-2</v>
      </c>
    </row>
    <row r="339" spans="1:13" x14ac:dyDescent="0.25">
      <c r="A339" s="23">
        <v>42902</v>
      </c>
      <c r="B339" s="21">
        <v>1.415</v>
      </c>
      <c r="C339" s="12">
        <f t="shared" si="25"/>
        <v>-4.4564483457123605E-2</v>
      </c>
      <c r="D339" s="6"/>
      <c r="E339" s="23">
        <v>42902</v>
      </c>
      <c r="F339" s="21">
        <v>45.29</v>
      </c>
      <c r="G339" s="12">
        <f t="shared" si="26"/>
        <v>-2.7276632302405564E-2</v>
      </c>
      <c r="H339" s="21">
        <v>45.51</v>
      </c>
      <c r="I339" s="12">
        <f t="shared" si="27"/>
        <v>-2.6940346375882083E-2</v>
      </c>
      <c r="J339" s="21">
        <v>45.74</v>
      </c>
      <c r="K339" s="12">
        <f t="shared" si="28"/>
        <v>-2.6394210302256173E-2</v>
      </c>
      <c r="L339" s="21">
        <v>45.94</v>
      </c>
      <c r="M339" s="12">
        <f t="shared" si="29"/>
        <v>-2.586938083121287E-2</v>
      </c>
    </row>
    <row r="340" spans="1:13" x14ac:dyDescent="0.25">
      <c r="A340" s="23">
        <v>42909</v>
      </c>
      <c r="B340" s="21">
        <v>1.3879999999999999</v>
      </c>
      <c r="C340" s="12">
        <f t="shared" si="25"/>
        <v>-1.9081272084805749E-2</v>
      </c>
      <c r="D340" s="6"/>
      <c r="E340" s="23">
        <v>42909</v>
      </c>
      <c r="F340" s="21">
        <v>43.14</v>
      </c>
      <c r="G340" s="12">
        <f t="shared" si="26"/>
        <v>-4.7471848090086081E-2</v>
      </c>
      <c r="H340" s="21">
        <v>43.39</v>
      </c>
      <c r="I340" s="12">
        <f t="shared" si="27"/>
        <v>-4.6583168534387993E-2</v>
      </c>
      <c r="J340" s="21">
        <v>43.62</v>
      </c>
      <c r="K340" s="12">
        <f t="shared" si="28"/>
        <v>-4.6348928727590825E-2</v>
      </c>
      <c r="L340" s="21">
        <v>43.88</v>
      </c>
      <c r="M340" s="12">
        <f t="shared" si="29"/>
        <v>-4.4841097083151836E-2</v>
      </c>
    </row>
    <row r="341" spans="1:13" x14ac:dyDescent="0.25">
      <c r="A341" s="23">
        <v>42916</v>
      </c>
      <c r="B341" s="21">
        <v>1.4470000000000001</v>
      </c>
      <c r="C341" s="12">
        <f t="shared" si="25"/>
        <v>4.250720461095113E-2</v>
      </c>
      <c r="D341" s="6"/>
      <c r="E341" s="23">
        <v>42916</v>
      </c>
      <c r="F341" s="21">
        <v>44.67</v>
      </c>
      <c r="G341" s="12">
        <f t="shared" si="26"/>
        <v>3.5465924895688485E-2</v>
      </c>
      <c r="H341" s="21">
        <v>44.92</v>
      </c>
      <c r="I341" s="12">
        <f t="shared" si="27"/>
        <v>3.5261581009449205E-2</v>
      </c>
      <c r="J341" s="21">
        <v>45.15</v>
      </c>
      <c r="K341" s="12">
        <f t="shared" si="28"/>
        <v>3.5075653370013782E-2</v>
      </c>
      <c r="L341" s="21">
        <v>45.42</v>
      </c>
      <c r="M341" s="12">
        <f t="shared" si="29"/>
        <v>3.5095715587967161E-2</v>
      </c>
    </row>
    <row r="342" spans="1:13" x14ac:dyDescent="0.25">
      <c r="A342" s="23">
        <v>42923</v>
      </c>
      <c r="B342" s="21">
        <v>1.494</v>
      </c>
      <c r="C342" s="12">
        <f t="shared" si="25"/>
        <v>3.2480995162404928E-2</v>
      </c>
      <c r="D342" s="6"/>
      <c r="E342" s="23">
        <v>42923</v>
      </c>
      <c r="F342" s="21">
        <v>45.49</v>
      </c>
      <c r="G342" s="12">
        <f t="shared" si="26"/>
        <v>1.8356839041862555E-2</v>
      </c>
      <c r="H342" s="21">
        <v>45.68</v>
      </c>
      <c r="I342" s="12">
        <f t="shared" si="27"/>
        <v>1.6918967052537801E-2</v>
      </c>
      <c r="J342" s="21">
        <v>45.87</v>
      </c>
      <c r="K342" s="12">
        <f t="shared" si="28"/>
        <v>1.5946843853820572E-2</v>
      </c>
      <c r="L342" s="21">
        <v>46.12</v>
      </c>
      <c r="M342" s="12">
        <f t="shared" si="29"/>
        <v>1.5411712901805277E-2</v>
      </c>
    </row>
    <row r="343" spans="1:13" x14ac:dyDescent="0.25">
      <c r="A343" s="23">
        <v>42930</v>
      </c>
      <c r="B343" s="21">
        <v>1.5289999999999999</v>
      </c>
      <c r="C343" s="12">
        <f t="shared" si="25"/>
        <v>2.3427041499330604E-2</v>
      </c>
      <c r="D343" s="6"/>
      <c r="E343" s="23">
        <v>42930</v>
      </c>
      <c r="F343" s="21">
        <v>45.51</v>
      </c>
      <c r="G343" s="12">
        <f t="shared" si="26"/>
        <v>4.3965706748727237E-4</v>
      </c>
      <c r="H343" s="21">
        <v>45.7</v>
      </c>
      <c r="I343" s="12">
        <f t="shared" si="27"/>
        <v>4.3782837127852731E-4</v>
      </c>
      <c r="J343" s="21">
        <v>45.86</v>
      </c>
      <c r="K343" s="12">
        <f t="shared" si="28"/>
        <v>-2.1800741225197322E-4</v>
      </c>
      <c r="L343" s="21">
        <v>46.08</v>
      </c>
      <c r="M343" s="12">
        <f t="shared" si="29"/>
        <v>-8.6730268863831632E-4</v>
      </c>
    </row>
    <row r="344" spans="1:13" x14ac:dyDescent="0.25">
      <c r="A344" s="23">
        <v>42937</v>
      </c>
      <c r="B344" s="21">
        <v>1.591</v>
      </c>
      <c r="C344" s="12">
        <f t="shared" si="25"/>
        <v>4.054937867887512E-2</v>
      </c>
      <c r="D344" s="6"/>
      <c r="E344" s="23">
        <v>42937</v>
      </c>
      <c r="F344" s="21">
        <v>46.42</v>
      </c>
      <c r="G344" s="12">
        <f t="shared" si="26"/>
        <v>1.9995605361459102E-2</v>
      </c>
      <c r="H344" s="21">
        <v>46.6</v>
      </c>
      <c r="I344" s="12">
        <f t="shared" si="27"/>
        <v>1.9693654266958391E-2</v>
      </c>
      <c r="J344" s="21">
        <v>46.79</v>
      </c>
      <c r="K344" s="12">
        <f t="shared" si="28"/>
        <v>2.0279110335804616E-2</v>
      </c>
      <c r="L344" s="21">
        <v>47.03</v>
      </c>
      <c r="M344" s="12">
        <f t="shared" si="29"/>
        <v>2.0616319444444507E-2</v>
      </c>
    </row>
    <row r="345" spans="1:13" x14ac:dyDescent="0.25">
      <c r="A345" s="23">
        <v>42944</v>
      </c>
      <c r="B345" s="21">
        <v>1.61</v>
      </c>
      <c r="C345" s="12">
        <f t="shared" si="25"/>
        <v>1.1942174732872488E-2</v>
      </c>
      <c r="D345" s="6"/>
      <c r="E345" s="23">
        <v>42944</v>
      </c>
      <c r="F345" s="21">
        <v>48.35</v>
      </c>
      <c r="G345" s="12">
        <f t="shared" si="26"/>
        <v>4.1576906505816448E-2</v>
      </c>
      <c r="H345" s="21">
        <v>48.47</v>
      </c>
      <c r="I345" s="12">
        <f t="shared" si="27"/>
        <v>4.0128755364806812E-2</v>
      </c>
      <c r="J345" s="21">
        <v>48.63</v>
      </c>
      <c r="K345" s="12">
        <f t="shared" si="28"/>
        <v>3.9324642017525183E-2</v>
      </c>
      <c r="L345" s="21">
        <v>48.77</v>
      </c>
      <c r="M345" s="12">
        <f t="shared" si="29"/>
        <v>3.6997661067403827E-2</v>
      </c>
    </row>
    <row r="346" spans="1:13" x14ac:dyDescent="0.25">
      <c r="A346" s="23">
        <v>42951</v>
      </c>
      <c r="B346" s="21">
        <v>1.6639999999999999</v>
      </c>
      <c r="C346" s="12">
        <f t="shared" si="25"/>
        <v>3.3540372670807346E-2</v>
      </c>
      <c r="D346" s="6"/>
      <c r="E346" s="23">
        <v>42951</v>
      </c>
      <c r="F346" s="21">
        <v>49.51</v>
      </c>
      <c r="G346" s="12">
        <f t="shared" si="26"/>
        <v>2.3991726990692793E-2</v>
      </c>
      <c r="H346" s="21">
        <v>49.64</v>
      </c>
      <c r="I346" s="12">
        <f t="shared" si="27"/>
        <v>2.4138642459253182E-2</v>
      </c>
      <c r="J346" s="21">
        <v>49.78</v>
      </c>
      <c r="K346" s="12">
        <f t="shared" si="28"/>
        <v>2.3647953937898387E-2</v>
      </c>
      <c r="L346" s="21">
        <v>49.9</v>
      </c>
      <c r="M346" s="12">
        <f t="shared" si="29"/>
        <v>2.3169981546032302E-2</v>
      </c>
    </row>
    <row r="347" spans="1:13" x14ac:dyDescent="0.25">
      <c r="A347" s="23">
        <v>42958</v>
      </c>
      <c r="B347" s="21">
        <v>1.635</v>
      </c>
      <c r="C347" s="12">
        <f t="shared" si="25"/>
        <v>-1.7427884615384564E-2</v>
      </c>
      <c r="D347" s="6"/>
      <c r="E347" s="23">
        <v>42958</v>
      </c>
      <c r="F347" s="21">
        <v>49.11</v>
      </c>
      <c r="G347" s="12">
        <f t="shared" si="26"/>
        <v>-8.0791759240557183E-3</v>
      </c>
      <c r="H347" s="21">
        <v>49.27</v>
      </c>
      <c r="I347" s="12">
        <f t="shared" si="27"/>
        <v>-7.453666398066024E-3</v>
      </c>
      <c r="J347" s="21">
        <v>49.43</v>
      </c>
      <c r="K347" s="12">
        <f t="shared" si="28"/>
        <v>-7.0309361189232911E-3</v>
      </c>
      <c r="L347" s="21">
        <v>49.57</v>
      </c>
      <c r="M347" s="12">
        <f t="shared" si="29"/>
        <v>-6.6132264529057778E-3</v>
      </c>
    </row>
    <row r="348" spans="1:13" x14ac:dyDescent="0.25">
      <c r="A348" s="23">
        <v>42965</v>
      </c>
      <c r="B348" s="21">
        <v>1.609</v>
      </c>
      <c r="C348" s="12">
        <f t="shared" si="25"/>
        <v>-1.5902140672782887E-2</v>
      </c>
      <c r="D348" s="6"/>
      <c r="E348" s="23">
        <v>42965</v>
      </c>
      <c r="F348" s="21">
        <v>47.5</v>
      </c>
      <c r="G348" s="12">
        <f t="shared" si="26"/>
        <v>-3.2783547139075532E-2</v>
      </c>
      <c r="H348" s="21">
        <v>47.65</v>
      </c>
      <c r="I348" s="12">
        <f t="shared" si="27"/>
        <v>-3.2880048711183364E-2</v>
      </c>
      <c r="J348" s="21">
        <v>47.81</v>
      </c>
      <c r="K348" s="12">
        <f t="shared" si="28"/>
        <v>-3.277361925955892E-2</v>
      </c>
      <c r="L348" s="21">
        <v>47.94</v>
      </c>
      <c r="M348" s="12">
        <f t="shared" si="29"/>
        <v>-3.2882792011297207E-2</v>
      </c>
    </row>
    <row r="349" spans="1:13" x14ac:dyDescent="0.25">
      <c r="A349" s="23">
        <v>42972</v>
      </c>
      <c r="B349" s="21">
        <v>1.657</v>
      </c>
      <c r="C349" s="12">
        <f t="shared" si="25"/>
        <v>2.9832193909260438E-2</v>
      </c>
      <c r="D349" s="6"/>
      <c r="E349" s="23">
        <v>42972</v>
      </c>
      <c r="F349" s="21">
        <v>47.74</v>
      </c>
      <c r="G349" s="12">
        <f t="shared" si="26"/>
        <v>5.0526315789474101E-3</v>
      </c>
      <c r="H349" s="21">
        <v>47.96</v>
      </c>
      <c r="I349" s="12">
        <f t="shared" si="27"/>
        <v>6.5057712486884002E-3</v>
      </c>
      <c r="J349" s="21">
        <v>48.15</v>
      </c>
      <c r="K349" s="12">
        <f t="shared" si="28"/>
        <v>7.1114829533569608E-3</v>
      </c>
      <c r="L349" s="21">
        <v>48.32</v>
      </c>
      <c r="M349" s="12">
        <f t="shared" si="29"/>
        <v>7.9265748852733117E-3</v>
      </c>
    </row>
    <row r="350" spans="1:13" x14ac:dyDescent="0.25">
      <c r="A350" s="23">
        <v>42979</v>
      </c>
      <c r="B350" s="21">
        <v>1.95</v>
      </c>
      <c r="C350" s="12">
        <f t="shared" si="25"/>
        <v>0.17682558841279417</v>
      </c>
      <c r="D350" s="6"/>
      <c r="E350" s="23">
        <v>42979</v>
      </c>
      <c r="F350" s="21">
        <v>46.7</v>
      </c>
      <c r="G350" s="12">
        <f t="shared" si="26"/>
        <v>-2.1784666945957251E-2</v>
      </c>
      <c r="H350" s="21">
        <v>47.28</v>
      </c>
      <c r="I350" s="12">
        <f t="shared" si="27"/>
        <v>-1.4178482068390319E-2</v>
      </c>
      <c r="J350" s="21">
        <v>47.75</v>
      </c>
      <c r="K350" s="12">
        <f t="shared" si="28"/>
        <v>-8.307372793354072E-3</v>
      </c>
      <c r="L350" s="21">
        <v>48.11</v>
      </c>
      <c r="M350" s="12">
        <f t="shared" si="29"/>
        <v>-4.346026490066243E-3</v>
      </c>
    </row>
    <row r="351" spans="1:13" x14ac:dyDescent="0.25">
      <c r="A351" s="23">
        <v>42986</v>
      </c>
      <c r="B351" s="21">
        <v>2.048</v>
      </c>
      <c r="C351" s="12">
        <f t="shared" si="25"/>
        <v>5.0256410256410304E-2</v>
      </c>
      <c r="D351" s="6"/>
      <c r="E351" s="23">
        <v>42986</v>
      </c>
      <c r="F351" s="21">
        <v>48.6</v>
      </c>
      <c r="G351" s="12">
        <f t="shared" si="26"/>
        <v>4.0685224839400395E-2</v>
      </c>
      <c r="H351" s="21">
        <v>49.09</v>
      </c>
      <c r="I351" s="12">
        <f t="shared" si="27"/>
        <v>3.8282571912013584E-2</v>
      </c>
      <c r="J351" s="21">
        <v>49.5</v>
      </c>
      <c r="K351" s="12">
        <f t="shared" si="28"/>
        <v>3.6649214659685861E-2</v>
      </c>
      <c r="L351" s="21">
        <v>49.84</v>
      </c>
      <c r="M351" s="12">
        <f t="shared" si="29"/>
        <v>3.5959260029100062E-2</v>
      </c>
    </row>
    <row r="352" spans="1:13" x14ac:dyDescent="0.25">
      <c r="A352" s="23">
        <v>42993</v>
      </c>
      <c r="B352" s="21">
        <v>1.889</v>
      </c>
      <c r="C352" s="12">
        <f t="shared" si="25"/>
        <v>-7.7636718750000014E-2</v>
      </c>
      <c r="D352" s="6"/>
      <c r="E352" s="23">
        <v>42993</v>
      </c>
      <c r="F352" s="21">
        <v>49.08</v>
      </c>
      <c r="G352" s="12">
        <f t="shared" si="26"/>
        <v>9.8765432098764788E-3</v>
      </c>
      <c r="H352" s="21">
        <v>49.58</v>
      </c>
      <c r="I352" s="12">
        <f t="shared" si="27"/>
        <v>9.9816663271541008E-3</v>
      </c>
      <c r="J352" s="21">
        <v>49.96</v>
      </c>
      <c r="K352" s="12">
        <f t="shared" si="28"/>
        <v>9.2929292929293094E-3</v>
      </c>
      <c r="L352" s="21">
        <v>50.25</v>
      </c>
      <c r="M352" s="12">
        <f t="shared" si="29"/>
        <v>8.2263242375601245E-3</v>
      </c>
    </row>
    <row r="353" spans="1:13" x14ac:dyDescent="0.25">
      <c r="A353" s="23">
        <v>43000</v>
      </c>
      <c r="B353" s="21">
        <v>1.766</v>
      </c>
      <c r="C353" s="12">
        <f t="shared" si="25"/>
        <v>-6.5113816834303867E-2</v>
      </c>
      <c r="D353" s="6"/>
      <c r="E353" s="23">
        <v>43000</v>
      </c>
      <c r="F353" s="21">
        <v>50.2</v>
      </c>
      <c r="G353" s="12">
        <f t="shared" si="26"/>
        <v>2.2819885900570592E-2</v>
      </c>
      <c r="H353" s="21">
        <v>50.58</v>
      </c>
      <c r="I353" s="12">
        <f t="shared" si="27"/>
        <v>2.0169423154497781E-2</v>
      </c>
      <c r="J353" s="21">
        <v>50.89</v>
      </c>
      <c r="K353" s="12">
        <f t="shared" si="28"/>
        <v>1.8614891913530818E-2</v>
      </c>
      <c r="L353" s="21">
        <v>51.11</v>
      </c>
      <c r="M353" s="12">
        <f t="shared" si="29"/>
        <v>1.7114427860696505E-2</v>
      </c>
    </row>
    <row r="354" spans="1:13" x14ac:dyDescent="0.25">
      <c r="A354" s="23">
        <v>43007</v>
      </c>
      <c r="B354" s="21">
        <v>1.726</v>
      </c>
      <c r="C354" s="12">
        <f t="shared" si="25"/>
        <v>-2.2650056625141583E-2</v>
      </c>
      <c r="D354" s="6"/>
      <c r="E354" s="23">
        <v>43007</v>
      </c>
      <c r="F354" s="21">
        <v>51.89</v>
      </c>
      <c r="G354" s="12">
        <f t="shared" si="26"/>
        <v>3.3665338645418277E-2</v>
      </c>
      <c r="H354" s="21">
        <v>52.19</v>
      </c>
      <c r="I354" s="12">
        <f t="shared" si="27"/>
        <v>3.1830763147489116E-2</v>
      </c>
      <c r="J354" s="21">
        <v>52.4</v>
      </c>
      <c r="K354" s="12">
        <f t="shared" si="28"/>
        <v>2.9671841226174063E-2</v>
      </c>
      <c r="L354" s="21">
        <v>52.5</v>
      </c>
      <c r="M354" s="12">
        <f t="shared" si="29"/>
        <v>2.7196243396595588E-2</v>
      </c>
    </row>
    <row r="355" spans="1:13" x14ac:dyDescent="0.25">
      <c r="A355" s="23">
        <v>43014</v>
      </c>
      <c r="B355" s="21">
        <v>1.645</v>
      </c>
      <c r="C355" s="12">
        <f t="shared" si="25"/>
        <v>-4.6929316338354558E-2</v>
      </c>
      <c r="D355" s="6"/>
      <c r="E355" s="23">
        <v>43014</v>
      </c>
      <c r="F355" s="21">
        <v>50.21</v>
      </c>
      <c r="G355" s="12">
        <f t="shared" si="26"/>
        <v>-3.2376180381576407E-2</v>
      </c>
      <c r="H355" s="21">
        <v>50.55</v>
      </c>
      <c r="I355" s="12">
        <f t="shared" si="27"/>
        <v>-3.1423644376317311E-2</v>
      </c>
      <c r="J355" s="21">
        <v>50.82</v>
      </c>
      <c r="K355" s="12">
        <f t="shared" si="28"/>
        <v>-3.0152671755725158E-2</v>
      </c>
      <c r="L355" s="21">
        <v>50.99</v>
      </c>
      <c r="M355" s="12">
        <f t="shared" si="29"/>
        <v>-2.8761904761904725E-2</v>
      </c>
    </row>
    <row r="356" spans="1:13" x14ac:dyDescent="0.25">
      <c r="A356" s="23">
        <v>43021</v>
      </c>
      <c r="B356" s="21">
        <v>1.665</v>
      </c>
      <c r="C356" s="12">
        <f t="shared" si="25"/>
        <v>1.2158054711246211E-2</v>
      </c>
      <c r="D356" s="6"/>
      <c r="E356" s="23">
        <v>43021</v>
      </c>
      <c r="F356" s="21">
        <v>51.07</v>
      </c>
      <c r="G356" s="12">
        <f t="shared" si="26"/>
        <v>1.7128062139016121E-2</v>
      </c>
      <c r="H356" s="21">
        <v>51.37</v>
      </c>
      <c r="I356" s="12">
        <f t="shared" si="27"/>
        <v>1.6221562809099907E-2</v>
      </c>
      <c r="J356" s="21">
        <v>51.58</v>
      </c>
      <c r="K356" s="12">
        <f t="shared" si="28"/>
        <v>1.4954742227469462E-2</v>
      </c>
      <c r="L356" s="21">
        <v>51.74</v>
      </c>
      <c r="M356" s="12">
        <f t="shared" si="29"/>
        <v>1.4708766424789174E-2</v>
      </c>
    </row>
    <row r="357" spans="1:13" x14ac:dyDescent="0.25">
      <c r="A357" s="23">
        <v>43028</v>
      </c>
      <c r="B357" s="21">
        <v>1.7110000000000001</v>
      </c>
      <c r="C357" s="12">
        <f t="shared" si="25"/>
        <v>2.7627627627627653E-2</v>
      </c>
      <c r="D357" s="6"/>
      <c r="E357" s="23">
        <v>43028</v>
      </c>
      <c r="F357" s="21">
        <v>51.71</v>
      </c>
      <c r="G357" s="12">
        <f t="shared" si="26"/>
        <v>1.2531819071862162E-2</v>
      </c>
      <c r="H357" s="21">
        <v>51.97</v>
      </c>
      <c r="I357" s="12">
        <f t="shared" si="27"/>
        <v>1.167996885341642E-2</v>
      </c>
      <c r="J357" s="21">
        <v>52.17</v>
      </c>
      <c r="K357" s="12">
        <f t="shared" si="28"/>
        <v>1.1438542070570054E-2</v>
      </c>
      <c r="L357" s="21">
        <v>52.3</v>
      </c>
      <c r="M357" s="12">
        <f t="shared" si="29"/>
        <v>1.0823347506764499E-2</v>
      </c>
    </row>
    <row r="358" spans="1:13" x14ac:dyDescent="0.25">
      <c r="A358" s="23">
        <v>43035</v>
      </c>
      <c r="B358" s="21">
        <v>1.794</v>
      </c>
      <c r="C358" s="12">
        <f t="shared" si="25"/>
        <v>4.8509643483343051E-2</v>
      </c>
      <c r="D358" s="6"/>
      <c r="E358" s="23">
        <v>43035</v>
      </c>
      <c r="F358" s="21">
        <v>52.62</v>
      </c>
      <c r="G358" s="12">
        <f t="shared" si="26"/>
        <v>1.7598143492554567E-2</v>
      </c>
      <c r="H358" s="21">
        <v>52.83</v>
      </c>
      <c r="I358" s="12">
        <f t="shared" si="27"/>
        <v>1.6548008466422924E-2</v>
      </c>
      <c r="J358" s="21">
        <v>52.95</v>
      </c>
      <c r="K358" s="12">
        <f t="shared" si="28"/>
        <v>1.4951121334100079E-2</v>
      </c>
      <c r="L358" s="21">
        <v>53.03</v>
      </c>
      <c r="M358" s="12">
        <f t="shared" si="29"/>
        <v>1.3957934990439848E-2</v>
      </c>
    </row>
    <row r="359" spans="1:13" x14ac:dyDescent="0.25">
      <c r="A359" s="23">
        <v>43042</v>
      </c>
      <c r="B359" s="21">
        <v>1.8360000000000001</v>
      </c>
      <c r="C359" s="12">
        <f t="shared" si="25"/>
        <v>2.3411371237458213E-2</v>
      </c>
      <c r="D359" s="6"/>
      <c r="E359" s="23">
        <v>43042</v>
      </c>
      <c r="F359" s="21">
        <v>54.6</v>
      </c>
      <c r="G359" s="12">
        <f t="shared" si="26"/>
        <v>3.762827822120874E-2</v>
      </c>
      <c r="H359" s="21">
        <v>54.82</v>
      </c>
      <c r="I359" s="12">
        <f t="shared" si="27"/>
        <v>3.7667991671398865E-2</v>
      </c>
      <c r="J359" s="21">
        <v>54.93</v>
      </c>
      <c r="K359" s="12">
        <f t="shared" si="28"/>
        <v>3.7393767705382372E-2</v>
      </c>
      <c r="L359" s="21">
        <v>54.97</v>
      </c>
      <c r="M359" s="12">
        <f t="shared" si="29"/>
        <v>3.658306618894961E-2</v>
      </c>
    </row>
    <row r="360" spans="1:13" x14ac:dyDescent="0.25">
      <c r="A360" s="23">
        <v>43049</v>
      </c>
      <c r="B360" s="21">
        <v>1.9119999999999999</v>
      </c>
      <c r="C360" s="12">
        <f t="shared" si="25"/>
        <v>4.1394335511982482E-2</v>
      </c>
      <c r="D360" s="6"/>
      <c r="E360" s="23">
        <v>43049</v>
      </c>
      <c r="F360" s="21">
        <v>57.13</v>
      </c>
      <c r="G360" s="12">
        <f t="shared" si="26"/>
        <v>4.633699633699636E-2</v>
      </c>
      <c r="H360" s="21">
        <v>57.36</v>
      </c>
      <c r="I360" s="12">
        <f t="shared" si="27"/>
        <v>4.6333454943451279E-2</v>
      </c>
      <c r="J360" s="21">
        <v>57.52</v>
      </c>
      <c r="K360" s="12">
        <f t="shared" si="28"/>
        <v>4.7150919351902486E-2</v>
      </c>
      <c r="L360" s="21">
        <v>57.58</v>
      </c>
      <c r="M360" s="12">
        <f t="shared" si="29"/>
        <v>4.7480443878479162E-2</v>
      </c>
    </row>
    <row r="361" spans="1:13" x14ac:dyDescent="0.25">
      <c r="A361" s="23">
        <v>43056</v>
      </c>
      <c r="B361" s="21">
        <v>1.802</v>
      </c>
      <c r="C361" s="12">
        <f t="shared" si="25"/>
        <v>-5.753138075313801E-2</v>
      </c>
      <c r="D361" s="6"/>
      <c r="E361" s="23">
        <v>43056</v>
      </c>
      <c r="F361" s="21">
        <v>55.9</v>
      </c>
      <c r="G361" s="12">
        <f t="shared" si="26"/>
        <v>-2.1529844214948433E-2</v>
      </c>
      <c r="H361" s="21">
        <v>56.09</v>
      </c>
      <c r="I361" s="12">
        <f t="shared" si="27"/>
        <v>-2.2140864714086401E-2</v>
      </c>
      <c r="J361" s="21">
        <v>56.22</v>
      </c>
      <c r="K361" s="12">
        <f t="shared" si="28"/>
        <v>-2.260083449235056E-2</v>
      </c>
      <c r="L361" s="21">
        <v>56.34</v>
      </c>
      <c r="M361" s="12">
        <f t="shared" si="29"/>
        <v>-2.1535255296978029E-2</v>
      </c>
    </row>
    <row r="362" spans="1:13" x14ac:dyDescent="0.25">
      <c r="A362" s="23">
        <v>43063</v>
      </c>
      <c r="B362" s="21">
        <v>1.802</v>
      </c>
      <c r="C362" s="12">
        <f t="shared" si="25"/>
        <v>0</v>
      </c>
      <c r="D362" s="6"/>
      <c r="E362" s="23">
        <v>43063</v>
      </c>
      <c r="F362" s="21">
        <v>56.98</v>
      </c>
      <c r="G362" s="12">
        <f t="shared" si="26"/>
        <v>1.9320214669051847E-2</v>
      </c>
      <c r="H362" s="21">
        <v>57.12</v>
      </c>
      <c r="I362" s="12">
        <f t="shared" si="27"/>
        <v>1.836334462471018E-2</v>
      </c>
      <c r="J362" s="21">
        <v>57.14</v>
      </c>
      <c r="K362" s="12">
        <f t="shared" si="28"/>
        <v>1.6364283173247986E-2</v>
      </c>
      <c r="L362" s="21">
        <v>57.1</v>
      </c>
      <c r="M362" s="12">
        <f t="shared" si="29"/>
        <v>1.3489527866524636E-2</v>
      </c>
    </row>
    <row r="363" spans="1:13" x14ac:dyDescent="0.25">
      <c r="A363" s="23">
        <v>43070</v>
      </c>
      <c r="B363" s="21">
        <v>1.7849999999999999</v>
      </c>
      <c r="C363" s="12">
        <f t="shared" si="25"/>
        <v>-9.4339622641510124E-3</v>
      </c>
      <c r="D363" s="6"/>
      <c r="E363" s="23">
        <v>43070</v>
      </c>
      <c r="F363" s="21">
        <v>57.83</v>
      </c>
      <c r="G363" s="12">
        <f t="shared" si="26"/>
        <v>1.4917514917514944E-2</v>
      </c>
      <c r="H363" s="21">
        <v>57.88</v>
      </c>
      <c r="I363" s="12">
        <f t="shared" si="27"/>
        <v>1.330532212885163E-2</v>
      </c>
      <c r="J363" s="21">
        <v>57.82</v>
      </c>
      <c r="K363" s="12">
        <f t="shared" si="28"/>
        <v>1.1900595029751482E-2</v>
      </c>
      <c r="L363" s="21">
        <v>57.69</v>
      </c>
      <c r="M363" s="12">
        <f t="shared" si="29"/>
        <v>1.0332749562171563E-2</v>
      </c>
    </row>
    <row r="364" spans="1:13" x14ac:dyDescent="0.25">
      <c r="A364" s="23">
        <v>43077</v>
      </c>
      <c r="B364" s="21">
        <v>1.736</v>
      </c>
      <c r="C364" s="12">
        <f t="shared" si="25"/>
        <v>-2.7450980392156828E-2</v>
      </c>
      <c r="D364" s="6"/>
      <c r="E364" s="23">
        <v>43077</v>
      </c>
      <c r="F364" s="21">
        <v>57.02</v>
      </c>
      <c r="G364" s="12">
        <f t="shared" si="26"/>
        <v>-1.4006570983918299E-2</v>
      </c>
      <c r="H364" s="21">
        <v>57.08</v>
      </c>
      <c r="I364" s="12">
        <f t="shared" si="27"/>
        <v>-1.3821700069108574E-2</v>
      </c>
      <c r="J364" s="21">
        <v>57.07</v>
      </c>
      <c r="K364" s="12">
        <f t="shared" si="28"/>
        <v>-1.2971290210999653E-2</v>
      </c>
      <c r="L364" s="21">
        <v>57.04</v>
      </c>
      <c r="M364" s="12">
        <f t="shared" si="29"/>
        <v>-1.1267117351360698E-2</v>
      </c>
    </row>
    <row r="365" spans="1:13" x14ac:dyDescent="0.25">
      <c r="A365" s="23">
        <v>43084</v>
      </c>
      <c r="B365" s="21">
        <v>1.7170000000000001</v>
      </c>
      <c r="C365" s="12">
        <f t="shared" si="25"/>
        <v>-1.0944700460829439E-2</v>
      </c>
      <c r="D365" s="6"/>
      <c r="E365" s="23">
        <v>43084</v>
      </c>
      <c r="F365" s="21">
        <v>57.21</v>
      </c>
      <c r="G365" s="12">
        <f t="shared" si="26"/>
        <v>3.3321641529287568E-3</v>
      </c>
      <c r="H365" s="21">
        <v>57.24</v>
      </c>
      <c r="I365" s="12">
        <f t="shared" si="27"/>
        <v>2.8030833917309689E-3</v>
      </c>
      <c r="J365" s="21">
        <v>57.18</v>
      </c>
      <c r="K365" s="12">
        <f t="shared" si="28"/>
        <v>1.927457508323102E-3</v>
      </c>
      <c r="L365" s="21">
        <v>57.11</v>
      </c>
      <c r="M365" s="12">
        <f t="shared" si="29"/>
        <v>1.2272089761570877E-3</v>
      </c>
    </row>
    <row r="366" spans="1:13" x14ac:dyDescent="0.25">
      <c r="A366" s="23">
        <v>43091</v>
      </c>
      <c r="B366" s="21">
        <v>1.7529999999999999</v>
      </c>
      <c r="C366" s="12">
        <f t="shared" si="25"/>
        <v>2.0966802562609091E-2</v>
      </c>
      <c r="D366" s="6"/>
      <c r="E366" s="23">
        <v>43091</v>
      </c>
      <c r="F366" s="21">
        <v>57.91</v>
      </c>
      <c r="G366" s="12">
        <f t="shared" si="26"/>
        <v>1.2235623142807127E-2</v>
      </c>
      <c r="H366" s="21">
        <v>57.97</v>
      </c>
      <c r="I366" s="12">
        <f t="shared" si="27"/>
        <v>1.2753319357092887E-2</v>
      </c>
      <c r="J366" s="21">
        <v>57.97</v>
      </c>
      <c r="K366" s="12">
        <f t="shared" si="28"/>
        <v>1.3816019587268261E-2</v>
      </c>
      <c r="L366" s="21">
        <v>57.92</v>
      </c>
      <c r="M366" s="12">
        <f t="shared" si="29"/>
        <v>1.4183155314305767E-2</v>
      </c>
    </row>
    <row r="367" spans="1:13" x14ac:dyDescent="0.25">
      <c r="A367" s="23">
        <v>43098</v>
      </c>
      <c r="B367" s="21">
        <v>1.819</v>
      </c>
      <c r="C367" s="12">
        <f t="shared" si="25"/>
        <v>3.764974329720483E-2</v>
      </c>
      <c r="D367" s="6"/>
      <c r="E367" s="23">
        <v>43098</v>
      </c>
      <c r="F367" s="21">
        <v>59.97</v>
      </c>
      <c r="G367" s="12">
        <f t="shared" si="26"/>
        <v>3.5572439993092772E-2</v>
      </c>
      <c r="H367" s="21">
        <v>60</v>
      </c>
      <c r="I367" s="12">
        <f t="shared" si="27"/>
        <v>3.5018112816974319E-2</v>
      </c>
      <c r="J367" s="21">
        <v>59.98</v>
      </c>
      <c r="K367" s="12">
        <f t="shared" si="28"/>
        <v>3.4673106779368607E-2</v>
      </c>
      <c r="L367" s="21">
        <v>59.87</v>
      </c>
      <c r="M367" s="12">
        <f t="shared" si="29"/>
        <v>3.3667127071823129E-2</v>
      </c>
    </row>
    <row r="368" spans="1:13" x14ac:dyDescent="0.25">
      <c r="A368" s="23">
        <v>43105</v>
      </c>
      <c r="B368" s="21">
        <v>1.8180000000000001</v>
      </c>
      <c r="C368" s="12">
        <f t="shared" si="25"/>
        <v>-5.4975261132484321E-4</v>
      </c>
      <c r="D368" s="6"/>
      <c r="E368" s="23">
        <v>43105</v>
      </c>
      <c r="F368" s="21">
        <v>61.17</v>
      </c>
      <c r="G368" s="12">
        <f t="shared" si="26"/>
        <v>2.0010005002501299E-2</v>
      </c>
      <c r="H368" s="21">
        <v>61.14</v>
      </c>
      <c r="I368" s="12">
        <f t="shared" si="27"/>
        <v>1.900000000000001E-2</v>
      </c>
      <c r="J368" s="21">
        <v>61.03</v>
      </c>
      <c r="K368" s="12">
        <f t="shared" si="28"/>
        <v>1.7505835278426213E-2</v>
      </c>
      <c r="L368" s="21">
        <v>60.87</v>
      </c>
      <c r="M368" s="12">
        <f t="shared" si="29"/>
        <v>1.6702856188408218E-2</v>
      </c>
    </row>
    <row r="369" spans="1:13" x14ac:dyDescent="0.25">
      <c r="A369" s="23">
        <v>43112</v>
      </c>
      <c r="B369" s="21">
        <v>1.86</v>
      </c>
      <c r="C369" s="12">
        <f t="shared" si="25"/>
        <v>2.3102310231023122E-2</v>
      </c>
      <c r="D369" s="6"/>
      <c r="E369" s="23">
        <v>43112</v>
      </c>
      <c r="F369" s="21">
        <v>63.27</v>
      </c>
      <c r="G369" s="12">
        <f t="shared" si="26"/>
        <v>3.4330554193231999E-2</v>
      </c>
      <c r="H369" s="21">
        <v>63.18</v>
      </c>
      <c r="I369" s="12">
        <f t="shared" si="27"/>
        <v>3.3366045142296352E-2</v>
      </c>
      <c r="J369" s="21">
        <v>63</v>
      </c>
      <c r="K369" s="12">
        <f t="shared" si="28"/>
        <v>3.2279206947402897E-2</v>
      </c>
      <c r="L369" s="21">
        <v>62.78</v>
      </c>
      <c r="M369" s="12">
        <f t="shared" si="29"/>
        <v>3.1378347297519364E-2</v>
      </c>
    </row>
    <row r="370" spans="1:13" x14ac:dyDescent="0.25">
      <c r="A370" s="23">
        <v>43119</v>
      </c>
      <c r="B370" s="21">
        <v>1.901</v>
      </c>
      <c r="C370" s="12">
        <f t="shared" si="25"/>
        <v>2.2043010752688132E-2</v>
      </c>
      <c r="D370" s="6"/>
      <c r="E370" s="23">
        <v>43119</v>
      </c>
      <c r="F370" s="21">
        <v>63.86</v>
      </c>
      <c r="G370" s="12">
        <f t="shared" si="26"/>
        <v>9.3251145882724245E-3</v>
      </c>
      <c r="H370" s="21">
        <v>63.8</v>
      </c>
      <c r="I370" s="12">
        <f t="shared" si="27"/>
        <v>9.8132320354542175E-3</v>
      </c>
      <c r="J370" s="21">
        <v>63.63</v>
      </c>
      <c r="K370" s="12">
        <f t="shared" si="28"/>
        <v>1.000000000000004E-2</v>
      </c>
      <c r="L370" s="21">
        <v>63.4</v>
      </c>
      <c r="M370" s="12">
        <f t="shared" si="29"/>
        <v>9.8757566103854326E-3</v>
      </c>
    </row>
    <row r="371" spans="1:13" x14ac:dyDescent="0.25">
      <c r="A371" s="23">
        <v>43126</v>
      </c>
      <c r="B371" s="21">
        <v>1.9730000000000001</v>
      </c>
      <c r="C371" s="12">
        <f t="shared" si="25"/>
        <v>3.7874802735402453E-2</v>
      </c>
      <c r="D371" s="6"/>
      <c r="E371" s="23">
        <v>43126</v>
      </c>
      <c r="F371" s="21">
        <v>65.040000000000006</v>
      </c>
      <c r="G371" s="12">
        <f t="shared" si="26"/>
        <v>1.8477920450986639E-2</v>
      </c>
      <c r="H371" s="21">
        <v>64.92</v>
      </c>
      <c r="I371" s="12">
        <f t="shared" si="27"/>
        <v>1.7554858934169353E-2</v>
      </c>
      <c r="J371" s="21">
        <v>64.66</v>
      </c>
      <c r="K371" s="12">
        <f t="shared" si="28"/>
        <v>1.6187333019016092E-2</v>
      </c>
      <c r="L371" s="21">
        <v>64.319999999999993</v>
      </c>
      <c r="M371" s="12">
        <f t="shared" si="29"/>
        <v>1.4511041009463637E-2</v>
      </c>
    </row>
    <row r="372" spans="1:13" x14ac:dyDescent="0.25">
      <c r="A372" s="23">
        <v>43133</v>
      </c>
      <c r="B372" s="21">
        <v>1.958</v>
      </c>
      <c r="C372" s="12">
        <f t="shared" si="25"/>
        <v>-7.602635580334579E-3</v>
      </c>
      <c r="D372" s="6"/>
      <c r="E372" s="23">
        <v>43133</v>
      </c>
      <c r="F372" s="21">
        <v>65.209999999999994</v>
      </c>
      <c r="G372" s="12">
        <f t="shared" si="26"/>
        <v>2.6137761377611852E-3</v>
      </c>
      <c r="H372" s="21">
        <v>64.98</v>
      </c>
      <c r="I372" s="12">
        <f t="shared" si="27"/>
        <v>9.2421441774495183E-4</v>
      </c>
      <c r="J372" s="21">
        <v>64.67</v>
      </c>
      <c r="K372" s="12">
        <f t="shared" si="28"/>
        <v>1.5465511908452082E-4</v>
      </c>
      <c r="L372" s="21">
        <v>64.27</v>
      </c>
      <c r="M372" s="12">
        <f t="shared" si="29"/>
        <v>-7.773631840795579E-4</v>
      </c>
    </row>
    <row r="373" spans="1:13" x14ac:dyDescent="0.25">
      <c r="A373" s="23">
        <v>43140</v>
      </c>
      <c r="B373" s="21">
        <v>1.8260000000000001</v>
      </c>
      <c r="C373" s="12">
        <f t="shared" si="25"/>
        <v>-6.7415730337078594E-2</v>
      </c>
      <c r="D373" s="6"/>
      <c r="E373" s="23">
        <v>43140</v>
      </c>
      <c r="F373" s="21">
        <v>61.94</v>
      </c>
      <c r="G373" s="12">
        <f t="shared" si="26"/>
        <v>-5.0145683177426716E-2</v>
      </c>
      <c r="H373" s="21">
        <v>61.68</v>
      </c>
      <c r="I373" s="12">
        <f t="shared" si="27"/>
        <v>-5.0784856879039768E-2</v>
      </c>
      <c r="J373" s="21">
        <v>61.32</v>
      </c>
      <c r="K373" s="12">
        <f t="shared" si="28"/>
        <v>-5.1801453533323043E-2</v>
      </c>
      <c r="L373" s="21">
        <v>60.92</v>
      </c>
      <c r="M373" s="12">
        <f t="shared" si="29"/>
        <v>-5.212385249727703E-2</v>
      </c>
    </row>
    <row r="374" spans="1:13" x14ac:dyDescent="0.25">
      <c r="A374" s="23">
        <v>43147</v>
      </c>
      <c r="B374" s="21">
        <v>1.7589999999999999</v>
      </c>
      <c r="C374" s="12">
        <f t="shared" si="25"/>
        <v>-3.6692223439211483E-2</v>
      </c>
      <c r="D374" s="6"/>
      <c r="E374" s="23">
        <v>43147</v>
      </c>
      <c r="F374" s="21">
        <v>60.42</v>
      </c>
      <c r="G374" s="12">
        <f t="shared" si="26"/>
        <v>-2.4539877300613435E-2</v>
      </c>
      <c r="H374" s="21">
        <v>60.27</v>
      </c>
      <c r="I374" s="12">
        <f t="shared" si="27"/>
        <v>-2.2859922178988273E-2</v>
      </c>
      <c r="J374" s="21">
        <v>59.95</v>
      </c>
      <c r="K374" s="12">
        <f t="shared" si="28"/>
        <v>-2.2341813437703806E-2</v>
      </c>
      <c r="L374" s="21">
        <v>59.54</v>
      </c>
      <c r="M374" s="12">
        <f t="shared" si="29"/>
        <v>-2.2652659225213437E-2</v>
      </c>
    </row>
    <row r="375" spans="1:13" x14ac:dyDescent="0.25">
      <c r="A375" s="23">
        <v>43154</v>
      </c>
      <c r="B375" s="21">
        <v>1.8049999999999999</v>
      </c>
      <c r="C375" s="12">
        <f t="shared" si="25"/>
        <v>2.615122228538945E-2</v>
      </c>
      <c r="D375" s="6"/>
      <c r="E375" s="23">
        <v>43154</v>
      </c>
      <c r="F375" s="21">
        <v>62.32</v>
      </c>
      <c r="G375" s="12">
        <f t="shared" si="26"/>
        <v>3.1446540880503117E-2</v>
      </c>
      <c r="H375" s="21">
        <v>62.17</v>
      </c>
      <c r="I375" s="12">
        <f t="shared" si="27"/>
        <v>3.1524805043968783E-2</v>
      </c>
      <c r="J375" s="21">
        <v>61.86</v>
      </c>
      <c r="K375" s="12">
        <f t="shared" si="28"/>
        <v>3.1859883236029965E-2</v>
      </c>
      <c r="L375" s="21">
        <v>61.43</v>
      </c>
      <c r="M375" s="12">
        <f t="shared" si="29"/>
        <v>3.1743365804501184E-2</v>
      </c>
    </row>
    <row r="376" spans="1:13" x14ac:dyDescent="0.25">
      <c r="A376" s="23">
        <v>43161</v>
      </c>
      <c r="B376" s="21">
        <v>1.84</v>
      </c>
      <c r="C376" s="12">
        <f t="shared" si="25"/>
        <v>1.9390581717451602E-2</v>
      </c>
      <c r="D376" s="6"/>
      <c r="E376" s="23">
        <v>43161</v>
      </c>
      <c r="F376" s="21">
        <v>62.16</v>
      </c>
      <c r="G376" s="12">
        <f t="shared" si="26"/>
        <v>-2.5673940949936407E-3</v>
      </c>
      <c r="H376" s="21">
        <v>62.01</v>
      </c>
      <c r="I376" s="12">
        <f t="shared" si="27"/>
        <v>-2.573588547531023E-3</v>
      </c>
      <c r="J376" s="21">
        <v>61.69</v>
      </c>
      <c r="K376" s="12">
        <f t="shared" si="28"/>
        <v>-2.7481409634659182E-3</v>
      </c>
      <c r="L376" s="21">
        <v>61.25</v>
      </c>
      <c r="M376" s="12">
        <f t="shared" si="29"/>
        <v>-2.930164414781047E-3</v>
      </c>
    </row>
    <row r="377" spans="1:13" x14ac:dyDescent="0.25">
      <c r="A377" s="23">
        <v>43168</v>
      </c>
      <c r="B377" s="21">
        <v>1.7769999999999999</v>
      </c>
      <c r="C377" s="12">
        <f t="shared" si="25"/>
        <v>-3.4239130434782696E-2</v>
      </c>
      <c r="D377" s="6"/>
      <c r="E377" s="23">
        <v>43168</v>
      </c>
      <c r="F377" s="21">
        <v>61.7</v>
      </c>
      <c r="G377" s="12">
        <f t="shared" si="26"/>
        <v>-7.4002574002572999E-3</v>
      </c>
      <c r="H377" s="21">
        <v>61.57</v>
      </c>
      <c r="I377" s="12">
        <f t="shared" si="27"/>
        <v>-7.0956297371391345E-3</v>
      </c>
      <c r="J377" s="21">
        <v>61.31</v>
      </c>
      <c r="K377" s="12">
        <f t="shared" si="28"/>
        <v>-6.1598314151401438E-3</v>
      </c>
      <c r="L377" s="21">
        <v>60.93</v>
      </c>
      <c r="M377" s="12">
        <f t="shared" si="29"/>
        <v>-5.2244897959183717E-3</v>
      </c>
    </row>
    <row r="378" spans="1:13" x14ac:dyDescent="0.25">
      <c r="A378" s="23">
        <v>43175</v>
      </c>
      <c r="B378" s="21">
        <v>1.7789999999999999</v>
      </c>
      <c r="C378" s="12">
        <f t="shared" si="25"/>
        <v>1.1254924029262814E-3</v>
      </c>
      <c r="D378" s="6"/>
      <c r="E378" s="23">
        <v>43175</v>
      </c>
      <c r="F378" s="21">
        <v>61.31</v>
      </c>
      <c r="G378" s="12">
        <f t="shared" si="26"/>
        <v>-6.3209076175040606E-3</v>
      </c>
      <c r="H378" s="21">
        <v>61.35</v>
      </c>
      <c r="I378" s="12">
        <f t="shared" si="27"/>
        <v>-3.5731687510150863E-3</v>
      </c>
      <c r="J378" s="21">
        <v>61.22</v>
      </c>
      <c r="K378" s="12">
        <f t="shared" si="28"/>
        <v>-1.467949763497038E-3</v>
      </c>
      <c r="L378" s="21">
        <v>60.95</v>
      </c>
      <c r="M378" s="12">
        <f t="shared" si="29"/>
        <v>3.2824552765473703E-4</v>
      </c>
    </row>
    <row r="379" spans="1:13" x14ac:dyDescent="0.25">
      <c r="A379" s="23">
        <v>43182</v>
      </c>
      <c r="B379" s="21">
        <v>1.865</v>
      </c>
      <c r="C379" s="12">
        <f t="shared" si="25"/>
        <v>4.8341765036537428E-2</v>
      </c>
      <c r="D379" s="6"/>
      <c r="E379" s="23">
        <v>43182</v>
      </c>
      <c r="F379" s="21">
        <v>64.16</v>
      </c>
      <c r="G379" s="12">
        <f t="shared" si="26"/>
        <v>4.6485075844071022E-2</v>
      </c>
      <c r="H379" s="21">
        <v>64.099999999999994</v>
      </c>
      <c r="I379" s="12">
        <f t="shared" si="27"/>
        <v>4.48247758761205E-2</v>
      </c>
      <c r="J379" s="21">
        <v>63.79</v>
      </c>
      <c r="K379" s="12">
        <f t="shared" si="28"/>
        <v>4.1979745181313304E-2</v>
      </c>
      <c r="L379" s="21">
        <v>63.32</v>
      </c>
      <c r="M379" s="12">
        <f t="shared" si="29"/>
        <v>3.8884331419196019E-2</v>
      </c>
    </row>
    <row r="380" spans="1:13" x14ac:dyDescent="0.25">
      <c r="A380" s="23">
        <v>43189</v>
      </c>
      <c r="B380" s="21">
        <v>1.9119999999999999</v>
      </c>
      <c r="C380" s="12">
        <f t="shared" si="25"/>
        <v>2.5201072386058943E-2</v>
      </c>
      <c r="D380" s="6"/>
      <c r="E380" s="23">
        <v>43189</v>
      </c>
      <c r="F380" s="21">
        <v>65.010000000000005</v>
      </c>
      <c r="G380" s="12">
        <f t="shared" si="26"/>
        <v>1.3248129675810608E-2</v>
      </c>
      <c r="H380" s="21">
        <v>64.94</v>
      </c>
      <c r="I380" s="12">
        <f t="shared" si="27"/>
        <v>1.3104524180967293E-2</v>
      </c>
      <c r="J380" s="21">
        <v>64.61</v>
      </c>
      <c r="K380" s="12">
        <f t="shared" si="28"/>
        <v>1.28546794168365E-2</v>
      </c>
      <c r="L380" s="21">
        <v>64.099999999999994</v>
      </c>
      <c r="M380" s="12">
        <f t="shared" si="29"/>
        <v>1.2318382817435155E-2</v>
      </c>
    </row>
    <row r="381" spans="1:13" x14ac:dyDescent="0.25">
      <c r="A381" s="23">
        <v>43196</v>
      </c>
      <c r="B381" s="21">
        <v>1.883</v>
      </c>
      <c r="C381" s="12">
        <f t="shared" si="25"/>
        <v>-1.5167364016736358E-2</v>
      </c>
      <c r="D381" s="6"/>
      <c r="E381" s="23">
        <v>43196</v>
      </c>
      <c r="F381" s="21">
        <v>63.1</v>
      </c>
      <c r="G381" s="12">
        <f t="shared" si="26"/>
        <v>-2.9380095369943141E-2</v>
      </c>
      <c r="H381" s="21">
        <v>63.08</v>
      </c>
      <c r="I381" s="12">
        <f t="shared" si="27"/>
        <v>-2.8641823221435162E-2</v>
      </c>
      <c r="J381" s="21">
        <v>62.87</v>
      </c>
      <c r="K381" s="12">
        <f t="shared" si="28"/>
        <v>-2.693081566321006E-2</v>
      </c>
      <c r="L381" s="21">
        <v>62.47</v>
      </c>
      <c r="M381" s="12">
        <f t="shared" si="29"/>
        <v>-2.5429017160686358E-2</v>
      </c>
    </row>
    <row r="382" spans="1:13" x14ac:dyDescent="0.25">
      <c r="A382" s="23">
        <v>43203</v>
      </c>
      <c r="B382" s="21">
        <v>1.9670000000000001</v>
      </c>
      <c r="C382" s="12">
        <f t="shared" si="25"/>
        <v>4.4609665427509333E-2</v>
      </c>
      <c r="D382" s="6"/>
      <c r="E382" s="23">
        <v>43203</v>
      </c>
      <c r="F382" s="21">
        <v>66.040000000000006</v>
      </c>
      <c r="G382" s="12">
        <f t="shared" si="26"/>
        <v>4.6592709984152214E-2</v>
      </c>
      <c r="H382" s="21">
        <v>65.98</v>
      </c>
      <c r="I382" s="12">
        <f t="shared" si="27"/>
        <v>4.5973367152821902E-2</v>
      </c>
      <c r="J382" s="21">
        <v>65.69</v>
      </c>
      <c r="K382" s="12">
        <f t="shared" si="28"/>
        <v>4.4854461587402583E-2</v>
      </c>
      <c r="L382" s="21">
        <v>65.2</v>
      </c>
      <c r="M382" s="12">
        <f t="shared" si="29"/>
        <v>4.3700976468705043E-2</v>
      </c>
    </row>
    <row r="383" spans="1:13" x14ac:dyDescent="0.25">
      <c r="A383" s="23">
        <v>43210</v>
      </c>
      <c r="B383" s="21">
        <v>2.0390000000000001</v>
      </c>
      <c r="C383" s="12">
        <f t="shared" si="25"/>
        <v>3.6603965429588235E-2</v>
      </c>
      <c r="D383" s="6"/>
      <c r="E383" s="23">
        <v>43210</v>
      </c>
      <c r="F383" s="21">
        <v>67.58</v>
      </c>
      <c r="G383" s="12">
        <f t="shared" si="26"/>
        <v>2.3319200484554693E-2</v>
      </c>
      <c r="H383" s="21">
        <v>67.58</v>
      </c>
      <c r="I383" s="12">
        <f t="shared" si="27"/>
        <v>2.4249772658381241E-2</v>
      </c>
      <c r="J383" s="21">
        <v>67.319999999999993</v>
      </c>
      <c r="K383" s="12">
        <f t="shared" si="28"/>
        <v>2.4813518039275315E-2</v>
      </c>
      <c r="L383" s="21">
        <v>66.790000000000006</v>
      </c>
      <c r="M383" s="12">
        <f t="shared" si="29"/>
        <v>2.4386503067484713E-2</v>
      </c>
    </row>
    <row r="384" spans="1:13" x14ac:dyDescent="0.25">
      <c r="A384" s="23">
        <v>43217</v>
      </c>
      <c r="B384" s="21">
        <v>2.073</v>
      </c>
      <c r="C384" s="12">
        <f t="shared" si="25"/>
        <v>1.6674840608141152E-2</v>
      </c>
      <c r="D384" s="6"/>
      <c r="E384" s="23">
        <v>43217</v>
      </c>
      <c r="F384" s="21">
        <v>68.14</v>
      </c>
      <c r="G384" s="12">
        <f t="shared" si="26"/>
        <v>8.2864752885469413E-3</v>
      </c>
      <c r="H384" s="21">
        <v>68</v>
      </c>
      <c r="I384" s="12">
        <f t="shared" si="27"/>
        <v>6.214856466410206E-3</v>
      </c>
      <c r="J384" s="21">
        <v>67.62</v>
      </c>
      <c r="K384" s="12">
        <f t="shared" si="28"/>
        <v>4.4563279857399198E-3</v>
      </c>
      <c r="L384" s="21">
        <v>67.069999999999993</v>
      </c>
      <c r="M384" s="12">
        <f t="shared" si="29"/>
        <v>4.1922443479560844E-3</v>
      </c>
    </row>
    <row r="385" spans="1:13" x14ac:dyDescent="0.25">
      <c r="A385" s="23">
        <v>43224</v>
      </c>
      <c r="B385" s="21">
        <v>2.0569999999999999</v>
      </c>
      <c r="C385" s="12">
        <f t="shared" si="25"/>
        <v>-7.7182826821032393E-3</v>
      </c>
      <c r="D385" s="6"/>
      <c r="E385" s="23">
        <v>43224</v>
      </c>
      <c r="F385" s="21">
        <v>68.38</v>
      </c>
      <c r="G385" s="12">
        <f t="shared" si="26"/>
        <v>3.522160258291677E-3</v>
      </c>
      <c r="H385" s="21">
        <v>68.239999999999995</v>
      </c>
      <c r="I385" s="12">
        <f t="shared" si="27"/>
        <v>3.529411764705807E-3</v>
      </c>
      <c r="J385" s="21">
        <v>67.86</v>
      </c>
      <c r="K385" s="12">
        <f t="shared" si="28"/>
        <v>3.5492457852705542E-3</v>
      </c>
      <c r="L385" s="21">
        <v>67.34</v>
      </c>
      <c r="M385" s="12">
        <f t="shared" si="29"/>
        <v>4.0256448486657263E-3</v>
      </c>
    </row>
    <row r="386" spans="1:13" x14ac:dyDescent="0.25">
      <c r="A386" s="23">
        <v>43231</v>
      </c>
      <c r="B386" s="21">
        <v>2.1139999999999999</v>
      </c>
      <c r="C386" s="12">
        <f t="shared" si="25"/>
        <v>2.7710257656781694E-2</v>
      </c>
      <c r="D386" s="6"/>
      <c r="E386" s="23">
        <v>43231</v>
      </c>
      <c r="F386" s="21">
        <v>70.599999999999994</v>
      </c>
      <c r="G386" s="12">
        <f t="shared" si="26"/>
        <v>3.2465633226089488E-2</v>
      </c>
      <c r="H386" s="21">
        <v>70.53</v>
      </c>
      <c r="I386" s="12">
        <f t="shared" si="27"/>
        <v>3.35580304806566E-2</v>
      </c>
      <c r="J386" s="21">
        <v>70.239999999999995</v>
      </c>
      <c r="K386" s="12">
        <f t="shared" si="28"/>
        <v>3.5072207486000526E-2</v>
      </c>
      <c r="L386" s="21">
        <v>69.790000000000006</v>
      </c>
      <c r="M386" s="12">
        <f t="shared" si="29"/>
        <v>3.6382536382536426E-2</v>
      </c>
    </row>
    <row r="387" spans="1:13" x14ac:dyDescent="0.25">
      <c r="A387" s="23">
        <v>43238</v>
      </c>
      <c r="B387" s="21">
        <v>2.181</v>
      </c>
      <c r="C387" s="12">
        <f t="shared" si="25"/>
        <v>3.1693472090823169E-2</v>
      </c>
      <c r="D387" s="6"/>
      <c r="E387" s="23">
        <v>43238</v>
      </c>
      <c r="F387" s="21">
        <v>71.31</v>
      </c>
      <c r="G387" s="12">
        <f t="shared" si="26"/>
        <v>1.0056657223796148E-2</v>
      </c>
      <c r="H387" s="21">
        <v>71.37</v>
      </c>
      <c r="I387" s="12">
        <f t="shared" si="27"/>
        <v>1.1909825606125102E-2</v>
      </c>
      <c r="J387" s="21">
        <v>71.150000000000006</v>
      </c>
      <c r="K387" s="12">
        <f t="shared" si="28"/>
        <v>1.29555808656038E-2</v>
      </c>
      <c r="L387" s="21">
        <v>70.72</v>
      </c>
      <c r="M387" s="12">
        <f t="shared" si="29"/>
        <v>1.332569135979356E-2</v>
      </c>
    </row>
    <row r="388" spans="1:13" x14ac:dyDescent="0.25">
      <c r="A388" s="23">
        <v>43245</v>
      </c>
      <c r="B388" s="21">
        <v>2.1789999999999998</v>
      </c>
      <c r="C388" s="12">
        <f t="shared" si="25"/>
        <v>-9.1701054562137729E-4</v>
      </c>
      <c r="D388" s="6"/>
      <c r="E388" s="23">
        <v>43245</v>
      </c>
      <c r="F388" s="21">
        <v>70.959999999999994</v>
      </c>
      <c r="G388" s="12">
        <f t="shared" si="26"/>
        <v>-4.9081475248914392E-3</v>
      </c>
      <c r="H388" s="21">
        <v>70.92</v>
      </c>
      <c r="I388" s="12">
        <f t="shared" si="27"/>
        <v>-6.3051702395965081E-3</v>
      </c>
      <c r="J388" s="21">
        <v>70.61</v>
      </c>
      <c r="K388" s="12">
        <f t="shared" si="28"/>
        <v>-7.5895994378075366E-3</v>
      </c>
      <c r="L388" s="21">
        <v>70.14</v>
      </c>
      <c r="M388" s="12">
        <f t="shared" si="29"/>
        <v>-8.2013574660633245E-3</v>
      </c>
    </row>
    <row r="389" spans="1:13" x14ac:dyDescent="0.25">
      <c r="A389" s="23">
        <v>43252</v>
      </c>
      <c r="B389" s="21">
        <v>2.097</v>
      </c>
      <c r="C389" s="12">
        <f t="shared" ref="C389:C452" si="30">(B389-B388)/B388</f>
        <v>-3.7631941257457481E-2</v>
      </c>
      <c r="D389" s="6"/>
      <c r="E389" s="23">
        <v>43252</v>
      </c>
      <c r="F389" s="21">
        <v>67.13</v>
      </c>
      <c r="G389" s="12">
        <f t="shared" ref="G389:G452" si="31">(F389-F388)/F388</f>
        <v>-5.3974069898534364E-2</v>
      </c>
      <c r="H389" s="21">
        <v>67.03</v>
      </c>
      <c r="I389" s="12">
        <f t="shared" ref="I389:I452" si="32">(H389-H388)/H388</f>
        <v>-5.4850535815002828E-2</v>
      </c>
      <c r="J389" s="21">
        <v>66.69</v>
      </c>
      <c r="K389" s="12">
        <f t="shared" ref="K389:K452" si="33">(J389-J388)/J388</f>
        <v>-5.5516215833451378E-2</v>
      </c>
      <c r="L389" s="21">
        <v>66.290000000000006</v>
      </c>
      <c r="M389" s="12">
        <f t="shared" ref="M389:M452" si="34">(L389-L388)/L388</f>
        <v>-5.489021956087816E-2</v>
      </c>
    </row>
    <row r="390" spans="1:13" x14ac:dyDescent="0.25">
      <c r="A390" s="23">
        <v>43259</v>
      </c>
      <c r="B390" s="21">
        <v>2.048</v>
      </c>
      <c r="C390" s="12">
        <f t="shared" si="30"/>
        <v>-2.3366714353838785E-2</v>
      </c>
      <c r="D390" s="6"/>
      <c r="E390" s="23">
        <v>43259</v>
      </c>
      <c r="F390" s="21">
        <v>65.34</v>
      </c>
      <c r="G390" s="12">
        <f t="shared" si="31"/>
        <v>-2.6664680470728321E-2</v>
      </c>
      <c r="H390" s="21">
        <v>65.28</v>
      </c>
      <c r="I390" s="12">
        <f t="shared" si="32"/>
        <v>-2.6107712964344321E-2</v>
      </c>
      <c r="J390" s="21">
        <v>65.05</v>
      </c>
      <c r="K390" s="12">
        <f t="shared" si="33"/>
        <v>-2.4591393012445652E-2</v>
      </c>
      <c r="L390" s="21">
        <v>64.77</v>
      </c>
      <c r="M390" s="12">
        <f t="shared" si="34"/>
        <v>-2.2929551968622869E-2</v>
      </c>
    </row>
    <row r="391" spans="1:13" x14ac:dyDescent="0.25">
      <c r="A391" s="23">
        <v>43266</v>
      </c>
      <c r="B391" s="21">
        <v>2.024</v>
      </c>
      <c r="C391" s="12">
        <f t="shared" si="30"/>
        <v>-1.171875000000001E-2</v>
      </c>
      <c r="D391" s="6"/>
      <c r="E391" s="23">
        <v>43266</v>
      </c>
      <c r="F391" s="21">
        <v>66.209999999999994</v>
      </c>
      <c r="G391" s="12">
        <f t="shared" si="31"/>
        <v>1.3314967860422256E-2</v>
      </c>
      <c r="H391" s="21">
        <v>66.069999999999993</v>
      </c>
      <c r="I391" s="12">
        <f t="shared" si="32"/>
        <v>1.2101715686274387E-2</v>
      </c>
      <c r="J391" s="21">
        <v>65.72</v>
      </c>
      <c r="K391" s="12">
        <f t="shared" si="33"/>
        <v>1.0299769408147606E-2</v>
      </c>
      <c r="L391" s="21">
        <v>65.3</v>
      </c>
      <c r="M391" s="12">
        <f t="shared" si="34"/>
        <v>8.1828006793268661E-3</v>
      </c>
    </row>
    <row r="392" spans="1:13" x14ac:dyDescent="0.25">
      <c r="A392" s="23">
        <v>43273</v>
      </c>
      <c r="B392" s="21">
        <v>1.984</v>
      </c>
      <c r="C392" s="12">
        <f t="shared" si="30"/>
        <v>-1.9762845849802389E-2</v>
      </c>
      <c r="D392" s="6"/>
      <c r="E392" s="23">
        <v>43273</v>
      </c>
      <c r="F392" s="21">
        <v>66.25</v>
      </c>
      <c r="G392" s="12">
        <f t="shared" si="31"/>
        <v>6.0413834768171355E-4</v>
      </c>
      <c r="H392" s="21">
        <v>65.760000000000005</v>
      </c>
      <c r="I392" s="12">
        <f t="shared" si="32"/>
        <v>-4.6919933403963693E-3</v>
      </c>
      <c r="J392" s="21">
        <v>65.209999999999994</v>
      </c>
      <c r="K392" s="12">
        <f t="shared" si="33"/>
        <v>-7.7601947656726284E-3</v>
      </c>
      <c r="L392" s="21">
        <v>64.77</v>
      </c>
      <c r="M392" s="12">
        <f t="shared" si="34"/>
        <v>-8.1163859111791914E-3</v>
      </c>
    </row>
    <row r="393" spans="1:13" x14ac:dyDescent="0.25">
      <c r="A393" s="23">
        <v>43280</v>
      </c>
      <c r="B393" s="21">
        <v>2.0529999999999999</v>
      </c>
      <c r="C393" s="12">
        <f t="shared" si="30"/>
        <v>3.4778225806451589E-2</v>
      </c>
      <c r="D393" s="6"/>
      <c r="E393" s="23">
        <v>43280</v>
      </c>
      <c r="F393" s="21">
        <v>71.790000000000006</v>
      </c>
      <c r="G393" s="12">
        <f t="shared" si="31"/>
        <v>8.3622641509434062E-2</v>
      </c>
      <c r="H393" s="21">
        <v>70.37</v>
      </c>
      <c r="I393" s="12">
        <f t="shared" si="32"/>
        <v>7.0103406326034054E-2</v>
      </c>
      <c r="J393" s="21">
        <v>69.11</v>
      </c>
      <c r="K393" s="12">
        <f t="shared" si="33"/>
        <v>5.9806778101518264E-2</v>
      </c>
      <c r="L393" s="21">
        <v>68.45</v>
      </c>
      <c r="M393" s="12">
        <f t="shared" si="34"/>
        <v>5.6816427358345023E-2</v>
      </c>
    </row>
    <row r="394" spans="1:13" x14ac:dyDescent="0.25">
      <c r="A394" s="23">
        <v>43287</v>
      </c>
      <c r="B394" s="21">
        <v>2.0880000000000001</v>
      </c>
      <c r="C394" s="12">
        <f t="shared" si="30"/>
        <v>1.7048222113979612E-2</v>
      </c>
      <c r="D394" s="6"/>
      <c r="E394" s="23">
        <v>43287</v>
      </c>
      <c r="F394" s="21">
        <v>73.790000000000006</v>
      </c>
      <c r="G394" s="12">
        <f t="shared" si="31"/>
        <v>2.785903329154478E-2</v>
      </c>
      <c r="H394" s="21">
        <v>71.400000000000006</v>
      </c>
      <c r="I394" s="12">
        <f t="shared" si="32"/>
        <v>1.4636919141679708E-2</v>
      </c>
      <c r="J394" s="21">
        <v>68.92</v>
      </c>
      <c r="K394" s="12">
        <f t="shared" si="33"/>
        <v>-2.7492403414845568E-3</v>
      </c>
      <c r="L394" s="21">
        <v>68.22</v>
      </c>
      <c r="M394" s="12">
        <f t="shared" si="34"/>
        <v>-3.3601168736304451E-3</v>
      </c>
    </row>
    <row r="395" spans="1:13" x14ac:dyDescent="0.25">
      <c r="A395" s="23">
        <v>43294</v>
      </c>
      <c r="B395" s="21">
        <v>2.0750000000000002</v>
      </c>
      <c r="C395" s="12">
        <f t="shared" si="30"/>
        <v>-6.2260536398466952E-3</v>
      </c>
      <c r="D395" s="6"/>
      <c r="E395" s="23">
        <v>43294</v>
      </c>
      <c r="F395" s="21">
        <v>71.94</v>
      </c>
      <c r="G395" s="12">
        <f t="shared" si="31"/>
        <v>-2.5071147852012581E-2</v>
      </c>
      <c r="H395" s="21">
        <v>70.540000000000006</v>
      </c>
      <c r="I395" s="12">
        <f t="shared" si="32"/>
        <v>-1.204481792717086E-2</v>
      </c>
      <c r="J395" s="21">
        <v>68.84</v>
      </c>
      <c r="K395" s="12">
        <f t="shared" si="33"/>
        <v>-1.1607661056296909E-3</v>
      </c>
      <c r="L395" s="21">
        <v>68.180000000000007</v>
      </c>
      <c r="M395" s="12">
        <f t="shared" si="34"/>
        <v>-5.8633831720891294E-4</v>
      </c>
    </row>
    <row r="396" spans="1:13" x14ac:dyDescent="0.25">
      <c r="A396" s="23">
        <v>43301</v>
      </c>
      <c r="B396" s="21">
        <v>2.0070000000000001</v>
      </c>
      <c r="C396" s="12">
        <f t="shared" si="30"/>
        <v>-3.2771084337349425E-2</v>
      </c>
      <c r="D396" s="6"/>
      <c r="E396" s="23">
        <v>43301</v>
      </c>
      <c r="F396" s="21">
        <v>68.959999999999994</v>
      </c>
      <c r="G396" s="12">
        <f t="shared" si="31"/>
        <v>-4.1423408395885514E-2</v>
      </c>
      <c r="H396" s="21">
        <v>67.7</v>
      </c>
      <c r="I396" s="12">
        <f t="shared" si="32"/>
        <v>-4.0260844910689014E-2</v>
      </c>
      <c r="J396" s="21">
        <v>66.209999999999994</v>
      </c>
      <c r="K396" s="12">
        <f t="shared" si="33"/>
        <v>-3.820453224869276E-2</v>
      </c>
      <c r="L396" s="21">
        <v>65.69</v>
      </c>
      <c r="M396" s="12">
        <f t="shared" si="34"/>
        <v>-3.6520973892637268E-2</v>
      </c>
    </row>
    <row r="397" spans="1:13" x14ac:dyDescent="0.25">
      <c r="A397" s="23">
        <v>43308</v>
      </c>
      <c r="B397" s="21">
        <v>2.1059999999999999</v>
      </c>
      <c r="C397" s="12">
        <f t="shared" si="30"/>
        <v>4.9327354260089558E-2</v>
      </c>
      <c r="D397" s="6"/>
      <c r="E397" s="23">
        <v>43308</v>
      </c>
      <c r="F397" s="21">
        <v>68.8</v>
      </c>
      <c r="G397" s="12">
        <f t="shared" si="31"/>
        <v>-2.3201856148491388E-3</v>
      </c>
      <c r="H397" s="21">
        <v>67.62</v>
      </c>
      <c r="I397" s="12">
        <f t="shared" si="32"/>
        <v>-1.1816838995568433E-3</v>
      </c>
      <c r="J397" s="21">
        <v>67.23</v>
      </c>
      <c r="K397" s="12">
        <f t="shared" si="33"/>
        <v>1.5405527865881443E-2</v>
      </c>
      <c r="L397" s="21">
        <v>66.92</v>
      </c>
      <c r="M397" s="12">
        <f t="shared" si="34"/>
        <v>1.872431115847167E-2</v>
      </c>
    </row>
    <row r="398" spans="1:13" x14ac:dyDescent="0.25">
      <c r="A398" s="23">
        <v>43315</v>
      </c>
      <c r="B398" s="21">
        <v>2.0950000000000002</v>
      </c>
      <c r="C398" s="12">
        <f t="shared" si="30"/>
        <v>-5.223171889838403E-3</v>
      </c>
      <c r="D398" s="6"/>
      <c r="E398" s="23">
        <v>43315</v>
      </c>
      <c r="F398" s="21">
        <v>68.8</v>
      </c>
      <c r="G398" s="12">
        <f t="shared" si="31"/>
        <v>0</v>
      </c>
      <c r="H398" s="21">
        <v>67.62</v>
      </c>
      <c r="I398" s="12">
        <f t="shared" si="32"/>
        <v>0</v>
      </c>
      <c r="J398" s="21">
        <v>67.2</v>
      </c>
      <c r="K398" s="12">
        <f t="shared" si="33"/>
        <v>-4.4622936189202939E-4</v>
      </c>
      <c r="L398" s="21">
        <v>66.849999999999994</v>
      </c>
      <c r="M398" s="12">
        <f t="shared" si="34"/>
        <v>-1.046025104602621E-3</v>
      </c>
    </row>
    <row r="399" spans="1:13" x14ac:dyDescent="0.25">
      <c r="A399" s="23">
        <v>43322</v>
      </c>
      <c r="B399" s="21">
        <v>2.0680000000000001</v>
      </c>
      <c r="C399" s="12">
        <f t="shared" si="30"/>
        <v>-1.2887828162291233E-2</v>
      </c>
      <c r="D399" s="6"/>
      <c r="E399" s="23">
        <v>43322</v>
      </c>
      <c r="F399" s="21">
        <v>67.91</v>
      </c>
      <c r="G399" s="12">
        <f t="shared" si="31"/>
        <v>-1.2936046511627915E-2</v>
      </c>
      <c r="H399" s="21">
        <v>67.12</v>
      </c>
      <c r="I399" s="12">
        <f t="shared" si="32"/>
        <v>-7.3942620526471457E-3</v>
      </c>
      <c r="J399" s="21">
        <v>66.73</v>
      </c>
      <c r="K399" s="12">
        <f t="shared" si="33"/>
        <v>-6.994047619047602E-3</v>
      </c>
      <c r="L399" s="21">
        <v>66.39</v>
      </c>
      <c r="M399" s="12">
        <f t="shared" si="34"/>
        <v>-6.8810770381450082E-3</v>
      </c>
    </row>
    <row r="400" spans="1:13" x14ac:dyDescent="0.25">
      <c r="A400" s="23">
        <v>43329</v>
      </c>
      <c r="B400" s="21">
        <v>2.0299999999999998</v>
      </c>
      <c r="C400" s="12">
        <f t="shared" si="30"/>
        <v>-1.8375241779497221E-2</v>
      </c>
      <c r="D400" s="6"/>
      <c r="E400" s="23">
        <v>43329</v>
      </c>
      <c r="F400" s="21">
        <v>66.12</v>
      </c>
      <c r="G400" s="12">
        <f t="shared" si="31"/>
        <v>-2.635841554999252E-2</v>
      </c>
      <c r="H400" s="21">
        <v>65.489999999999995</v>
      </c>
      <c r="I400" s="12">
        <f t="shared" si="32"/>
        <v>-2.4284862932062119E-2</v>
      </c>
      <c r="J400" s="21">
        <v>65.209999999999994</v>
      </c>
      <c r="K400" s="12">
        <f t="shared" si="33"/>
        <v>-2.2778360557470557E-2</v>
      </c>
      <c r="L400" s="21">
        <v>64.930000000000007</v>
      </c>
      <c r="M400" s="12">
        <f t="shared" si="34"/>
        <v>-2.1991263744539746E-2</v>
      </c>
    </row>
    <row r="401" spans="1:13" x14ac:dyDescent="0.25">
      <c r="A401" s="23">
        <v>43336</v>
      </c>
      <c r="B401" s="21">
        <v>2.077</v>
      </c>
      <c r="C401" s="12">
        <f t="shared" si="30"/>
        <v>2.3152709359605988E-2</v>
      </c>
      <c r="D401" s="6"/>
      <c r="E401" s="23">
        <v>43336</v>
      </c>
      <c r="F401" s="21">
        <v>67.64</v>
      </c>
      <c r="G401" s="12">
        <f t="shared" si="31"/>
        <v>2.2988505747126374E-2</v>
      </c>
      <c r="H401" s="21">
        <v>66.930000000000007</v>
      </c>
      <c r="I401" s="12">
        <f t="shared" si="32"/>
        <v>2.1988089784700137E-2</v>
      </c>
      <c r="J401" s="21">
        <v>66.62</v>
      </c>
      <c r="K401" s="12">
        <f t="shared" si="33"/>
        <v>2.16224505443952E-2</v>
      </c>
      <c r="L401" s="21">
        <v>66.34</v>
      </c>
      <c r="M401" s="12">
        <f t="shared" si="34"/>
        <v>2.1715693824118226E-2</v>
      </c>
    </row>
    <row r="402" spans="1:13" x14ac:dyDescent="0.25">
      <c r="A402" s="23">
        <v>43343</v>
      </c>
      <c r="B402" s="21">
        <v>2.13</v>
      </c>
      <c r="C402" s="12">
        <f t="shared" si="30"/>
        <v>2.5517573423206517E-2</v>
      </c>
      <c r="D402" s="6"/>
      <c r="E402" s="23">
        <v>43343</v>
      </c>
      <c r="F402" s="21">
        <v>69.39</v>
      </c>
      <c r="G402" s="12">
        <f t="shared" si="31"/>
        <v>2.5872264931992902E-2</v>
      </c>
      <c r="H402" s="21">
        <v>69.02</v>
      </c>
      <c r="I402" s="12">
        <f t="shared" si="32"/>
        <v>3.122665471388001E-2</v>
      </c>
      <c r="J402" s="21">
        <v>68.709999999999994</v>
      </c>
      <c r="K402" s="12">
        <f t="shared" si="33"/>
        <v>3.1371960372260421E-2</v>
      </c>
      <c r="L402" s="21">
        <v>68.45</v>
      </c>
      <c r="M402" s="12">
        <f t="shared" si="34"/>
        <v>3.1805848658426276E-2</v>
      </c>
    </row>
    <row r="403" spans="1:13" x14ac:dyDescent="0.25">
      <c r="A403" s="23">
        <v>43350</v>
      </c>
      <c r="B403" s="21">
        <v>2.0979999999999999</v>
      </c>
      <c r="C403" s="12">
        <f t="shared" si="30"/>
        <v>-1.5023474178403769E-2</v>
      </c>
      <c r="D403" s="6"/>
      <c r="E403" s="23">
        <v>43350</v>
      </c>
      <c r="F403" s="21">
        <v>68.78</v>
      </c>
      <c r="G403" s="12">
        <f t="shared" si="31"/>
        <v>-8.7908920593745415E-3</v>
      </c>
      <c r="H403" s="21">
        <v>68.48</v>
      </c>
      <c r="I403" s="12">
        <f t="shared" si="32"/>
        <v>-7.8238191828454377E-3</v>
      </c>
      <c r="J403" s="21">
        <v>68.239999999999995</v>
      </c>
      <c r="K403" s="12">
        <f t="shared" si="33"/>
        <v>-6.8403434725658402E-3</v>
      </c>
      <c r="L403" s="21">
        <v>68.010000000000005</v>
      </c>
      <c r="M403" s="12">
        <f t="shared" si="34"/>
        <v>-6.4280496712928814E-3</v>
      </c>
    </row>
    <row r="404" spans="1:13" x14ac:dyDescent="0.25">
      <c r="A404" s="23">
        <v>43357</v>
      </c>
      <c r="B404" s="21">
        <v>2.0609999999999999</v>
      </c>
      <c r="C404" s="12">
        <f t="shared" si="30"/>
        <v>-1.7635843660629133E-2</v>
      </c>
      <c r="D404" s="6"/>
      <c r="E404" s="23">
        <v>43357</v>
      </c>
      <c r="F404" s="21">
        <v>68.95</v>
      </c>
      <c r="G404" s="12">
        <f t="shared" si="31"/>
        <v>2.4716487350974368E-3</v>
      </c>
      <c r="H404" s="21">
        <v>68.760000000000005</v>
      </c>
      <c r="I404" s="12">
        <f t="shared" si="32"/>
        <v>4.088785046728988E-3</v>
      </c>
      <c r="J404" s="21">
        <v>68.650000000000006</v>
      </c>
      <c r="K404" s="12">
        <f t="shared" si="33"/>
        <v>6.0082063305980484E-3</v>
      </c>
      <c r="L404" s="21">
        <v>68.510000000000005</v>
      </c>
      <c r="M404" s="12">
        <f t="shared" si="34"/>
        <v>7.3518600205852071E-3</v>
      </c>
    </row>
    <row r="405" spans="1:13" x14ac:dyDescent="0.25">
      <c r="A405" s="23">
        <v>43364</v>
      </c>
      <c r="B405" s="21">
        <v>2.0750000000000002</v>
      </c>
      <c r="C405" s="12">
        <f t="shared" si="30"/>
        <v>6.7928190198933694E-3</v>
      </c>
      <c r="D405" s="6"/>
      <c r="E405" s="23">
        <v>43364</v>
      </c>
      <c r="F405" s="21">
        <v>70.290000000000006</v>
      </c>
      <c r="G405" s="12">
        <f t="shared" si="31"/>
        <v>1.9434372733865168E-2</v>
      </c>
      <c r="H405" s="21">
        <v>69.95</v>
      </c>
      <c r="I405" s="12">
        <f t="shared" si="32"/>
        <v>1.7306573589296069E-2</v>
      </c>
      <c r="J405" s="21">
        <v>69.739999999999995</v>
      </c>
      <c r="K405" s="12">
        <f t="shared" si="33"/>
        <v>1.5877640203932834E-2</v>
      </c>
      <c r="L405" s="21">
        <v>69.540000000000006</v>
      </c>
      <c r="M405" s="12">
        <f t="shared" si="34"/>
        <v>1.5034301561815809E-2</v>
      </c>
    </row>
    <row r="406" spans="1:13" x14ac:dyDescent="0.25">
      <c r="A406" s="23">
        <v>43371</v>
      </c>
      <c r="B406" s="21">
        <v>2.1379999999999999</v>
      </c>
      <c r="C406" s="12">
        <f t="shared" si="30"/>
        <v>3.0361445783132393E-2</v>
      </c>
      <c r="D406" s="6"/>
      <c r="E406" s="23">
        <v>43371</v>
      </c>
      <c r="F406" s="21">
        <v>72.260000000000005</v>
      </c>
      <c r="G406" s="12">
        <f t="shared" si="31"/>
        <v>2.8026746336605474E-2</v>
      </c>
      <c r="H406" s="21">
        <v>72.06</v>
      </c>
      <c r="I406" s="12">
        <f t="shared" si="32"/>
        <v>3.0164403145103637E-2</v>
      </c>
      <c r="J406" s="21">
        <v>71.88</v>
      </c>
      <c r="K406" s="12">
        <f t="shared" si="33"/>
        <v>3.0685402925150571E-2</v>
      </c>
      <c r="L406" s="21">
        <v>71.67</v>
      </c>
      <c r="M406" s="12">
        <f t="shared" si="34"/>
        <v>3.0629853321829097E-2</v>
      </c>
    </row>
    <row r="407" spans="1:13" x14ac:dyDescent="0.25">
      <c r="A407" s="23">
        <v>43378</v>
      </c>
      <c r="B407" s="21">
        <v>2.1949999999999998</v>
      </c>
      <c r="C407" s="12">
        <f t="shared" si="30"/>
        <v>2.6660430308699693E-2</v>
      </c>
      <c r="D407" s="6"/>
      <c r="E407" s="23">
        <v>43378</v>
      </c>
      <c r="F407" s="21">
        <v>75.12</v>
      </c>
      <c r="G407" s="12">
        <f t="shared" si="31"/>
        <v>3.9579296983116512E-2</v>
      </c>
      <c r="H407" s="21">
        <v>74.989999999999995</v>
      </c>
      <c r="I407" s="12">
        <f t="shared" si="32"/>
        <v>4.0660560643907752E-2</v>
      </c>
      <c r="J407" s="21">
        <v>74.86</v>
      </c>
      <c r="K407" s="12">
        <f t="shared" si="33"/>
        <v>4.1457985531441352E-2</v>
      </c>
      <c r="L407" s="21">
        <v>74.73</v>
      </c>
      <c r="M407" s="12">
        <f t="shared" si="34"/>
        <v>4.2695688572624561E-2</v>
      </c>
    </row>
    <row r="408" spans="1:13" x14ac:dyDescent="0.25">
      <c r="A408" s="23">
        <v>43385</v>
      </c>
      <c r="B408" s="21">
        <v>2.0939999999999999</v>
      </c>
      <c r="C408" s="12">
        <f t="shared" si="30"/>
        <v>-4.6013667425968102E-2</v>
      </c>
      <c r="D408" s="6"/>
      <c r="E408" s="23">
        <v>43385</v>
      </c>
      <c r="F408" s="21">
        <v>72.95</v>
      </c>
      <c r="G408" s="12">
        <f t="shared" si="31"/>
        <v>-2.8887113951011737E-2</v>
      </c>
      <c r="H408" s="21">
        <v>72.8</v>
      </c>
      <c r="I408" s="12">
        <f t="shared" si="32"/>
        <v>-2.9203893852513641E-2</v>
      </c>
      <c r="J408" s="21">
        <v>72.67</v>
      </c>
      <c r="K408" s="12">
        <f t="shared" si="33"/>
        <v>-2.9254608602725055E-2</v>
      </c>
      <c r="L408" s="21">
        <v>72.56</v>
      </c>
      <c r="M408" s="12">
        <f t="shared" si="34"/>
        <v>-2.9037869664124201E-2</v>
      </c>
    </row>
    <row r="409" spans="1:13" x14ac:dyDescent="0.25">
      <c r="A409" s="23">
        <v>43392</v>
      </c>
      <c r="B409" s="21">
        <v>2.008</v>
      </c>
      <c r="C409" s="12">
        <f t="shared" si="30"/>
        <v>-4.1069723018147021E-2</v>
      </c>
      <c r="D409" s="6"/>
      <c r="E409" s="23">
        <v>43392</v>
      </c>
      <c r="F409" s="21">
        <v>70.239999999999995</v>
      </c>
      <c r="G409" s="12">
        <f t="shared" si="31"/>
        <v>-3.7148732008224918E-2</v>
      </c>
      <c r="H409" s="21">
        <v>70.209999999999994</v>
      </c>
      <c r="I409" s="12">
        <f t="shared" si="32"/>
        <v>-3.5576923076923124E-2</v>
      </c>
      <c r="J409" s="21">
        <v>70.209999999999994</v>
      </c>
      <c r="K409" s="12">
        <f t="shared" si="33"/>
        <v>-3.38516581808175E-2</v>
      </c>
      <c r="L409" s="21">
        <v>70.19</v>
      </c>
      <c r="M409" s="12">
        <f t="shared" si="34"/>
        <v>-3.266262403528121E-2</v>
      </c>
    </row>
    <row r="410" spans="1:13" x14ac:dyDescent="0.25">
      <c r="A410" s="23">
        <v>43399</v>
      </c>
      <c r="B410" s="21">
        <v>1.911</v>
      </c>
      <c r="C410" s="12">
        <f t="shared" si="30"/>
        <v>-4.8306772908366519E-2</v>
      </c>
      <c r="D410" s="6"/>
      <c r="E410" s="23">
        <v>43399</v>
      </c>
      <c r="F410" s="21">
        <v>67.47</v>
      </c>
      <c r="G410" s="12">
        <f t="shared" si="31"/>
        <v>-3.9436218678815436E-2</v>
      </c>
      <c r="H410" s="21">
        <v>67.63</v>
      </c>
      <c r="I410" s="12">
        <f t="shared" si="32"/>
        <v>-3.6746902150690763E-2</v>
      </c>
      <c r="J410" s="21">
        <v>67.73</v>
      </c>
      <c r="K410" s="12">
        <f t="shared" si="33"/>
        <v>-3.5322603617718135E-2</v>
      </c>
      <c r="L410" s="21">
        <v>67.83</v>
      </c>
      <c r="M410" s="12">
        <f t="shared" si="34"/>
        <v>-3.3623023222681285E-2</v>
      </c>
    </row>
    <row r="411" spans="1:13" x14ac:dyDescent="0.25">
      <c r="A411" s="23">
        <v>43406</v>
      </c>
      <c r="B411" s="21">
        <v>1.83</v>
      </c>
      <c r="C411" s="12">
        <f t="shared" si="30"/>
        <v>-4.238618524332808E-2</v>
      </c>
      <c r="D411" s="6"/>
      <c r="E411" s="23">
        <v>43406</v>
      </c>
      <c r="F411" s="21">
        <v>65.069999999999993</v>
      </c>
      <c r="G411" s="12">
        <f t="shared" si="31"/>
        <v>-3.5571365051133924E-2</v>
      </c>
      <c r="H411" s="21">
        <v>65.209999999999994</v>
      </c>
      <c r="I411" s="12">
        <f t="shared" si="32"/>
        <v>-3.578293656661248E-2</v>
      </c>
      <c r="J411" s="21">
        <v>65.33</v>
      </c>
      <c r="K411" s="12">
        <f t="shared" si="33"/>
        <v>-3.5434814705448188E-2</v>
      </c>
      <c r="L411" s="21">
        <v>65.48</v>
      </c>
      <c r="M411" s="12">
        <f t="shared" si="34"/>
        <v>-3.4645437122217224E-2</v>
      </c>
    </row>
    <row r="412" spans="1:13" x14ac:dyDescent="0.25">
      <c r="A412" s="23">
        <v>43413</v>
      </c>
      <c r="B412" s="21">
        <v>1.72</v>
      </c>
      <c r="C412" s="12">
        <f t="shared" si="30"/>
        <v>-6.0109289617486392E-2</v>
      </c>
      <c r="D412" s="6"/>
      <c r="E412" s="23">
        <v>43413</v>
      </c>
      <c r="F412" s="21">
        <v>61.57</v>
      </c>
      <c r="G412" s="12">
        <f t="shared" si="31"/>
        <v>-5.3788228062086878E-2</v>
      </c>
      <c r="H412" s="21">
        <v>61.72</v>
      </c>
      <c r="I412" s="12">
        <f t="shared" si="32"/>
        <v>-5.3519398865204647E-2</v>
      </c>
      <c r="J412" s="21">
        <v>61.88</v>
      </c>
      <c r="K412" s="12">
        <f t="shared" si="33"/>
        <v>-5.2808816776366077E-2</v>
      </c>
      <c r="L412" s="21">
        <v>62.06</v>
      </c>
      <c r="M412" s="12">
        <f t="shared" si="34"/>
        <v>-5.2229688454489942E-2</v>
      </c>
    </row>
    <row r="413" spans="1:13" x14ac:dyDescent="0.25">
      <c r="A413" s="23">
        <v>43420</v>
      </c>
      <c r="B413" s="21">
        <v>1.6339999999999999</v>
      </c>
      <c r="C413" s="12">
        <f t="shared" si="30"/>
        <v>-5.0000000000000044E-2</v>
      </c>
      <c r="D413" s="6"/>
      <c r="E413" s="23">
        <v>43420</v>
      </c>
      <c r="F413" s="21">
        <v>56.96</v>
      </c>
      <c r="G413" s="12">
        <f t="shared" si="31"/>
        <v>-7.4874127009907407E-2</v>
      </c>
      <c r="H413" s="21">
        <v>57.14</v>
      </c>
      <c r="I413" s="12">
        <f t="shared" si="32"/>
        <v>-7.4206092028515858E-2</v>
      </c>
      <c r="J413" s="21">
        <v>57.36</v>
      </c>
      <c r="K413" s="12">
        <f t="shared" si="33"/>
        <v>-7.3044602456367208E-2</v>
      </c>
      <c r="L413" s="21">
        <v>57.57</v>
      </c>
      <c r="M413" s="12">
        <f t="shared" si="34"/>
        <v>-7.2349339349017106E-2</v>
      </c>
    </row>
    <row r="414" spans="1:13" x14ac:dyDescent="0.25">
      <c r="A414" s="23">
        <v>43427</v>
      </c>
      <c r="B414" s="21">
        <v>1.587</v>
      </c>
      <c r="C414" s="12">
        <f t="shared" si="30"/>
        <v>-2.8763769889840841E-2</v>
      </c>
      <c r="D414" s="6"/>
      <c r="E414" s="23">
        <v>43427</v>
      </c>
      <c r="F414" s="21">
        <v>53.97</v>
      </c>
      <c r="G414" s="12">
        <f t="shared" si="31"/>
        <v>-5.2492977528089922E-2</v>
      </c>
      <c r="H414" s="21">
        <v>54.19</v>
      </c>
      <c r="I414" s="12">
        <f t="shared" si="32"/>
        <v>-5.1627581379069004E-2</v>
      </c>
      <c r="J414" s="21">
        <v>54.35</v>
      </c>
      <c r="K414" s="12">
        <f t="shared" si="33"/>
        <v>-5.2475592747559238E-2</v>
      </c>
      <c r="L414" s="21">
        <v>54.48</v>
      </c>
      <c r="M414" s="12">
        <f t="shared" si="34"/>
        <v>-5.3673788431474787E-2</v>
      </c>
    </row>
    <row r="415" spans="1:13" x14ac:dyDescent="0.25">
      <c r="A415" s="23">
        <v>43434</v>
      </c>
      <c r="B415" s="21">
        <v>1.5029999999999999</v>
      </c>
      <c r="C415" s="12">
        <f t="shared" si="30"/>
        <v>-5.2930056710775095E-2</v>
      </c>
      <c r="D415" s="6"/>
      <c r="E415" s="23">
        <v>43434</v>
      </c>
      <c r="F415" s="21">
        <v>51.17</v>
      </c>
      <c r="G415" s="12">
        <f t="shared" si="31"/>
        <v>-5.1880674448767782E-2</v>
      </c>
      <c r="H415" s="21">
        <v>51.35</v>
      </c>
      <c r="I415" s="12">
        <f t="shared" si="32"/>
        <v>-5.2408193393614994E-2</v>
      </c>
      <c r="J415" s="21">
        <v>51.5</v>
      </c>
      <c r="K415" s="12">
        <f t="shared" si="33"/>
        <v>-5.2437902483900671E-2</v>
      </c>
      <c r="L415" s="21">
        <v>51.64</v>
      </c>
      <c r="M415" s="12">
        <f t="shared" si="34"/>
        <v>-5.2129221732745895E-2</v>
      </c>
    </row>
    <row r="416" spans="1:13" x14ac:dyDescent="0.25">
      <c r="A416" s="23">
        <v>43441</v>
      </c>
      <c r="B416" s="21">
        <v>1.53</v>
      </c>
      <c r="C416" s="12">
        <f t="shared" si="30"/>
        <v>1.7964071856287515E-2</v>
      </c>
      <c r="D416" s="6"/>
      <c r="E416" s="23">
        <v>43441</v>
      </c>
      <c r="F416" s="21">
        <v>52.64</v>
      </c>
      <c r="G416" s="12">
        <f t="shared" si="31"/>
        <v>2.8727770177838553E-2</v>
      </c>
      <c r="H416" s="21">
        <v>52.85</v>
      </c>
      <c r="I416" s="12">
        <f t="shared" si="32"/>
        <v>2.9211295034079845E-2</v>
      </c>
      <c r="J416" s="21">
        <v>53.07</v>
      </c>
      <c r="K416" s="12">
        <f t="shared" si="33"/>
        <v>3.048543689320389E-2</v>
      </c>
      <c r="L416" s="21">
        <v>53.32</v>
      </c>
      <c r="M416" s="12">
        <f t="shared" si="34"/>
        <v>3.2532920216886127E-2</v>
      </c>
    </row>
    <row r="417" spans="1:13" x14ac:dyDescent="0.25">
      <c r="A417" s="23">
        <v>43448</v>
      </c>
      <c r="B417" s="21">
        <v>1.506</v>
      </c>
      <c r="C417" s="12">
        <f t="shared" si="30"/>
        <v>-1.5686274509803935E-2</v>
      </c>
      <c r="D417" s="6"/>
      <c r="E417" s="23">
        <v>43448</v>
      </c>
      <c r="F417" s="21">
        <v>51.52</v>
      </c>
      <c r="G417" s="12">
        <f t="shared" si="31"/>
        <v>-2.1276595744680802E-2</v>
      </c>
      <c r="H417" s="21">
        <v>51.74</v>
      </c>
      <c r="I417" s="12">
        <f t="shared" si="32"/>
        <v>-2.1002838221381256E-2</v>
      </c>
      <c r="J417" s="21">
        <v>51.97</v>
      </c>
      <c r="K417" s="12">
        <f t="shared" si="33"/>
        <v>-2.072734124740911E-2</v>
      </c>
      <c r="L417" s="21">
        <v>52.22</v>
      </c>
      <c r="M417" s="12">
        <f t="shared" si="34"/>
        <v>-2.0630157539384873E-2</v>
      </c>
    </row>
    <row r="418" spans="1:13" x14ac:dyDescent="0.25">
      <c r="A418" s="23">
        <v>43455</v>
      </c>
      <c r="B418" s="21">
        <v>1.405</v>
      </c>
      <c r="C418" s="12">
        <f t="shared" si="30"/>
        <v>-6.7065073041168641E-2</v>
      </c>
      <c r="D418" s="6"/>
      <c r="E418" s="23">
        <v>43455</v>
      </c>
      <c r="F418" s="21">
        <v>46.96</v>
      </c>
      <c r="G418" s="12">
        <f t="shared" si="31"/>
        <v>-8.8509316770186378E-2</v>
      </c>
      <c r="H418" s="21">
        <v>47.41</v>
      </c>
      <c r="I418" s="12">
        <f t="shared" si="32"/>
        <v>-8.3687669114804894E-2</v>
      </c>
      <c r="J418" s="21">
        <v>47.75</v>
      </c>
      <c r="K418" s="12">
        <f t="shared" si="33"/>
        <v>-8.1200692707331129E-2</v>
      </c>
      <c r="L418" s="21">
        <v>48.11</v>
      </c>
      <c r="M418" s="12">
        <f t="shared" si="34"/>
        <v>-7.8705476828801219E-2</v>
      </c>
    </row>
    <row r="419" spans="1:13" x14ac:dyDescent="0.25">
      <c r="A419" s="23">
        <v>43462</v>
      </c>
      <c r="B419" s="21">
        <v>1.3720000000000001</v>
      </c>
      <c r="C419" s="12">
        <f t="shared" si="30"/>
        <v>-2.3487544483985708E-2</v>
      </c>
      <c r="D419" s="6"/>
      <c r="E419" s="23">
        <v>43462</v>
      </c>
      <c r="F419" s="21">
        <v>44.24</v>
      </c>
      <c r="G419" s="12">
        <f t="shared" si="31"/>
        <v>-5.7921635434412241E-2</v>
      </c>
      <c r="H419" s="21">
        <v>44.54</v>
      </c>
      <c r="I419" s="12">
        <f t="shared" si="32"/>
        <v>-6.0535751951065128E-2</v>
      </c>
      <c r="J419" s="21">
        <v>44.87</v>
      </c>
      <c r="K419" s="12">
        <f t="shared" si="33"/>
        <v>-6.0314136125654505E-2</v>
      </c>
      <c r="L419" s="21">
        <v>45.25</v>
      </c>
      <c r="M419" s="12">
        <f t="shared" si="34"/>
        <v>-5.944710039492828E-2</v>
      </c>
    </row>
    <row r="420" spans="1:13" x14ac:dyDescent="0.25">
      <c r="A420" s="23">
        <v>43469</v>
      </c>
      <c r="B420" s="21">
        <v>1.389</v>
      </c>
      <c r="C420" s="12">
        <f t="shared" si="30"/>
        <v>1.2390670553935789E-2</v>
      </c>
      <c r="D420" s="6"/>
      <c r="E420" s="23">
        <v>43469</v>
      </c>
      <c r="F420" s="21">
        <v>46.48</v>
      </c>
      <c r="G420" s="12">
        <f t="shared" si="31"/>
        <v>5.0632911392404945E-2</v>
      </c>
      <c r="H420" s="21">
        <v>46.8</v>
      </c>
      <c r="I420" s="12">
        <f t="shared" si="32"/>
        <v>5.0740907049842791E-2</v>
      </c>
      <c r="J420" s="21">
        <v>47.16</v>
      </c>
      <c r="K420" s="12">
        <f t="shared" si="33"/>
        <v>5.1036327167372393E-2</v>
      </c>
      <c r="L420" s="21">
        <v>47.61</v>
      </c>
      <c r="M420" s="12">
        <f t="shared" si="34"/>
        <v>5.215469613259667E-2</v>
      </c>
    </row>
    <row r="421" spans="1:13" x14ac:dyDescent="0.25">
      <c r="A421" s="23">
        <v>43476</v>
      </c>
      <c r="B421" s="21">
        <v>1.4419999999999999</v>
      </c>
      <c r="C421" s="12">
        <f t="shared" si="30"/>
        <v>3.815694744420442E-2</v>
      </c>
      <c r="D421" s="6"/>
      <c r="E421" s="23">
        <v>43476</v>
      </c>
      <c r="F421" s="21">
        <v>50.97</v>
      </c>
      <c r="G421" s="12">
        <f t="shared" si="31"/>
        <v>9.6600688468158391E-2</v>
      </c>
      <c r="H421" s="21">
        <v>51.29</v>
      </c>
      <c r="I421" s="12">
        <f t="shared" si="32"/>
        <v>9.5940170940170988E-2</v>
      </c>
      <c r="J421" s="21">
        <v>51.66</v>
      </c>
      <c r="K421" s="12">
        <f t="shared" si="33"/>
        <v>9.5419847328244281E-2</v>
      </c>
      <c r="L421" s="21">
        <v>52.09</v>
      </c>
      <c r="M421" s="12">
        <f t="shared" si="34"/>
        <v>9.4097878596933499E-2</v>
      </c>
    </row>
    <row r="422" spans="1:13" x14ac:dyDescent="0.25">
      <c r="A422" s="23">
        <v>43483</v>
      </c>
      <c r="B422" s="21">
        <v>1.448</v>
      </c>
      <c r="C422" s="12">
        <f t="shared" si="30"/>
        <v>4.1608876560332913E-3</v>
      </c>
      <c r="D422" s="6"/>
      <c r="E422" s="23">
        <v>43483</v>
      </c>
      <c r="F422" s="21">
        <v>52.16</v>
      </c>
      <c r="G422" s="12">
        <f t="shared" si="31"/>
        <v>2.3347066902099228E-2</v>
      </c>
      <c r="H422" s="21">
        <v>52.44</v>
      </c>
      <c r="I422" s="12">
        <f t="shared" si="32"/>
        <v>2.2421524663677101E-2</v>
      </c>
      <c r="J422" s="21">
        <v>52.75</v>
      </c>
      <c r="K422" s="12">
        <f t="shared" si="33"/>
        <v>2.1099496709252874E-2</v>
      </c>
      <c r="L422" s="21">
        <v>53.14</v>
      </c>
      <c r="M422" s="12">
        <f t="shared" si="34"/>
        <v>2.0157419850259112E-2</v>
      </c>
    </row>
    <row r="423" spans="1:13" x14ac:dyDescent="0.25">
      <c r="A423" s="23">
        <v>43490</v>
      </c>
      <c r="B423" s="21">
        <v>1.429</v>
      </c>
      <c r="C423" s="12">
        <f t="shared" si="30"/>
        <v>-1.3121546961325902E-2</v>
      </c>
      <c r="D423" s="6"/>
      <c r="E423" s="23">
        <v>43490</v>
      </c>
      <c r="F423" s="21">
        <v>53.16</v>
      </c>
      <c r="G423" s="12">
        <f t="shared" si="31"/>
        <v>1.9171779141104295E-2</v>
      </c>
      <c r="H423" s="21">
        <v>53.47</v>
      </c>
      <c r="I423" s="12">
        <f t="shared" si="32"/>
        <v>1.9641495041952731E-2</v>
      </c>
      <c r="J423" s="21">
        <v>53.8</v>
      </c>
      <c r="K423" s="12">
        <f t="shared" si="33"/>
        <v>1.9905213270142125E-2</v>
      </c>
      <c r="L423" s="21">
        <v>54.17</v>
      </c>
      <c r="M423" s="12">
        <f t="shared" si="34"/>
        <v>1.9382762514113683E-2</v>
      </c>
    </row>
    <row r="424" spans="1:13" x14ac:dyDescent="0.25">
      <c r="A424" s="23">
        <v>43497</v>
      </c>
      <c r="B424" s="21">
        <v>1.413</v>
      </c>
      <c r="C424" s="12">
        <f t="shared" si="30"/>
        <v>-1.11966410076977E-2</v>
      </c>
      <c r="D424" s="6"/>
      <c r="E424" s="23">
        <v>43497</v>
      </c>
      <c r="F424" s="21">
        <v>53.72</v>
      </c>
      <c r="G424" s="12">
        <f t="shared" si="31"/>
        <v>1.0534236267870622E-2</v>
      </c>
      <c r="H424" s="21">
        <v>53.99</v>
      </c>
      <c r="I424" s="12">
        <f t="shared" si="32"/>
        <v>9.7250794838227624E-3</v>
      </c>
      <c r="J424" s="21">
        <v>54.3</v>
      </c>
      <c r="K424" s="12">
        <f t="shared" si="33"/>
        <v>9.2936802973977699E-3</v>
      </c>
      <c r="L424" s="21">
        <v>54.62</v>
      </c>
      <c r="M424" s="12">
        <f t="shared" si="34"/>
        <v>8.3071810965478256E-3</v>
      </c>
    </row>
    <row r="425" spans="1:13" x14ac:dyDescent="0.25">
      <c r="A425" s="23">
        <v>43504</v>
      </c>
      <c r="B425" s="21">
        <v>1.474</v>
      </c>
      <c r="C425" s="12">
        <f t="shared" si="30"/>
        <v>4.3170559094125933E-2</v>
      </c>
      <c r="D425" s="6"/>
      <c r="E425" s="23">
        <v>43504</v>
      </c>
      <c r="F425" s="21">
        <v>53.52</v>
      </c>
      <c r="G425" s="12">
        <f t="shared" si="31"/>
        <v>-3.7230081906179401E-3</v>
      </c>
      <c r="H425" s="21">
        <v>53.86</v>
      </c>
      <c r="I425" s="12">
        <f t="shared" si="32"/>
        <v>-2.407853306167856E-3</v>
      </c>
      <c r="J425" s="21">
        <v>54.31</v>
      </c>
      <c r="K425" s="12">
        <f t="shared" si="33"/>
        <v>1.841620626151955E-4</v>
      </c>
      <c r="L425" s="21">
        <v>54.77</v>
      </c>
      <c r="M425" s="12">
        <f t="shared" si="34"/>
        <v>2.746246796045509E-3</v>
      </c>
    </row>
    <row r="426" spans="1:13" x14ac:dyDescent="0.25">
      <c r="A426" s="23">
        <v>43511</v>
      </c>
      <c r="B426" s="21">
        <v>1.53</v>
      </c>
      <c r="C426" s="12">
        <f t="shared" si="30"/>
        <v>3.7991858887381311E-2</v>
      </c>
      <c r="D426" s="6"/>
      <c r="E426" s="23">
        <v>43511</v>
      </c>
      <c r="F426" s="21">
        <v>53.88</v>
      </c>
      <c r="G426" s="12">
        <f t="shared" si="31"/>
        <v>6.7264573991031281E-3</v>
      </c>
      <c r="H426" s="21">
        <v>54.27</v>
      </c>
      <c r="I426" s="12">
        <f t="shared" si="32"/>
        <v>7.6123282584478966E-3</v>
      </c>
      <c r="J426" s="21">
        <v>54.81</v>
      </c>
      <c r="K426" s="12">
        <f t="shared" si="33"/>
        <v>9.2064076597311723E-3</v>
      </c>
      <c r="L426" s="21">
        <v>55.35</v>
      </c>
      <c r="M426" s="12">
        <f t="shared" si="34"/>
        <v>1.058973890816137E-2</v>
      </c>
    </row>
    <row r="427" spans="1:13" x14ac:dyDescent="0.25">
      <c r="A427" s="23">
        <v>43518</v>
      </c>
      <c r="B427" s="21">
        <v>1.6479999999999999</v>
      </c>
      <c r="C427" s="12">
        <f t="shared" si="30"/>
        <v>7.7124183006535868E-2</v>
      </c>
      <c r="D427" s="6"/>
      <c r="E427" s="23">
        <v>43518</v>
      </c>
      <c r="F427" s="21">
        <v>56.56</v>
      </c>
      <c r="G427" s="12">
        <f t="shared" si="31"/>
        <v>4.9740163325909421E-2</v>
      </c>
      <c r="H427" s="21">
        <v>56.96</v>
      </c>
      <c r="I427" s="12">
        <f t="shared" si="32"/>
        <v>4.9566979915238576E-2</v>
      </c>
      <c r="J427" s="21">
        <v>57.47</v>
      </c>
      <c r="K427" s="12">
        <f t="shared" si="33"/>
        <v>4.8531289910600191E-2</v>
      </c>
      <c r="L427" s="21">
        <v>57.97</v>
      </c>
      <c r="M427" s="12">
        <f t="shared" si="34"/>
        <v>4.7335140018066803E-2</v>
      </c>
    </row>
    <row r="428" spans="1:13" x14ac:dyDescent="0.25">
      <c r="A428" s="23">
        <v>43525</v>
      </c>
      <c r="B428" s="21">
        <v>1.6830000000000001</v>
      </c>
      <c r="C428" s="12">
        <f t="shared" si="30"/>
        <v>2.1237864077669991E-2</v>
      </c>
      <c r="D428" s="6"/>
      <c r="E428" s="23">
        <v>43525</v>
      </c>
      <c r="F428" s="21">
        <v>56.19</v>
      </c>
      <c r="G428" s="12">
        <f t="shared" si="31"/>
        <v>-6.5417256011316219E-3</v>
      </c>
      <c r="H428" s="21">
        <v>56.61</v>
      </c>
      <c r="I428" s="12">
        <f t="shared" si="32"/>
        <v>-6.1446629213483392E-3</v>
      </c>
      <c r="J428" s="21">
        <v>57.1</v>
      </c>
      <c r="K428" s="12">
        <f t="shared" si="33"/>
        <v>-6.4381416391160158E-3</v>
      </c>
      <c r="L428" s="21">
        <v>57.56</v>
      </c>
      <c r="M428" s="12">
        <f t="shared" si="34"/>
        <v>-7.0726237709159328E-3</v>
      </c>
    </row>
    <row r="429" spans="1:13" x14ac:dyDescent="0.25">
      <c r="A429" s="23">
        <v>43532</v>
      </c>
      <c r="B429" s="21">
        <v>1.7070000000000001</v>
      </c>
      <c r="C429" s="12">
        <f t="shared" si="30"/>
        <v>1.4260249554367214E-2</v>
      </c>
      <c r="D429" s="6"/>
      <c r="E429" s="23">
        <v>43532</v>
      </c>
      <c r="F429" s="21">
        <v>56.42</v>
      </c>
      <c r="G429" s="12">
        <f t="shared" si="31"/>
        <v>4.0932550275850502E-3</v>
      </c>
      <c r="H429" s="21">
        <v>56.8</v>
      </c>
      <c r="I429" s="12">
        <f t="shared" si="32"/>
        <v>3.3562974739444924E-3</v>
      </c>
      <c r="J429" s="21">
        <v>57.25</v>
      </c>
      <c r="K429" s="12">
        <f t="shared" si="33"/>
        <v>2.6269702276707279E-3</v>
      </c>
      <c r="L429" s="21">
        <v>57.73</v>
      </c>
      <c r="M429" s="12">
        <f t="shared" si="34"/>
        <v>2.9534398888115807E-3</v>
      </c>
    </row>
    <row r="430" spans="1:13" x14ac:dyDescent="0.25">
      <c r="A430" s="23">
        <v>43539</v>
      </c>
      <c r="B430" s="21">
        <v>1.7969999999999999</v>
      </c>
      <c r="C430" s="12">
        <f t="shared" si="30"/>
        <v>5.2724077328646667E-2</v>
      </c>
      <c r="D430" s="6"/>
      <c r="E430" s="23">
        <v>43539</v>
      </c>
      <c r="F430" s="21">
        <v>57.81</v>
      </c>
      <c r="G430" s="12">
        <f t="shared" si="31"/>
        <v>2.4636653668911743E-2</v>
      </c>
      <c r="H430" s="21">
        <v>58.13</v>
      </c>
      <c r="I430" s="12">
        <f t="shared" si="32"/>
        <v>2.3415492957746576E-2</v>
      </c>
      <c r="J430" s="21">
        <v>58.49</v>
      </c>
      <c r="K430" s="12">
        <f t="shared" si="33"/>
        <v>2.1659388646288243E-2</v>
      </c>
      <c r="L430" s="21">
        <v>58.87</v>
      </c>
      <c r="M430" s="12">
        <f t="shared" si="34"/>
        <v>1.974709856227266E-2</v>
      </c>
    </row>
    <row r="431" spans="1:13" x14ac:dyDescent="0.25">
      <c r="A431" s="23">
        <v>43546</v>
      </c>
      <c r="B431" s="21">
        <v>1.89</v>
      </c>
      <c r="C431" s="12">
        <f t="shared" si="30"/>
        <v>5.1752921535893143E-2</v>
      </c>
      <c r="D431" s="6"/>
      <c r="E431" s="23">
        <v>43546</v>
      </c>
      <c r="F431" s="21">
        <v>59.39</v>
      </c>
      <c r="G431" s="12">
        <f t="shared" si="31"/>
        <v>2.7330911606988379E-2</v>
      </c>
      <c r="H431" s="21">
        <v>59.68</v>
      </c>
      <c r="I431" s="12">
        <f t="shared" si="32"/>
        <v>2.6664372957164926E-2</v>
      </c>
      <c r="J431" s="21">
        <v>59.93</v>
      </c>
      <c r="K431" s="12">
        <f t="shared" si="33"/>
        <v>2.4619593092836341E-2</v>
      </c>
      <c r="L431" s="21">
        <v>60.18</v>
      </c>
      <c r="M431" s="12">
        <f t="shared" si="34"/>
        <v>2.225242058773573E-2</v>
      </c>
    </row>
    <row r="432" spans="1:13" x14ac:dyDescent="0.25">
      <c r="A432" s="23">
        <v>43553</v>
      </c>
      <c r="B432" s="21">
        <v>1.8620000000000001</v>
      </c>
      <c r="C432" s="12">
        <f t="shared" si="30"/>
        <v>-1.4814814814814711E-2</v>
      </c>
      <c r="D432" s="6"/>
      <c r="E432" s="23">
        <v>43553</v>
      </c>
      <c r="F432" s="21">
        <v>59.52</v>
      </c>
      <c r="G432" s="12">
        <f t="shared" si="31"/>
        <v>2.1889206937195245E-3</v>
      </c>
      <c r="H432" s="21">
        <v>59.71</v>
      </c>
      <c r="I432" s="12">
        <f t="shared" si="32"/>
        <v>5.0268096514747217E-4</v>
      </c>
      <c r="J432" s="21">
        <v>59.87</v>
      </c>
      <c r="K432" s="12">
        <f t="shared" si="33"/>
        <v>-1.0011680293676335E-3</v>
      </c>
      <c r="L432" s="21">
        <v>60.01</v>
      </c>
      <c r="M432" s="12">
        <f t="shared" si="34"/>
        <v>-2.8248587570621751E-3</v>
      </c>
    </row>
    <row r="433" spans="1:13" x14ac:dyDescent="0.25">
      <c r="A433" s="23">
        <v>43560</v>
      </c>
      <c r="B433" s="21">
        <v>1.9239999999999999</v>
      </c>
      <c r="C433" s="12">
        <f t="shared" si="30"/>
        <v>3.3297529538130949E-2</v>
      </c>
      <c r="D433" s="6"/>
      <c r="E433" s="23">
        <v>43560</v>
      </c>
      <c r="F433" s="21">
        <v>62.36</v>
      </c>
      <c r="G433" s="12">
        <f t="shared" si="31"/>
        <v>4.7715053763440797E-2</v>
      </c>
      <c r="H433" s="21">
        <v>62.44</v>
      </c>
      <c r="I433" s="12">
        <f t="shared" si="32"/>
        <v>4.5720984759671693E-2</v>
      </c>
      <c r="J433" s="21">
        <v>62.48</v>
      </c>
      <c r="K433" s="12">
        <f t="shared" si="33"/>
        <v>4.359445465174544E-2</v>
      </c>
      <c r="L433" s="21">
        <v>62.48</v>
      </c>
      <c r="M433" s="12">
        <f t="shared" si="34"/>
        <v>4.11598066988835E-2</v>
      </c>
    </row>
    <row r="434" spans="1:13" x14ac:dyDescent="0.25">
      <c r="A434" s="23">
        <v>43567</v>
      </c>
      <c r="B434" s="21">
        <v>2.04</v>
      </c>
      <c r="C434" s="12">
        <f t="shared" si="30"/>
        <v>6.029106029106035E-2</v>
      </c>
      <c r="D434" s="6"/>
      <c r="E434" s="23">
        <v>43567</v>
      </c>
      <c r="F434" s="21">
        <v>64.09</v>
      </c>
      <c r="G434" s="12">
        <f t="shared" si="31"/>
        <v>2.7742142398973765E-2</v>
      </c>
      <c r="H434" s="21">
        <v>64.13</v>
      </c>
      <c r="I434" s="12">
        <f t="shared" si="32"/>
        <v>2.7065983344010214E-2</v>
      </c>
      <c r="J434" s="21">
        <v>64.13</v>
      </c>
      <c r="K434" s="12">
        <f t="shared" si="33"/>
        <v>2.6408450704225331E-2</v>
      </c>
      <c r="L434" s="21">
        <v>64.03</v>
      </c>
      <c r="M434" s="12">
        <f t="shared" si="34"/>
        <v>2.4807938540332974E-2</v>
      </c>
    </row>
    <row r="435" spans="1:13" x14ac:dyDescent="0.25">
      <c r="A435" s="23">
        <v>43574</v>
      </c>
      <c r="B435" s="21">
        <v>2.069</v>
      </c>
      <c r="C435" s="12">
        <f t="shared" si="30"/>
        <v>1.4215686274509762E-2</v>
      </c>
      <c r="D435" s="6"/>
      <c r="E435" s="23">
        <v>43574</v>
      </c>
      <c r="F435" s="21">
        <v>63.84</v>
      </c>
      <c r="G435" s="12">
        <f t="shared" si="31"/>
        <v>-3.9007645498517706E-3</v>
      </c>
      <c r="H435" s="21">
        <v>63.95</v>
      </c>
      <c r="I435" s="12">
        <f t="shared" si="32"/>
        <v>-2.8067986901604961E-3</v>
      </c>
      <c r="J435" s="21">
        <v>64.02</v>
      </c>
      <c r="K435" s="12">
        <f t="shared" si="33"/>
        <v>-1.7152658662092537E-3</v>
      </c>
      <c r="L435" s="21">
        <v>64.03</v>
      </c>
      <c r="M435" s="12">
        <f t="shared" si="34"/>
        <v>0</v>
      </c>
    </row>
    <row r="436" spans="1:13" x14ac:dyDescent="0.25">
      <c r="A436" s="23">
        <v>43581</v>
      </c>
      <c r="B436" s="21">
        <v>2.125</v>
      </c>
      <c r="C436" s="12">
        <f t="shared" si="30"/>
        <v>2.7066215563073974E-2</v>
      </c>
      <c r="D436" s="6"/>
      <c r="E436" s="23">
        <v>43581</v>
      </c>
      <c r="F436" s="21">
        <v>65.28</v>
      </c>
      <c r="G436" s="12">
        <f t="shared" si="31"/>
        <v>2.2556390977443573E-2</v>
      </c>
      <c r="H436" s="21">
        <v>65.27</v>
      </c>
      <c r="I436" s="12">
        <f t="shared" si="32"/>
        <v>2.0641125879593325E-2</v>
      </c>
      <c r="J436" s="21">
        <v>65.19</v>
      </c>
      <c r="K436" s="12">
        <f t="shared" si="33"/>
        <v>1.8275538894095621E-2</v>
      </c>
      <c r="L436" s="21">
        <v>65</v>
      </c>
      <c r="M436" s="12">
        <f t="shared" si="34"/>
        <v>1.5149148836482881E-2</v>
      </c>
    </row>
    <row r="437" spans="1:13" x14ac:dyDescent="0.25">
      <c r="A437" s="23">
        <v>43588</v>
      </c>
      <c r="B437" s="21">
        <v>2.02</v>
      </c>
      <c r="C437" s="12">
        <f t="shared" si="30"/>
        <v>-4.9411764705882343E-2</v>
      </c>
      <c r="D437" s="6"/>
      <c r="E437" s="23">
        <v>43588</v>
      </c>
      <c r="F437" s="21">
        <v>62.95</v>
      </c>
      <c r="G437" s="12">
        <f t="shared" si="31"/>
        <v>-3.5692401960784284E-2</v>
      </c>
      <c r="H437" s="21">
        <v>63.04</v>
      </c>
      <c r="I437" s="12">
        <f t="shared" si="32"/>
        <v>-3.4165772943159138E-2</v>
      </c>
      <c r="J437" s="21">
        <v>63.05</v>
      </c>
      <c r="K437" s="12">
        <f t="shared" si="33"/>
        <v>-3.2827120724037435E-2</v>
      </c>
      <c r="L437" s="21">
        <v>62.96</v>
      </c>
      <c r="M437" s="12">
        <f t="shared" si="34"/>
        <v>-3.1384615384615372E-2</v>
      </c>
    </row>
    <row r="438" spans="1:13" x14ac:dyDescent="0.25">
      <c r="A438" s="23">
        <v>43595</v>
      </c>
      <c r="B438" s="21">
        <v>1.921</v>
      </c>
      <c r="C438" s="12">
        <f t="shared" si="30"/>
        <v>-4.9009900990098998E-2</v>
      </c>
      <c r="D438" s="6"/>
      <c r="E438" s="23">
        <v>43595</v>
      </c>
      <c r="F438" s="21">
        <v>61.83</v>
      </c>
      <c r="G438" s="12">
        <f t="shared" si="31"/>
        <v>-1.7791898332009604E-2</v>
      </c>
      <c r="H438" s="21">
        <v>61.94</v>
      </c>
      <c r="I438" s="12">
        <f t="shared" si="32"/>
        <v>-1.7449238578680224E-2</v>
      </c>
      <c r="J438" s="21">
        <v>61.99</v>
      </c>
      <c r="K438" s="12">
        <f t="shared" si="33"/>
        <v>-1.681205392545591E-2</v>
      </c>
      <c r="L438" s="21">
        <v>61.93</v>
      </c>
      <c r="M438" s="12">
        <f t="shared" si="34"/>
        <v>-1.635959339263026E-2</v>
      </c>
    </row>
    <row r="439" spans="1:13" x14ac:dyDescent="0.25">
      <c r="A439" s="23">
        <v>43602</v>
      </c>
      <c r="B439" s="21">
        <v>1.956</v>
      </c>
      <c r="C439" s="12">
        <f t="shared" si="30"/>
        <v>1.8219677251431504E-2</v>
      </c>
      <c r="D439" s="6"/>
      <c r="E439" s="23">
        <v>43602</v>
      </c>
      <c r="F439" s="21">
        <v>62.09</v>
      </c>
      <c r="G439" s="12">
        <f t="shared" si="31"/>
        <v>4.2050784408863839E-3</v>
      </c>
      <c r="H439" s="21">
        <v>62.28</v>
      </c>
      <c r="I439" s="12">
        <f t="shared" si="32"/>
        <v>5.4891830804004432E-3</v>
      </c>
      <c r="J439" s="21">
        <v>62.39</v>
      </c>
      <c r="K439" s="12">
        <f t="shared" si="33"/>
        <v>6.452653653815108E-3</v>
      </c>
      <c r="L439" s="21">
        <v>62.4</v>
      </c>
      <c r="M439" s="12">
        <f t="shared" si="34"/>
        <v>7.5892136282899869E-3</v>
      </c>
    </row>
    <row r="440" spans="1:13" x14ac:dyDescent="0.25">
      <c r="A440" s="23">
        <v>43609</v>
      </c>
      <c r="B440" s="21">
        <v>1.911</v>
      </c>
      <c r="C440" s="12">
        <f t="shared" si="30"/>
        <v>-2.3006134969325118E-2</v>
      </c>
      <c r="D440" s="6"/>
      <c r="E440" s="23">
        <v>43609</v>
      </c>
      <c r="F440" s="21">
        <v>60.81</v>
      </c>
      <c r="G440" s="12">
        <f t="shared" si="31"/>
        <v>-2.0615235947817702E-2</v>
      </c>
      <c r="H440" s="21">
        <v>60.91</v>
      </c>
      <c r="I440" s="12">
        <f t="shared" si="32"/>
        <v>-2.1997430956968603E-2</v>
      </c>
      <c r="J440" s="21">
        <v>60.93</v>
      </c>
      <c r="K440" s="12">
        <f t="shared" si="33"/>
        <v>-2.3401186087514039E-2</v>
      </c>
      <c r="L440" s="21">
        <v>60.87</v>
      </c>
      <c r="M440" s="12">
        <f t="shared" si="34"/>
        <v>-2.451923076923079E-2</v>
      </c>
    </row>
    <row r="441" spans="1:13" x14ac:dyDescent="0.25">
      <c r="A441" s="23">
        <v>43616</v>
      </c>
      <c r="B441" s="21">
        <v>1.83</v>
      </c>
      <c r="C441" s="12">
        <f t="shared" si="30"/>
        <v>-4.238618524332808E-2</v>
      </c>
      <c r="D441" s="6"/>
      <c r="E441" s="23">
        <v>43616</v>
      </c>
      <c r="F441" s="21">
        <v>57.33</v>
      </c>
      <c r="G441" s="12">
        <f t="shared" si="31"/>
        <v>-5.7227429699062721E-2</v>
      </c>
      <c r="H441" s="21">
        <v>57.48</v>
      </c>
      <c r="I441" s="12">
        <f t="shared" si="32"/>
        <v>-5.6312592349367918E-2</v>
      </c>
      <c r="J441" s="21">
        <v>57.54</v>
      </c>
      <c r="K441" s="12">
        <f t="shared" si="33"/>
        <v>-5.5637616937469235E-2</v>
      </c>
      <c r="L441" s="21">
        <v>57.51</v>
      </c>
      <c r="M441" s="12">
        <f t="shared" si="34"/>
        <v>-5.5199605717102015E-2</v>
      </c>
    </row>
    <row r="442" spans="1:13" x14ac:dyDescent="0.25">
      <c r="A442" s="23">
        <v>43623</v>
      </c>
      <c r="B442" s="21">
        <v>1.6459999999999999</v>
      </c>
      <c r="C442" s="12">
        <f t="shared" si="30"/>
        <v>-0.10054644808743178</v>
      </c>
      <c r="D442" s="6"/>
      <c r="E442" s="23">
        <v>43623</v>
      </c>
      <c r="F442" s="21">
        <v>53</v>
      </c>
      <c r="G442" s="12">
        <f t="shared" si="31"/>
        <v>-7.5527646956218358E-2</v>
      </c>
      <c r="H442" s="21">
        <v>53.15</v>
      </c>
      <c r="I442" s="12">
        <f t="shared" si="32"/>
        <v>-7.5330549756436993E-2</v>
      </c>
      <c r="J442" s="21">
        <v>53.23</v>
      </c>
      <c r="K442" s="12">
        <f t="shared" si="33"/>
        <v>-7.4904414320472762E-2</v>
      </c>
      <c r="L442" s="21">
        <v>53.22</v>
      </c>
      <c r="M442" s="12">
        <f t="shared" si="34"/>
        <v>-7.4595722483046412E-2</v>
      </c>
    </row>
    <row r="443" spans="1:13" x14ac:dyDescent="0.25">
      <c r="A443" s="23">
        <v>43630</v>
      </c>
      <c r="B443" s="21">
        <v>1.6830000000000001</v>
      </c>
      <c r="C443" s="12">
        <f t="shared" si="30"/>
        <v>2.2478736330498267E-2</v>
      </c>
      <c r="D443" s="6"/>
      <c r="E443" s="23">
        <v>43630</v>
      </c>
      <c r="F443" s="21">
        <v>52.49</v>
      </c>
      <c r="G443" s="12">
        <f t="shared" si="31"/>
        <v>-9.6226415094339251E-3</v>
      </c>
      <c r="H443" s="21">
        <v>52.74</v>
      </c>
      <c r="I443" s="12">
        <f t="shared" si="32"/>
        <v>-7.714016933207838E-3</v>
      </c>
      <c r="J443" s="21">
        <v>52.9</v>
      </c>
      <c r="K443" s="12">
        <f t="shared" si="33"/>
        <v>-6.1995115536351364E-3</v>
      </c>
      <c r="L443" s="21">
        <v>52.96</v>
      </c>
      <c r="M443" s="12">
        <f t="shared" si="34"/>
        <v>-4.8853814355505074E-3</v>
      </c>
    </row>
    <row r="444" spans="1:13" x14ac:dyDescent="0.25">
      <c r="A444" s="23">
        <v>43637</v>
      </c>
      <c r="B444" s="21">
        <v>1.742</v>
      </c>
      <c r="C444" s="12">
        <f t="shared" si="30"/>
        <v>3.5056446821152665E-2</v>
      </c>
      <c r="D444" s="6"/>
      <c r="E444" s="23">
        <v>43637</v>
      </c>
      <c r="F444" s="21">
        <v>54.73</v>
      </c>
      <c r="G444" s="12">
        <f t="shared" si="31"/>
        <v>4.2674795199085444E-2</v>
      </c>
      <c r="H444" s="21">
        <v>54.96</v>
      </c>
      <c r="I444" s="12">
        <f t="shared" si="32"/>
        <v>4.2093287827076199E-2</v>
      </c>
      <c r="J444" s="21">
        <v>55.02</v>
      </c>
      <c r="K444" s="12">
        <f t="shared" si="33"/>
        <v>4.0075614366729767E-2</v>
      </c>
      <c r="L444" s="21">
        <v>54.96</v>
      </c>
      <c r="M444" s="12">
        <f t="shared" si="34"/>
        <v>3.7764350453172203E-2</v>
      </c>
    </row>
    <row r="445" spans="1:13" x14ac:dyDescent="0.25">
      <c r="A445" s="23">
        <v>43644</v>
      </c>
      <c r="B445" s="21">
        <v>1.89</v>
      </c>
      <c r="C445" s="12">
        <f t="shared" si="30"/>
        <v>8.495981630309983E-2</v>
      </c>
      <c r="D445" s="6"/>
      <c r="E445" s="23">
        <v>43644</v>
      </c>
      <c r="F445" s="21">
        <v>58.6</v>
      </c>
      <c r="G445" s="12">
        <f t="shared" si="31"/>
        <v>7.071076192216344E-2</v>
      </c>
      <c r="H445" s="21">
        <v>58.65</v>
      </c>
      <c r="I445" s="12">
        <f t="shared" si="32"/>
        <v>6.7139737991266338E-2</v>
      </c>
      <c r="J445" s="21">
        <v>58.54</v>
      </c>
      <c r="K445" s="12">
        <f t="shared" si="33"/>
        <v>6.3976735732460849E-2</v>
      </c>
      <c r="L445" s="21">
        <v>58.37</v>
      </c>
      <c r="M445" s="12">
        <f t="shared" si="34"/>
        <v>6.2045123726346373E-2</v>
      </c>
    </row>
    <row r="446" spans="1:13" x14ac:dyDescent="0.25">
      <c r="A446" s="23">
        <v>43651</v>
      </c>
      <c r="B446" s="21">
        <v>1.9079999999999999</v>
      </c>
      <c r="C446" s="12">
        <f t="shared" si="30"/>
        <v>9.5238095238095333E-3</v>
      </c>
      <c r="D446" s="6"/>
      <c r="E446" s="23">
        <v>43651</v>
      </c>
      <c r="F446" s="21">
        <v>57.51</v>
      </c>
      <c r="G446" s="12">
        <f t="shared" si="31"/>
        <v>-1.8600682593856714E-2</v>
      </c>
      <c r="H446" s="21">
        <v>57.59</v>
      </c>
      <c r="I446" s="12">
        <f t="shared" si="32"/>
        <v>-1.8073316283034872E-2</v>
      </c>
      <c r="J446" s="21">
        <v>57.54</v>
      </c>
      <c r="K446" s="12">
        <f t="shared" si="33"/>
        <v>-1.7082336863682952E-2</v>
      </c>
      <c r="L446" s="21">
        <v>57.45</v>
      </c>
      <c r="M446" s="12">
        <f t="shared" si="34"/>
        <v>-1.5761521329449968E-2</v>
      </c>
    </row>
    <row r="447" spans="1:13" x14ac:dyDescent="0.25">
      <c r="A447" s="23">
        <v>43658</v>
      </c>
      <c r="B447" s="21">
        <v>1.9510000000000001</v>
      </c>
      <c r="C447" s="12">
        <f t="shared" si="30"/>
        <v>2.2536687631027334E-2</v>
      </c>
      <c r="D447" s="6"/>
      <c r="E447" s="23">
        <v>43658</v>
      </c>
      <c r="F447" s="21">
        <v>59.27</v>
      </c>
      <c r="G447" s="12">
        <f t="shared" si="31"/>
        <v>3.0603373326378112E-2</v>
      </c>
      <c r="H447" s="21">
        <v>59.36</v>
      </c>
      <c r="I447" s="12">
        <f t="shared" si="32"/>
        <v>3.0734502517798159E-2</v>
      </c>
      <c r="J447" s="21">
        <v>59.32</v>
      </c>
      <c r="K447" s="12">
        <f t="shared" si="33"/>
        <v>3.0935001737921467E-2</v>
      </c>
      <c r="L447" s="21">
        <v>59.22</v>
      </c>
      <c r="M447" s="12">
        <f t="shared" si="34"/>
        <v>3.0809399477806719E-2</v>
      </c>
    </row>
    <row r="448" spans="1:13" x14ac:dyDescent="0.25">
      <c r="A448" s="23">
        <v>43665</v>
      </c>
      <c r="B448" s="21">
        <v>1.8620000000000001</v>
      </c>
      <c r="C448" s="12">
        <f t="shared" si="30"/>
        <v>-4.5617631983598139E-2</v>
      </c>
      <c r="D448" s="6"/>
      <c r="E448" s="23">
        <v>43665</v>
      </c>
      <c r="F448" s="21">
        <v>56.98</v>
      </c>
      <c r="G448" s="12">
        <f t="shared" si="31"/>
        <v>-3.8636747089590112E-2</v>
      </c>
      <c r="H448" s="21">
        <v>57.1</v>
      </c>
      <c r="I448" s="12">
        <f t="shared" si="32"/>
        <v>-3.807277628032342E-2</v>
      </c>
      <c r="J448" s="21">
        <v>57.11</v>
      </c>
      <c r="K448" s="12">
        <f t="shared" si="33"/>
        <v>-3.7255563047875945E-2</v>
      </c>
      <c r="L448" s="21">
        <v>57.07</v>
      </c>
      <c r="M448" s="12">
        <f t="shared" si="34"/>
        <v>-3.6305302262749049E-2</v>
      </c>
    </row>
    <row r="449" spans="1:13" x14ac:dyDescent="0.25">
      <c r="A449" s="23">
        <v>43672</v>
      </c>
      <c r="B449" s="21">
        <v>1.8480000000000001</v>
      </c>
      <c r="C449" s="12">
        <f t="shared" si="30"/>
        <v>-7.5187969924812095E-3</v>
      </c>
      <c r="D449" s="6"/>
      <c r="E449" s="23">
        <v>43672</v>
      </c>
      <c r="F449" s="21">
        <v>56.22</v>
      </c>
      <c r="G449" s="12">
        <f t="shared" si="31"/>
        <v>-1.3338013338013304E-2</v>
      </c>
      <c r="H449" s="21">
        <v>56.31</v>
      </c>
      <c r="I449" s="12">
        <f t="shared" si="32"/>
        <v>-1.3835376532399284E-2</v>
      </c>
      <c r="J449" s="21">
        <v>56.39</v>
      </c>
      <c r="K449" s="12">
        <f t="shared" si="33"/>
        <v>-1.2607249168271736E-2</v>
      </c>
      <c r="L449" s="21">
        <v>56.39</v>
      </c>
      <c r="M449" s="12">
        <f t="shared" si="34"/>
        <v>-1.1915191869633779E-2</v>
      </c>
    </row>
    <row r="450" spans="1:13" x14ac:dyDescent="0.25">
      <c r="A450" s="23">
        <v>43679</v>
      </c>
      <c r="B450" s="21">
        <v>1.8360000000000001</v>
      </c>
      <c r="C450" s="12">
        <f t="shared" si="30"/>
        <v>-6.4935064935064991E-3</v>
      </c>
      <c r="D450" s="6"/>
      <c r="E450" s="23">
        <v>43679</v>
      </c>
      <c r="F450" s="21">
        <v>56.62</v>
      </c>
      <c r="G450" s="12">
        <f t="shared" si="31"/>
        <v>7.1149057274990856E-3</v>
      </c>
      <c r="H450" s="21">
        <v>56.68</v>
      </c>
      <c r="I450" s="12">
        <f t="shared" si="32"/>
        <v>6.5707689575563383E-3</v>
      </c>
      <c r="J450" s="21">
        <v>56.68</v>
      </c>
      <c r="K450" s="12">
        <f t="shared" si="33"/>
        <v>5.1427558077673198E-3</v>
      </c>
      <c r="L450" s="21">
        <v>56.6</v>
      </c>
      <c r="M450" s="12">
        <f t="shared" si="34"/>
        <v>3.7240645504522229E-3</v>
      </c>
    </row>
    <row r="451" spans="1:13" x14ac:dyDescent="0.25">
      <c r="A451" s="23">
        <v>43686</v>
      </c>
      <c r="B451" s="21">
        <v>1.6879999999999999</v>
      </c>
      <c r="C451" s="12">
        <f t="shared" si="30"/>
        <v>-8.0610021786492445E-2</v>
      </c>
      <c r="D451" s="6"/>
      <c r="E451" s="23">
        <v>43686</v>
      </c>
      <c r="F451" s="21">
        <v>53.29</v>
      </c>
      <c r="G451" s="12">
        <f t="shared" si="31"/>
        <v>-5.8813140233133138E-2</v>
      </c>
      <c r="H451" s="21">
        <v>53.21</v>
      </c>
      <c r="I451" s="12">
        <f t="shared" si="32"/>
        <v>-6.1220889202540561E-2</v>
      </c>
      <c r="J451" s="21">
        <v>53.06</v>
      </c>
      <c r="K451" s="12">
        <f t="shared" si="33"/>
        <v>-6.3867325335215205E-2</v>
      </c>
      <c r="L451" s="21">
        <v>52.89</v>
      </c>
      <c r="M451" s="12">
        <f t="shared" si="34"/>
        <v>-6.5547703180212025E-2</v>
      </c>
    </row>
    <row r="452" spans="1:13" x14ac:dyDescent="0.25">
      <c r="A452" s="23">
        <v>43693</v>
      </c>
      <c r="B452" s="21">
        <v>1.6819999999999999</v>
      </c>
      <c r="C452" s="12">
        <f t="shared" si="30"/>
        <v>-3.5545023696682498E-3</v>
      </c>
      <c r="D452" s="6"/>
      <c r="E452" s="23">
        <v>43693</v>
      </c>
      <c r="F452" s="21">
        <v>55.32</v>
      </c>
      <c r="G452" s="12">
        <f t="shared" si="31"/>
        <v>3.8093450928879738E-2</v>
      </c>
      <c r="H452" s="21">
        <v>55.29</v>
      </c>
      <c r="I452" s="12">
        <f t="shared" si="32"/>
        <v>3.9090396542003351E-2</v>
      </c>
      <c r="J452" s="21">
        <v>54.98</v>
      </c>
      <c r="K452" s="12">
        <f t="shared" si="33"/>
        <v>3.618545043347144E-2</v>
      </c>
      <c r="L452" s="21">
        <v>54.62</v>
      </c>
      <c r="M452" s="12">
        <f t="shared" si="34"/>
        <v>3.2709396861410417E-2</v>
      </c>
    </row>
    <row r="453" spans="1:13" x14ac:dyDescent="0.25">
      <c r="A453" s="23">
        <v>43700</v>
      </c>
      <c r="B453" s="21">
        <v>1.6950000000000001</v>
      </c>
      <c r="C453" s="12">
        <f t="shared" ref="C453:C516" si="35">(B453-B452)/B452</f>
        <v>7.7288941736029272E-3</v>
      </c>
      <c r="D453" s="6"/>
      <c r="E453" s="23">
        <v>43700</v>
      </c>
      <c r="F453" s="21">
        <v>55.55</v>
      </c>
      <c r="G453" s="12">
        <f t="shared" ref="G453:G516" si="36">(F453-F452)/F452</f>
        <v>4.1576283441792641E-3</v>
      </c>
      <c r="H453" s="21">
        <v>55.39</v>
      </c>
      <c r="I453" s="12">
        <f t="shared" ref="I453:I516" si="37">(H453-H452)/H452</f>
        <v>1.8086453246518616E-3</v>
      </c>
      <c r="J453" s="21">
        <v>55.06</v>
      </c>
      <c r="K453" s="12">
        <f t="shared" ref="K453:K516" si="38">(J453-J452)/J452</f>
        <v>1.4550745725719425E-3</v>
      </c>
      <c r="L453" s="21">
        <v>54.66</v>
      </c>
      <c r="M453" s="12">
        <f t="shared" ref="M453:M516" si="39">(L453-L452)/L452</f>
        <v>7.3233247894542567E-4</v>
      </c>
    </row>
    <row r="454" spans="1:13" x14ac:dyDescent="0.25">
      <c r="A454" s="23">
        <v>43707</v>
      </c>
      <c r="B454" s="21">
        <v>1.679</v>
      </c>
      <c r="C454" s="12">
        <f t="shared" si="35"/>
        <v>-9.4395280235988286E-3</v>
      </c>
      <c r="D454" s="6"/>
      <c r="E454" s="23">
        <v>43707</v>
      </c>
      <c r="F454" s="21">
        <v>55.23</v>
      </c>
      <c r="G454" s="12">
        <f t="shared" si="36"/>
        <v>-5.7605760576057664E-3</v>
      </c>
      <c r="H454" s="21">
        <v>55.04</v>
      </c>
      <c r="I454" s="12">
        <f t="shared" si="37"/>
        <v>-6.318830113738968E-3</v>
      </c>
      <c r="J454" s="21">
        <v>54.71</v>
      </c>
      <c r="K454" s="12">
        <f t="shared" si="38"/>
        <v>-6.3567017798765238E-3</v>
      </c>
      <c r="L454" s="21">
        <v>54.33</v>
      </c>
      <c r="M454" s="12">
        <f t="shared" si="39"/>
        <v>-6.0373216245883333E-3</v>
      </c>
    </row>
    <row r="455" spans="1:13" x14ac:dyDescent="0.25">
      <c r="A455" s="23">
        <v>43714</v>
      </c>
      <c r="B455" s="21">
        <v>1.641</v>
      </c>
      <c r="C455" s="12">
        <f t="shared" si="35"/>
        <v>-2.2632519356759997E-2</v>
      </c>
      <c r="D455" s="6"/>
      <c r="E455" s="23">
        <v>43714</v>
      </c>
      <c r="F455" s="21">
        <v>55.62</v>
      </c>
      <c r="G455" s="12">
        <f t="shared" si="36"/>
        <v>7.0613796849538397E-3</v>
      </c>
      <c r="H455" s="21">
        <v>55.47</v>
      </c>
      <c r="I455" s="12">
        <f t="shared" si="37"/>
        <v>7.8124999999999948E-3</v>
      </c>
      <c r="J455" s="21">
        <v>55.18</v>
      </c>
      <c r="K455" s="12">
        <f t="shared" si="38"/>
        <v>8.5907512337780826E-3</v>
      </c>
      <c r="L455" s="21">
        <v>54.81</v>
      </c>
      <c r="M455" s="12">
        <f t="shared" si="39"/>
        <v>8.8348978464937236E-3</v>
      </c>
    </row>
    <row r="456" spans="1:13" x14ac:dyDescent="0.25">
      <c r="A456" s="23">
        <v>43721</v>
      </c>
      <c r="B456" s="21">
        <v>1.704</v>
      </c>
      <c r="C456" s="12">
        <f t="shared" si="35"/>
        <v>3.839122486288845E-2</v>
      </c>
      <c r="D456" s="6"/>
      <c r="E456" s="23">
        <v>43721</v>
      </c>
      <c r="F456" s="21">
        <v>56.19</v>
      </c>
      <c r="G456" s="12">
        <f t="shared" si="36"/>
        <v>1.0248112189859769E-2</v>
      </c>
      <c r="H456" s="21">
        <v>56.11</v>
      </c>
      <c r="I456" s="12">
        <f t="shared" si="37"/>
        <v>1.1537768162970986E-2</v>
      </c>
      <c r="J456" s="21">
        <v>55.86</v>
      </c>
      <c r="K456" s="12">
        <f t="shared" si="38"/>
        <v>1.232330554548749E-2</v>
      </c>
      <c r="L456" s="21">
        <v>55.52</v>
      </c>
      <c r="M456" s="12">
        <f t="shared" si="39"/>
        <v>1.2953840540047452E-2</v>
      </c>
    </row>
    <row r="457" spans="1:13" x14ac:dyDescent="0.25">
      <c r="A457" s="23">
        <v>43728</v>
      </c>
      <c r="B457" s="21">
        <v>1.8080000000000001</v>
      </c>
      <c r="C457" s="12">
        <f t="shared" si="35"/>
        <v>6.1032863849765313E-2</v>
      </c>
      <c r="D457" s="6"/>
      <c r="E457" s="23">
        <v>43728</v>
      </c>
      <c r="F457" s="21">
        <v>59.31</v>
      </c>
      <c r="G457" s="12">
        <f t="shared" si="36"/>
        <v>5.5525894287239808E-2</v>
      </c>
      <c r="H457" s="21">
        <v>59.22</v>
      </c>
      <c r="I457" s="12">
        <f t="shared" si="37"/>
        <v>5.542684013544822E-2</v>
      </c>
      <c r="J457" s="21">
        <v>58.79</v>
      </c>
      <c r="K457" s="12">
        <f t="shared" si="38"/>
        <v>5.2452559971356956E-2</v>
      </c>
      <c r="L457" s="21">
        <v>58.19</v>
      </c>
      <c r="M457" s="12">
        <f t="shared" si="39"/>
        <v>4.8090778097982609E-2</v>
      </c>
    </row>
    <row r="458" spans="1:13" x14ac:dyDescent="0.25">
      <c r="A458" s="23">
        <v>43735</v>
      </c>
      <c r="B458" s="21">
        <v>1.754</v>
      </c>
      <c r="C458" s="12">
        <f t="shared" si="35"/>
        <v>-2.9867256637168167E-2</v>
      </c>
      <c r="D458" s="6"/>
      <c r="E458" s="23">
        <v>43735</v>
      </c>
      <c r="F458" s="21">
        <v>56.95</v>
      </c>
      <c r="G458" s="12">
        <f t="shared" si="36"/>
        <v>-3.9790929017029159E-2</v>
      </c>
      <c r="H458" s="21">
        <v>56.78</v>
      </c>
      <c r="I458" s="12">
        <f t="shared" si="37"/>
        <v>-4.1202296521445421E-2</v>
      </c>
      <c r="J458" s="21">
        <v>56.37</v>
      </c>
      <c r="K458" s="12">
        <f t="shared" si="38"/>
        <v>-4.1163463174009214E-2</v>
      </c>
      <c r="L458" s="21">
        <v>55.9</v>
      </c>
      <c r="M458" s="12">
        <f t="shared" si="39"/>
        <v>-3.9353840866128191E-2</v>
      </c>
    </row>
    <row r="459" spans="1:13" x14ac:dyDescent="0.25">
      <c r="A459" s="23">
        <v>43742</v>
      </c>
      <c r="B459" s="21">
        <v>1.68</v>
      </c>
      <c r="C459" s="12">
        <f t="shared" si="35"/>
        <v>-4.2189281641961271E-2</v>
      </c>
      <c r="D459" s="6"/>
      <c r="E459" s="23">
        <v>43742</v>
      </c>
      <c r="F459" s="21">
        <v>53.12</v>
      </c>
      <c r="G459" s="12">
        <f t="shared" si="36"/>
        <v>-6.7251975417032581E-2</v>
      </c>
      <c r="H459" s="21">
        <v>53.02</v>
      </c>
      <c r="I459" s="12">
        <f t="shared" si="37"/>
        <v>-6.6220500176118316E-2</v>
      </c>
      <c r="J459" s="21">
        <v>52.78</v>
      </c>
      <c r="K459" s="12">
        <f t="shared" si="38"/>
        <v>-6.3686357991839568E-2</v>
      </c>
      <c r="L459" s="21">
        <v>52.48</v>
      </c>
      <c r="M459" s="12">
        <f t="shared" si="39"/>
        <v>-6.1180679785330983E-2</v>
      </c>
    </row>
    <row r="460" spans="1:13" x14ac:dyDescent="0.25">
      <c r="A460" s="23">
        <v>43749</v>
      </c>
      <c r="B460" s="21">
        <v>1.7090000000000001</v>
      </c>
      <c r="C460" s="12">
        <f t="shared" si="35"/>
        <v>1.7261904761904843E-2</v>
      </c>
      <c r="D460" s="6"/>
      <c r="E460" s="23">
        <v>43749</v>
      </c>
      <c r="F460" s="21">
        <v>53.24</v>
      </c>
      <c r="G460" s="12">
        <f t="shared" si="36"/>
        <v>2.259036144578399E-3</v>
      </c>
      <c r="H460" s="21">
        <v>53.26</v>
      </c>
      <c r="I460" s="12">
        <f t="shared" si="37"/>
        <v>4.5265937382118985E-3</v>
      </c>
      <c r="J460" s="21">
        <v>53.13</v>
      </c>
      <c r="K460" s="12">
        <f t="shared" si="38"/>
        <v>6.6312997347480378E-3</v>
      </c>
      <c r="L460" s="21">
        <v>52.94</v>
      </c>
      <c r="M460" s="12">
        <f t="shared" si="39"/>
        <v>8.7652439024390408E-3</v>
      </c>
    </row>
    <row r="461" spans="1:13" x14ac:dyDescent="0.25">
      <c r="A461" s="23">
        <v>43756</v>
      </c>
      <c r="B461" s="21">
        <v>1.74</v>
      </c>
      <c r="C461" s="12">
        <f t="shared" si="35"/>
        <v>1.8139262726740733E-2</v>
      </c>
      <c r="D461" s="6"/>
      <c r="E461" s="23">
        <v>43756</v>
      </c>
      <c r="F461" s="21">
        <v>53.49</v>
      </c>
      <c r="G461" s="12">
        <f t="shared" si="36"/>
        <v>4.6957175056348607E-3</v>
      </c>
      <c r="H461" s="21">
        <v>53.58</v>
      </c>
      <c r="I461" s="12">
        <f t="shared" si="37"/>
        <v>6.0082613593691377E-3</v>
      </c>
      <c r="J461" s="21">
        <v>53.57</v>
      </c>
      <c r="K461" s="12">
        <f t="shared" si="38"/>
        <v>8.2815734989647605E-3</v>
      </c>
      <c r="L461" s="21">
        <v>53.45</v>
      </c>
      <c r="M461" s="12">
        <f t="shared" si="39"/>
        <v>9.6335474121648119E-3</v>
      </c>
    </row>
    <row r="462" spans="1:13" x14ac:dyDescent="0.25">
      <c r="A462" s="23">
        <v>43763</v>
      </c>
      <c r="B462" s="21">
        <v>1.752</v>
      </c>
      <c r="C462" s="12">
        <f t="shared" si="35"/>
        <v>6.896551724137937E-3</v>
      </c>
      <c r="D462" s="6"/>
      <c r="E462" s="23">
        <v>43763</v>
      </c>
      <c r="F462" s="21">
        <v>55.27</v>
      </c>
      <c r="G462" s="12">
        <f t="shared" si="36"/>
        <v>3.3277248083753992E-2</v>
      </c>
      <c r="H462" s="21">
        <v>55.39</v>
      </c>
      <c r="I462" s="12">
        <f t="shared" si="37"/>
        <v>3.378126166480034E-2</v>
      </c>
      <c r="J462" s="21">
        <v>55.32</v>
      </c>
      <c r="K462" s="12">
        <f t="shared" si="38"/>
        <v>3.2667537801008027E-2</v>
      </c>
      <c r="L462" s="21">
        <v>55.09</v>
      </c>
      <c r="M462" s="12">
        <f t="shared" si="39"/>
        <v>3.0682881197380739E-2</v>
      </c>
    </row>
    <row r="463" spans="1:13" x14ac:dyDescent="0.25">
      <c r="A463" s="23">
        <v>43770</v>
      </c>
      <c r="B463" s="21">
        <v>1.76</v>
      </c>
      <c r="C463" s="12">
        <f t="shared" si="35"/>
        <v>4.5662100456621045E-3</v>
      </c>
      <c r="D463" s="6"/>
      <c r="E463" s="23">
        <v>43770</v>
      </c>
      <c r="F463" s="21">
        <v>55.36</v>
      </c>
      <c r="G463" s="12">
        <f t="shared" si="36"/>
        <v>1.6283698208792528E-3</v>
      </c>
      <c r="H463" s="21">
        <v>55.44</v>
      </c>
      <c r="I463" s="12">
        <f t="shared" si="37"/>
        <v>9.0269001624836902E-4</v>
      </c>
      <c r="J463" s="21">
        <v>55.34</v>
      </c>
      <c r="K463" s="12">
        <f t="shared" si="38"/>
        <v>3.6153289949391047E-4</v>
      </c>
      <c r="L463" s="21">
        <v>55.11</v>
      </c>
      <c r="M463" s="12">
        <f t="shared" si="39"/>
        <v>3.6304229442722853E-4</v>
      </c>
    </row>
    <row r="464" spans="1:13" x14ac:dyDescent="0.25">
      <c r="A464" s="23">
        <v>43777</v>
      </c>
      <c r="B464" s="21">
        <v>1.7549999999999999</v>
      </c>
      <c r="C464" s="12">
        <f t="shared" si="35"/>
        <v>-2.8409090909091565E-3</v>
      </c>
      <c r="D464" s="6"/>
      <c r="E464" s="23">
        <v>43777</v>
      </c>
      <c r="F464" s="21">
        <v>56.9</v>
      </c>
      <c r="G464" s="12">
        <f t="shared" si="36"/>
        <v>2.7817919075144495E-2</v>
      </c>
      <c r="H464" s="21">
        <v>56.94</v>
      </c>
      <c r="I464" s="12">
        <f t="shared" si="37"/>
        <v>2.7056277056277056E-2</v>
      </c>
      <c r="J464" s="21">
        <v>56.77</v>
      </c>
      <c r="K464" s="12">
        <f t="shared" si="38"/>
        <v>2.5840260209613292E-2</v>
      </c>
      <c r="L464" s="21">
        <v>56.43</v>
      </c>
      <c r="M464" s="12">
        <f t="shared" si="39"/>
        <v>2.3952095808383238E-2</v>
      </c>
    </row>
    <row r="465" spans="1:13" x14ac:dyDescent="0.25">
      <c r="A465" s="23">
        <v>43784</v>
      </c>
      <c r="B465" s="21">
        <v>1.708</v>
      </c>
      <c r="C465" s="12">
        <f t="shared" si="35"/>
        <v>-2.6780626780626742E-2</v>
      </c>
      <c r="D465" s="6"/>
      <c r="E465" s="23">
        <v>43784</v>
      </c>
      <c r="F465" s="21">
        <v>57.05</v>
      </c>
      <c r="G465" s="12">
        <f t="shared" si="36"/>
        <v>2.6362038664323123E-3</v>
      </c>
      <c r="H465" s="21">
        <v>57.13</v>
      </c>
      <c r="I465" s="12">
        <f t="shared" si="37"/>
        <v>3.3368458025993123E-3</v>
      </c>
      <c r="J465" s="21">
        <v>57.01</v>
      </c>
      <c r="K465" s="12">
        <f t="shared" si="38"/>
        <v>4.2275849920731879E-3</v>
      </c>
      <c r="L465" s="21">
        <v>56.73</v>
      </c>
      <c r="M465" s="12">
        <f t="shared" si="39"/>
        <v>5.3163211057947399E-3</v>
      </c>
    </row>
    <row r="466" spans="1:13" x14ac:dyDescent="0.25">
      <c r="A466" s="23">
        <v>43791</v>
      </c>
      <c r="B466" s="21">
        <v>1.7070000000000001</v>
      </c>
      <c r="C466" s="12">
        <f t="shared" si="35"/>
        <v>-5.8548009367675048E-4</v>
      </c>
      <c r="D466" s="6"/>
      <c r="E466" s="23">
        <v>43791</v>
      </c>
      <c r="F466" s="21">
        <v>57.14</v>
      </c>
      <c r="G466" s="12">
        <f t="shared" si="36"/>
        <v>1.5775635407537846E-3</v>
      </c>
      <c r="H466" s="21">
        <v>57.11</v>
      </c>
      <c r="I466" s="12">
        <f t="shared" si="37"/>
        <v>-3.5007876772279233E-4</v>
      </c>
      <c r="J466" s="21">
        <v>56.9</v>
      </c>
      <c r="K466" s="12">
        <f t="shared" si="38"/>
        <v>-1.9294860550780465E-3</v>
      </c>
      <c r="L466" s="21">
        <v>56.56</v>
      </c>
      <c r="M466" s="12">
        <f t="shared" si="39"/>
        <v>-2.9966508020446785E-3</v>
      </c>
    </row>
    <row r="467" spans="1:13" x14ac:dyDescent="0.25">
      <c r="A467" s="23">
        <v>43798</v>
      </c>
      <c r="B467" s="21">
        <v>1.722</v>
      </c>
      <c r="C467" s="12">
        <f t="shared" si="35"/>
        <v>8.7873462214410666E-3</v>
      </c>
      <c r="D467" s="6"/>
      <c r="E467" s="23">
        <v>43798</v>
      </c>
      <c r="F467" s="21">
        <v>57.56</v>
      </c>
      <c r="G467" s="12">
        <f t="shared" si="36"/>
        <v>7.3503675183759489E-3</v>
      </c>
      <c r="H467" s="21">
        <v>57.49</v>
      </c>
      <c r="I467" s="12">
        <f t="shared" si="37"/>
        <v>6.6538259499212497E-3</v>
      </c>
      <c r="J467" s="21">
        <v>57.27</v>
      </c>
      <c r="K467" s="12">
        <f t="shared" si="38"/>
        <v>6.5026362038665122E-3</v>
      </c>
      <c r="L467" s="21">
        <v>56.96</v>
      </c>
      <c r="M467" s="12">
        <f t="shared" si="39"/>
        <v>7.0721357850070466E-3</v>
      </c>
    </row>
    <row r="468" spans="1:13" x14ac:dyDescent="0.25">
      <c r="A468" s="23">
        <v>43805</v>
      </c>
      <c r="B468" s="21">
        <v>1.641</v>
      </c>
      <c r="C468" s="12">
        <f t="shared" si="35"/>
        <v>-4.7038327526132385E-2</v>
      </c>
      <c r="D468" s="6"/>
      <c r="E468" s="23">
        <v>43805</v>
      </c>
      <c r="F468" s="21">
        <v>57.62</v>
      </c>
      <c r="G468" s="12">
        <f t="shared" si="36"/>
        <v>1.0423905489922718E-3</v>
      </c>
      <c r="H468" s="21">
        <v>57.54</v>
      </c>
      <c r="I468" s="12">
        <f t="shared" si="37"/>
        <v>8.6971647242993836E-4</v>
      </c>
      <c r="J468" s="21">
        <v>57.29</v>
      </c>
      <c r="K468" s="12">
        <f t="shared" si="38"/>
        <v>3.4922297887194026E-4</v>
      </c>
      <c r="L468" s="21">
        <v>56.94</v>
      </c>
      <c r="M468" s="12">
        <f t="shared" si="39"/>
        <v>-3.5112359550567288E-4</v>
      </c>
    </row>
    <row r="469" spans="1:13" x14ac:dyDescent="0.25">
      <c r="A469" s="23">
        <v>43812</v>
      </c>
      <c r="B469" s="21">
        <v>1.69</v>
      </c>
      <c r="C469" s="12">
        <f t="shared" si="35"/>
        <v>2.9859841560024334E-2</v>
      </c>
      <c r="D469" s="6"/>
      <c r="E469" s="23">
        <v>43812</v>
      </c>
      <c r="F469" s="21">
        <v>59.25</v>
      </c>
      <c r="G469" s="12">
        <f t="shared" si="36"/>
        <v>2.8288788615064259E-2</v>
      </c>
      <c r="H469" s="21">
        <v>59.15</v>
      </c>
      <c r="I469" s="12">
        <f t="shared" si="37"/>
        <v>2.7980535279805343E-2</v>
      </c>
      <c r="J469" s="21">
        <v>58.86</v>
      </c>
      <c r="K469" s="12">
        <f t="shared" si="38"/>
        <v>2.7404433583522434E-2</v>
      </c>
      <c r="L469" s="21">
        <v>58.48</v>
      </c>
      <c r="M469" s="12">
        <f t="shared" si="39"/>
        <v>2.7046013347383196E-2</v>
      </c>
    </row>
    <row r="470" spans="1:13" x14ac:dyDescent="0.25">
      <c r="A470" s="23">
        <v>43819</v>
      </c>
      <c r="B470" s="21">
        <v>1.7330000000000001</v>
      </c>
      <c r="C470" s="12">
        <f t="shared" si="35"/>
        <v>2.5443786982248608E-2</v>
      </c>
      <c r="D470" s="6"/>
      <c r="E470" s="23">
        <v>43819</v>
      </c>
      <c r="F470" s="21">
        <v>60.75</v>
      </c>
      <c r="G470" s="12">
        <f t="shared" si="36"/>
        <v>2.5316455696202531E-2</v>
      </c>
      <c r="H470" s="21">
        <v>60.66</v>
      </c>
      <c r="I470" s="12">
        <f t="shared" si="37"/>
        <v>2.552831783601011E-2</v>
      </c>
      <c r="J470" s="21">
        <v>60.35</v>
      </c>
      <c r="K470" s="12">
        <f t="shared" si="38"/>
        <v>2.5314305130818927E-2</v>
      </c>
      <c r="L470" s="21">
        <v>59.94</v>
      </c>
      <c r="M470" s="12">
        <f t="shared" si="39"/>
        <v>2.4965800273597828E-2</v>
      </c>
    </row>
    <row r="471" spans="1:13" x14ac:dyDescent="0.25">
      <c r="A471" s="23">
        <v>43826</v>
      </c>
      <c r="B471" s="21">
        <v>1.7729999999999999</v>
      </c>
      <c r="C471" s="12">
        <f t="shared" si="35"/>
        <v>2.308136180034611E-2</v>
      </c>
      <c r="D471" s="6"/>
      <c r="E471" s="23">
        <v>43826</v>
      </c>
      <c r="F471" s="21">
        <v>61.26</v>
      </c>
      <c r="G471" s="12">
        <f t="shared" si="36"/>
        <v>8.3950617283950289E-3</v>
      </c>
      <c r="H471" s="21">
        <v>61.08</v>
      </c>
      <c r="I471" s="12">
        <f t="shared" si="37"/>
        <v>6.9238377843719376E-3</v>
      </c>
      <c r="J471" s="21">
        <v>60.77</v>
      </c>
      <c r="K471" s="12">
        <f t="shared" si="38"/>
        <v>6.9594034797017682E-3</v>
      </c>
      <c r="L471" s="21">
        <v>60.37</v>
      </c>
      <c r="M471" s="12">
        <f t="shared" si="39"/>
        <v>7.1738405071738358E-3</v>
      </c>
    </row>
    <row r="472" spans="1:13" x14ac:dyDescent="0.25">
      <c r="A472" s="23">
        <v>43833</v>
      </c>
      <c r="B472" s="21">
        <v>1.768</v>
      </c>
      <c r="C472" s="12">
        <f t="shared" si="35"/>
        <v>-2.8200789622108819E-3</v>
      </c>
      <c r="D472" s="6"/>
      <c r="E472" s="23">
        <v>43833</v>
      </c>
      <c r="F472" s="21">
        <v>62.12</v>
      </c>
      <c r="G472" s="12">
        <f t="shared" si="36"/>
        <v>1.4038524322559573E-2</v>
      </c>
      <c r="H472" s="21">
        <v>61.89</v>
      </c>
      <c r="I472" s="12">
        <f t="shared" si="37"/>
        <v>1.3261296660117916E-2</v>
      </c>
      <c r="J472" s="21">
        <v>61.56</v>
      </c>
      <c r="K472" s="12">
        <f t="shared" si="38"/>
        <v>1.2999835445120933E-2</v>
      </c>
      <c r="L472" s="21">
        <v>61.13</v>
      </c>
      <c r="M472" s="12">
        <f t="shared" si="39"/>
        <v>1.2589034288554003E-2</v>
      </c>
    </row>
    <row r="473" spans="1:13" x14ac:dyDescent="0.25">
      <c r="A473" s="23">
        <v>43840</v>
      </c>
      <c r="B473" s="21">
        <v>1.7270000000000001</v>
      </c>
      <c r="C473" s="12">
        <f t="shared" si="35"/>
        <v>-2.3190045248868738E-2</v>
      </c>
      <c r="D473" s="6"/>
      <c r="E473" s="23">
        <v>43840</v>
      </c>
      <c r="F473" s="21">
        <v>60.84</v>
      </c>
      <c r="G473" s="12">
        <f t="shared" si="36"/>
        <v>-2.0605280103026306E-2</v>
      </c>
      <c r="H473" s="21">
        <v>60.69</v>
      </c>
      <c r="I473" s="12">
        <f t="shared" si="37"/>
        <v>-1.9389238972370382E-2</v>
      </c>
      <c r="J473" s="21">
        <v>60.45</v>
      </c>
      <c r="K473" s="12">
        <f t="shared" si="38"/>
        <v>-1.8031189083820651E-2</v>
      </c>
      <c r="L473" s="21">
        <v>60.12</v>
      </c>
      <c r="M473" s="12">
        <f t="shared" si="39"/>
        <v>-1.6522165876002047E-2</v>
      </c>
    </row>
    <row r="474" spans="1:13" x14ac:dyDescent="0.25">
      <c r="A474" s="23">
        <v>43847</v>
      </c>
      <c r="B474" s="21">
        <v>1.694</v>
      </c>
      <c r="C474" s="12">
        <f t="shared" si="35"/>
        <v>-1.9108280254777149E-2</v>
      </c>
      <c r="D474" s="6"/>
      <c r="E474" s="23">
        <v>43847</v>
      </c>
      <c r="F474" s="21">
        <v>58.24</v>
      </c>
      <c r="G474" s="12">
        <f t="shared" si="36"/>
        <v>-4.2735042735042757E-2</v>
      </c>
      <c r="H474" s="21">
        <v>58.26</v>
      </c>
      <c r="I474" s="12">
        <f t="shared" si="37"/>
        <v>-4.0039545229856643E-2</v>
      </c>
      <c r="J474" s="21">
        <v>58.18</v>
      </c>
      <c r="K474" s="12">
        <f t="shared" si="38"/>
        <v>-3.7551695616211793E-2</v>
      </c>
      <c r="L474" s="21">
        <v>57.99</v>
      </c>
      <c r="M474" s="12">
        <f t="shared" si="39"/>
        <v>-3.5429141716566789E-2</v>
      </c>
    </row>
    <row r="475" spans="1:13" x14ac:dyDescent="0.25">
      <c r="A475" s="23">
        <v>43854</v>
      </c>
      <c r="B475" s="21">
        <v>1.6140000000000001</v>
      </c>
      <c r="C475" s="12">
        <f t="shared" si="35"/>
        <v>-4.7225501770956226E-2</v>
      </c>
      <c r="D475" s="6"/>
      <c r="E475" s="23">
        <v>43854</v>
      </c>
      <c r="F475" s="21">
        <v>56.22</v>
      </c>
      <c r="G475" s="12">
        <f t="shared" si="36"/>
        <v>-3.4684065934065984E-2</v>
      </c>
      <c r="H475" s="21">
        <v>56.24</v>
      </c>
      <c r="I475" s="12">
        <f t="shared" si="37"/>
        <v>-3.4672159285959424E-2</v>
      </c>
      <c r="J475" s="21">
        <v>56.17</v>
      </c>
      <c r="K475" s="12">
        <f t="shared" si="38"/>
        <v>-3.4547954623581956E-2</v>
      </c>
      <c r="L475" s="21">
        <v>55.96</v>
      </c>
      <c r="M475" s="12">
        <f t="shared" si="39"/>
        <v>-3.5006035523366119E-2</v>
      </c>
    </row>
    <row r="476" spans="1:13" x14ac:dyDescent="0.25">
      <c r="A476" s="23">
        <v>43861</v>
      </c>
      <c r="B476" s="21">
        <v>1.5449999999999999</v>
      </c>
      <c r="C476" s="12">
        <f t="shared" si="35"/>
        <v>-4.2750929368029843E-2</v>
      </c>
      <c r="D476" s="6"/>
      <c r="E476" s="23">
        <v>43861</v>
      </c>
      <c r="F476" s="21">
        <v>52.73</v>
      </c>
      <c r="G476" s="12">
        <f t="shared" si="36"/>
        <v>-6.2077552472429777E-2</v>
      </c>
      <c r="H476" s="21">
        <v>52.8</v>
      </c>
      <c r="I476" s="12">
        <f t="shared" si="37"/>
        <v>-6.11664295874823E-2</v>
      </c>
      <c r="J476" s="21">
        <v>52.81</v>
      </c>
      <c r="K476" s="12">
        <f t="shared" si="38"/>
        <v>-5.9818408403062122E-2</v>
      </c>
      <c r="L476" s="21">
        <v>52.73</v>
      </c>
      <c r="M476" s="12">
        <f t="shared" si="39"/>
        <v>-5.7719799857040816E-2</v>
      </c>
    </row>
    <row r="477" spans="1:13" x14ac:dyDescent="0.25">
      <c r="A477" s="23">
        <v>43868</v>
      </c>
      <c r="B477" s="21">
        <v>1.5229999999999999</v>
      </c>
      <c r="C477" s="12">
        <f t="shared" si="35"/>
        <v>-1.4239482200647262E-2</v>
      </c>
      <c r="D477" s="6"/>
      <c r="E477" s="23">
        <v>43868</v>
      </c>
      <c r="F477" s="21">
        <v>50.35</v>
      </c>
      <c r="G477" s="12">
        <f t="shared" si="36"/>
        <v>-4.5135596434667087E-2</v>
      </c>
      <c r="H477" s="21">
        <v>50.54</v>
      </c>
      <c r="I477" s="12">
        <f t="shared" si="37"/>
        <v>-4.2803030303030266E-2</v>
      </c>
      <c r="J477" s="21">
        <v>50.76</v>
      </c>
      <c r="K477" s="12">
        <f t="shared" si="38"/>
        <v>-3.8818405604999134E-2</v>
      </c>
      <c r="L477" s="21">
        <v>50.94</v>
      </c>
      <c r="M477" s="12">
        <f t="shared" si="39"/>
        <v>-3.3946520007585801E-2</v>
      </c>
    </row>
    <row r="478" spans="1:13" x14ac:dyDescent="0.25">
      <c r="A478" s="23">
        <v>43875</v>
      </c>
      <c r="B478" s="21">
        <v>1.595</v>
      </c>
      <c r="C478" s="12">
        <f t="shared" si="35"/>
        <v>4.727511490479322E-2</v>
      </c>
      <c r="D478" s="6"/>
      <c r="E478" s="23">
        <v>43875</v>
      </c>
      <c r="F478" s="21">
        <v>50.83</v>
      </c>
      <c r="G478" s="12">
        <f t="shared" si="36"/>
        <v>9.5332671300893124E-3</v>
      </c>
      <c r="H478" s="21">
        <v>51.07</v>
      </c>
      <c r="I478" s="12">
        <f t="shared" si="37"/>
        <v>1.0486743173723806E-2</v>
      </c>
      <c r="J478" s="21">
        <v>51.34</v>
      </c>
      <c r="K478" s="12">
        <f t="shared" si="38"/>
        <v>1.1426319936958342E-2</v>
      </c>
      <c r="L478" s="21">
        <v>51.56</v>
      </c>
      <c r="M478" s="12">
        <f t="shared" si="39"/>
        <v>1.2171181782489294E-2</v>
      </c>
    </row>
    <row r="479" spans="1:13" x14ac:dyDescent="0.25">
      <c r="A479" s="23">
        <v>43882</v>
      </c>
      <c r="B479" s="21">
        <v>1.6879999999999999</v>
      </c>
      <c r="C479" s="12">
        <f t="shared" si="35"/>
        <v>5.8307210031347943E-2</v>
      </c>
      <c r="D479" s="6"/>
      <c r="E479" s="23">
        <v>43882</v>
      </c>
      <c r="F479" s="21">
        <v>53.13</v>
      </c>
      <c r="G479" s="12">
        <f t="shared" si="36"/>
        <v>4.5248868778280625E-2</v>
      </c>
      <c r="H479" s="21">
        <v>53.29</v>
      </c>
      <c r="I479" s="12">
        <f t="shared" si="37"/>
        <v>4.3469747405521814E-2</v>
      </c>
      <c r="J479" s="21">
        <v>53.48</v>
      </c>
      <c r="K479" s="12">
        <f t="shared" si="38"/>
        <v>4.1682898324892741E-2</v>
      </c>
      <c r="L479" s="21">
        <v>53.59</v>
      </c>
      <c r="M479" s="12">
        <f t="shared" si="39"/>
        <v>3.9371605896043466E-2</v>
      </c>
    </row>
    <row r="480" spans="1:13" x14ac:dyDescent="0.25">
      <c r="A480" s="23">
        <v>43889</v>
      </c>
      <c r="B480" s="21">
        <v>1.5369999999999999</v>
      </c>
      <c r="C480" s="12">
        <f t="shared" si="35"/>
        <v>-8.9454976303317557E-2</v>
      </c>
      <c r="D480" s="6"/>
      <c r="E480" s="23">
        <v>43889</v>
      </c>
      <c r="F480" s="21">
        <v>48.38</v>
      </c>
      <c r="G480" s="12">
        <f t="shared" si="36"/>
        <v>-8.9403350272915488E-2</v>
      </c>
      <c r="H480" s="21">
        <v>48.55</v>
      </c>
      <c r="I480" s="12">
        <f t="shared" si="37"/>
        <v>-8.8947269656596023E-2</v>
      </c>
      <c r="J480" s="21">
        <v>48.66</v>
      </c>
      <c r="K480" s="12">
        <f t="shared" si="38"/>
        <v>-9.0127150336574424E-2</v>
      </c>
      <c r="L480" s="21">
        <v>48.73</v>
      </c>
      <c r="M480" s="12">
        <f t="shared" si="39"/>
        <v>-9.0688561298749887E-2</v>
      </c>
    </row>
    <row r="481" spans="1:13" x14ac:dyDescent="0.25">
      <c r="A481" s="23">
        <v>43896</v>
      </c>
      <c r="B481" s="21">
        <v>1.492</v>
      </c>
      <c r="C481" s="12">
        <f t="shared" si="35"/>
        <v>-2.9277813923227022E-2</v>
      </c>
      <c r="D481" s="6"/>
      <c r="E481" s="23">
        <v>43896</v>
      </c>
      <c r="F481" s="21">
        <v>45.58</v>
      </c>
      <c r="G481" s="12">
        <f t="shared" si="36"/>
        <v>-5.7875155022736754E-2</v>
      </c>
      <c r="H481" s="21">
        <v>45.75</v>
      </c>
      <c r="I481" s="12">
        <f t="shared" si="37"/>
        <v>-5.7672502574665239E-2</v>
      </c>
      <c r="J481" s="21">
        <v>45.92</v>
      </c>
      <c r="K481" s="12">
        <f t="shared" si="38"/>
        <v>-5.6309083436087037E-2</v>
      </c>
      <c r="L481" s="21">
        <v>46.05</v>
      </c>
      <c r="M481" s="12">
        <f t="shared" si="39"/>
        <v>-5.4996921814077566E-2</v>
      </c>
    </row>
    <row r="482" spans="1:13" x14ac:dyDescent="0.25">
      <c r="A482" s="23">
        <v>43903</v>
      </c>
      <c r="B482" s="21">
        <v>1.044</v>
      </c>
      <c r="C482" s="12">
        <f t="shared" si="35"/>
        <v>-0.30026809651474529</v>
      </c>
      <c r="D482" s="6"/>
      <c r="E482" s="23">
        <v>43903</v>
      </c>
      <c r="F482" s="21">
        <v>32.340000000000003</v>
      </c>
      <c r="G482" s="12">
        <f t="shared" si="36"/>
        <v>-0.29047827994734521</v>
      </c>
      <c r="H482" s="21">
        <v>32.74</v>
      </c>
      <c r="I482" s="12">
        <f t="shared" si="37"/>
        <v>-0.28437158469945351</v>
      </c>
      <c r="J482" s="21">
        <v>33.21</v>
      </c>
      <c r="K482" s="12">
        <f t="shared" si="38"/>
        <v>-0.2767857142857143</v>
      </c>
      <c r="L482" s="21">
        <v>33.74</v>
      </c>
      <c r="M482" s="12">
        <f t="shared" si="39"/>
        <v>-0.2673181324647122</v>
      </c>
    </row>
    <row r="483" spans="1:13" x14ac:dyDescent="0.25">
      <c r="A483" s="23">
        <v>43910</v>
      </c>
      <c r="B483" s="21">
        <v>0.66700000000000004</v>
      </c>
      <c r="C483" s="12">
        <f t="shared" si="35"/>
        <v>-0.3611111111111111</v>
      </c>
      <c r="D483" s="6"/>
      <c r="E483" s="23">
        <v>43910</v>
      </c>
      <c r="F483" s="21">
        <v>24.73</v>
      </c>
      <c r="G483" s="12">
        <f t="shared" si="36"/>
        <v>-0.23531230674087825</v>
      </c>
      <c r="H483" s="21">
        <v>25.14</v>
      </c>
      <c r="I483" s="12">
        <f t="shared" si="37"/>
        <v>-0.2321319486866219</v>
      </c>
      <c r="J483" s="21">
        <v>26.14</v>
      </c>
      <c r="K483" s="12">
        <f t="shared" si="38"/>
        <v>-0.21288768443239989</v>
      </c>
      <c r="L483" s="21">
        <v>27.26</v>
      </c>
      <c r="M483" s="12">
        <f t="shared" si="39"/>
        <v>-0.19205690574985182</v>
      </c>
    </row>
    <row r="484" spans="1:13" x14ac:dyDescent="0.25">
      <c r="A484" s="23">
        <v>43917</v>
      </c>
      <c r="B484" s="21">
        <v>0.499</v>
      </c>
      <c r="C484" s="12">
        <f t="shared" si="35"/>
        <v>-0.25187406296851578</v>
      </c>
      <c r="D484" s="6"/>
      <c r="E484" s="23">
        <v>43917</v>
      </c>
      <c r="F484" s="21">
        <v>23.19</v>
      </c>
      <c r="G484" s="12">
        <f t="shared" si="36"/>
        <v>-6.227254346947024E-2</v>
      </c>
      <c r="H484" s="21">
        <v>25.94</v>
      </c>
      <c r="I484" s="12">
        <f t="shared" si="37"/>
        <v>3.1821797931583164E-2</v>
      </c>
      <c r="J484" s="21">
        <v>28.17</v>
      </c>
      <c r="K484" s="12">
        <f t="shared" si="38"/>
        <v>7.7658760520275483E-2</v>
      </c>
      <c r="L484" s="21">
        <v>29.62</v>
      </c>
      <c r="M484" s="12">
        <f t="shared" si="39"/>
        <v>8.657373440939102E-2</v>
      </c>
    </row>
    <row r="485" spans="1:13" x14ac:dyDescent="0.25">
      <c r="A485" s="23">
        <v>43924</v>
      </c>
      <c r="B485" s="21">
        <v>0.52800000000000002</v>
      </c>
      <c r="C485" s="12">
        <f t="shared" si="35"/>
        <v>5.8116232464929911E-2</v>
      </c>
      <c r="D485" s="6"/>
      <c r="E485" s="23">
        <v>43924</v>
      </c>
      <c r="F485" s="21">
        <v>22.91</v>
      </c>
      <c r="G485" s="12">
        <f t="shared" si="36"/>
        <v>-1.2074169900819366E-2</v>
      </c>
      <c r="H485" s="21">
        <v>26.26</v>
      </c>
      <c r="I485" s="12">
        <f t="shared" si="37"/>
        <v>1.2336160370084821E-2</v>
      </c>
      <c r="J485" s="21">
        <v>28.75</v>
      </c>
      <c r="K485" s="12">
        <f t="shared" si="38"/>
        <v>2.0589279375221807E-2</v>
      </c>
      <c r="L485" s="21">
        <v>30.31</v>
      </c>
      <c r="M485" s="12">
        <f t="shared" si="39"/>
        <v>2.3295070898041784E-2</v>
      </c>
    </row>
    <row r="486" spans="1:13" x14ac:dyDescent="0.25">
      <c r="A486" s="23">
        <v>43931</v>
      </c>
      <c r="B486" s="21">
        <v>0.61</v>
      </c>
      <c r="C486" s="12">
        <f t="shared" si="35"/>
        <v>0.15530303030303022</v>
      </c>
      <c r="D486" s="6"/>
      <c r="E486" s="23">
        <v>43931</v>
      </c>
      <c r="F486" s="21">
        <v>24.39</v>
      </c>
      <c r="G486" s="12">
        <f t="shared" si="36"/>
        <v>6.4600611086861645E-2</v>
      </c>
      <c r="H486" s="21">
        <v>29.42</v>
      </c>
      <c r="I486" s="12">
        <f t="shared" si="37"/>
        <v>0.12033511043412033</v>
      </c>
      <c r="J486" s="21">
        <v>32.200000000000003</v>
      </c>
      <c r="K486" s="12">
        <f t="shared" si="38"/>
        <v>0.12000000000000009</v>
      </c>
      <c r="L486" s="21">
        <v>33.159999999999997</v>
      </c>
      <c r="M486" s="12">
        <f t="shared" si="39"/>
        <v>9.4028373474100896E-2</v>
      </c>
    </row>
    <row r="487" spans="1:13" x14ac:dyDescent="0.25">
      <c r="A487" s="23">
        <v>43938</v>
      </c>
      <c r="B487" s="21">
        <v>0.60899999999999999</v>
      </c>
      <c r="C487" s="12">
        <f t="shared" si="35"/>
        <v>-1.6393442622950835E-3</v>
      </c>
      <c r="D487" s="6"/>
      <c r="E487" s="23">
        <v>43938</v>
      </c>
      <c r="F487" s="21">
        <v>20.11</v>
      </c>
      <c r="G487" s="12">
        <f t="shared" si="36"/>
        <v>-0.17548175481754821</v>
      </c>
      <c r="H487" s="21">
        <v>26.65</v>
      </c>
      <c r="I487" s="12">
        <f t="shared" si="37"/>
        <v>-9.4153636981645236E-2</v>
      </c>
      <c r="J487" s="21">
        <v>30.75</v>
      </c>
      <c r="K487" s="12">
        <f t="shared" si="38"/>
        <v>-4.5031055900621203E-2</v>
      </c>
      <c r="L487" s="21">
        <v>32.369999999999997</v>
      </c>
      <c r="M487" s="12">
        <f t="shared" si="39"/>
        <v>-2.3823884197828687E-2</v>
      </c>
    </row>
    <row r="488" spans="1:13" x14ac:dyDescent="0.25">
      <c r="A488" s="23">
        <v>43945</v>
      </c>
      <c r="B488" s="21">
        <v>0.56799999999999995</v>
      </c>
      <c r="C488" s="12">
        <f t="shared" si="35"/>
        <v>-6.7323481116584621E-2</v>
      </c>
      <c r="D488" s="6"/>
      <c r="E488" s="23">
        <v>43945</v>
      </c>
      <c r="F488" s="21">
        <v>3.92</v>
      </c>
      <c r="G488" s="12">
        <f t="shared" si="36"/>
        <v>-0.80507210343112867</v>
      </c>
      <c r="H488" s="21">
        <v>19.07</v>
      </c>
      <c r="I488" s="12">
        <f t="shared" si="37"/>
        <v>-0.28442776735459657</v>
      </c>
      <c r="J488" s="21">
        <v>23.34</v>
      </c>
      <c r="K488" s="12">
        <f t="shared" si="38"/>
        <v>-0.24097560975609755</v>
      </c>
      <c r="L488" s="21">
        <v>25.5</v>
      </c>
      <c r="M488" s="12">
        <f t="shared" si="39"/>
        <v>-0.2122335495829471</v>
      </c>
    </row>
    <row r="489" spans="1:13" x14ac:dyDescent="0.25">
      <c r="A489" s="23">
        <v>43952</v>
      </c>
      <c r="B489" s="21">
        <v>0.65200000000000002</v>
      </c>
      <c r="C489" s="12">
        <f t="shared" si="35"/>
        <v>0.14788732394366211</v>
      </c>
      <c r="D489" s="6"/>
      <c r="E489" s="23">
        <v>43952</v>
      </c>
      <c r="F489" s="21">
        <v>15.76</v>
      </c>
      <c r="G489" s="12">
        <f t="shared" si="36"/>
        <v>3.0204081632653059</v>
      </c>
      <c r="H489" s="21">
        <v>19.79</v>
      </c>
      <c r="I489" s="12">
        <f t="shared" si="37"/>
        <v>3.7755637126376446E-2</v>
      </c>
      <c r="J489" s="21">
        <v>22.67</v>
      </c>
      <c r="K489" s="12">
        <f t="shared" si="38"/>
        <v>-2.8706083976006776E-2</v>
      </c>
      <c r="L489" s="21">
        <v>24.83</v>
      </c>
      <c r="M489" s="12">
        <f t="shared" si="39"/>
        <v>-2.6274509803921636E-2</v>
      </c>
    </row>
    <row r="490" spans="1:13" x14ac:dyDescent="0.25">
      <c r="A490" s="23">
        <v>43959</v>
      </c>
      <c r="B490" s="21">
        <v>0.82499999999999996</v>
      </c>
      <c r="C490" s="12">
        <f t="shared" si="35"/>
        <v>0.26533742331288335</v>
      </c>
      <c r="D490" s="6"/>
      <c r="E490" s="23">
        <v>43959</v>
      </c>
      <c r="F490" s="21">
        <v>23.45</v>
      </c>
      <c r="G490" s="12">
        <f t="shared" si="36"/>
        <v>0.4879441624365482</v>
      </c>
      <c r="H490" s="21">
        <v>25.18</v>
      </c>
      <c r="I490" s="12">
        <f t="shared" si="37"/>
        <v>0.27235977766548763</v>
      </c>
      <c r="J490" s="21">
        <v>26.86</v>
      </c>
      <c r="K490" s="12">
        <f t="shared" si="38"/>
        <v>0.18482576091751202</v>
      </c>
      <c r="L490" s="21">
        <v>28.17</v>
      </c>
      <c r="M490" s="12">
        <f t="shared" si="39"/>
        <v>0.13451469995972629</v>
      </c>
    </row>
    <row r="491" spans="1:13" x14ac:dyDescent="0.25">
      <c r="A491" s="23">
        <v>43966</v>
      </c>
      <c r="B491" s="21">
        <v>0.82799999999999996</v>
      </c>
      <c r="C491" s="12">
        <f t="shared" si="35"/>
        <v>3.6363636363636398E-3</v>
      </c>
      <c r="D491" s="6"/>
      <c r="E491" s="23">
        <v>43966</v>
      </c>
      <c r="F491" s="21">
        <v>26.44</v>
      </c>
      <c r="G491" s="12">
        <f t="shared" si="36"/>
        <v>0.12750533049040522</v>
      </c>
      <c r="H491" s="21">
        <v>26.9</v>
      </c>
      <c r="I491" s="12">
        <f t="shared" si="37"/>
        <v>6.8308181096107978E-2</v>
      </c>
      <c r="J491" s="21">
        <v>27.95</v>
      </c>
      <c r="K491" s="12">
        <f t="shared" si="38"/>
        <v>4.0580789277736409E-2</v>
      </c>
      <c r="L491" s="21">
        <v>28.91</v>
      </c>
      <c r="M491" s="12">
        <f t="shared" si="39"/>
        <v>2.6269080582179565E-2</v>
      </c>
    </row>
    <row r="492" spans="1:13" x14ac:dyDescent="0.25">
      <c r="A492" s="23">
        <v>43973</v>
      </c>
      <c r="B492" s="21">
        <v>0.96499999999999997</v>
      </c>
      <c r="C492" s="12">
        <f t="shared" si="35"/>
        <v>0.16545893719806765</v>
      </c>
      <c r="D492" s="6"/>
      <c r="E492" s="23">
        <v>43973</v>
      </c>
      <c r="F492" s="21">
        <v>33</v>
      </c>
      <c r="G492" s="12">
        <f t="shared" si="36"/>
        <v>0.24810892586989403</v>
      </c>
      <c r="H492" s="21">
        <v>33.11</v>
      </c>
      <c r="I492" s="12">
        <f t="shared" si="37"/>
        <v>0.23085501858736063</v>
      </c>
      <c r="J492" s="21">
        <v>33.61</v>
      </c>
      <c r="K492" s="12">
        <f t="shared" si="38"/>
        <v>0.20250447227191415</v>
      </c>
      <c r="L492" s="21">
        <v>34.03</v>
      </c>
      <c r="M492" s="12">
        <f t="shared" si="39"/>
        <v>0.17710134901418198</v>
      </c>
    </row>
    <row r="493" spans="1:13" x14ac:dyDescent="0.25">
      <c r="A493" s="23">
        <v>43980</v>
      </c>
      <c r="B493" s="21">
        <v>0.93799999999999994</v>
      </c>
      <c r="C493" s="12">
        <f t="shared" si="35"/>
        <v>-2.7979274611398989E-2</v>
      </c>
      <c r="D493" s="6"/>
      <c r="E493" s="23">
        <v>43980</v>
      </c>
      <c r="F493" s="21">
        <v>34.090000000000003</v>
      </c>
      <c r="G493" s="12">
        <f t="shared" si="36"/>
        <v>3.3030303030303132E-2</v>
      </c>
      <c r="H493" s="21">
        <v>34.479999999999997</v>
      </c>
      <c r="I493" s="12">
        <f t="shared" si="37"/>
        <v>4.1377227423738977E-2</v>
      </c>
      <c r="J493" s="21">
        <v>34.909999999999997</v>
      </c>
      <c r="K493" s="12">
        <f t="shared" si="38"/>
        <v>3.8678964593870789E-2</v>
      </c>
      <c r="L493" s="21">
        <v>35.21</v>
      </c>
      <c r="M493" s="12">
        <f t="shared" si="39"/>
        <v>3.4675286511901257E-2</v>
      </c>
    </row>
    <row r="494" spans="1:13" x14ac:dyDescent="0.25">
      <c r="A494" s="23">
        <v>43987</v>
      </c>
      <c r="B494" s="21">
        <v>1.0389999999999999</v>
      </c>
      <c r="C494" s="12">
        <f t="shared" si="35"/>
        <v>0.10767590618336885</v>
      </c>
      <c r="D494" s="6"/>
      <c r="E494" s="23">
        <v>43987</v>
      </c>
      <c r="F494" s="21">
        <v>37.299999999999997</v>
      </c>
      <c r="G494" s="12">
        <f t="shared" si="36"/>
        <v>9.4162511000293145E-2</v>
      </c>
      <c r="H494" s="21">
        <v>37.590000000000003</v>
      </c>
      <c r="I494" s="12">
        <f t="shared" si="37"/>
        <v>9.0197215777262377E-2</v>
      </c>
      <c r="J494" s="21">
        <v>37.880000000000003</v>
      </c>
      <c r="K494" s="12">
        <f t="shared" si="38"/>
        <v>8.5075909481524103E-2</v>
      </c>
      <c r="L494" s="21">
        <v>38.07</v>
      </c>
      <c r="M494" s="12">
        <f t="shared" si="39"/>
        <v>8.1226924169270076E-2</v>
      </c>
    </row>
    <row r="495" spans="1:13" x14ac:dyDescent="0.25">
      <c r="A495" s="23">
        <v>43994</v>
      </c>
      <c r="B495" s="21">
        <v>1.0920000000000001</v>
      </c>
      <c r="C495" s="12">
        <f t="shared" si="35"/>
        <v>5.1010587102983791E-2</v>
      </c>
      <c r="D495" s="6"/>
      <c r="E495" s="23">
        <v>43994</v>
      </c>
      <c r="F495" s="21">
        <v>37.869999999999997</v>
      </c>
      <c r="G495" s="12">
        <f t="shared" si="36"/>
        <v>1.5281501340482583E-2</v>
      </c>
      <c r="H495" s="21">
        <v>38.090000000000003</v>
      </c>
      <c r="I495" s="12">
        <f t="shared" si="37"/>
        <v>1.3301409949454642E-2</v>
      </c>
      <c r="J495" s="21">
        <v>38.32</v>
      </c>
      <c r="K495" s="12">
        <f t="shared" si="38"/>
        <v>1.1615628299894343E-2</v>
      </c>
      <c r="L495" s="21">
        <v>38.479999999999997</v>
      </c>
      <c r="M495" s="12">
        <f t="shared" si="39"/>
        <v>1.0769634883109971E-2</v>
      </c>
    </row>
    <row r="496" spans="1:13" x14ac:dyDescent="0.25">
      <c r="A496" s="23">
        <v>44001</v>
      </c>
      <c r="B496" s="21">
        <v>1.157</v>
      </c>
      <c r="C496" s="12">
        <f t="shared" si="35"/>
        <v>5.9523809523809472E-2</v>
      </c>
      <c r="D496" s="6"/>
      <c r="E496" s="23">
        <v>44001</v>
      </c>
      <c r="F496" s="21">
        <v>38.409999999999997</v>
      </c>
      <c r="G496" s="12">
        <f t="shared" si="36"/>
        <v>1.4259308159492981E-2</v>
      </c>
      <c r="H496" s="21">
        <v>38.630000000000003</v>
      </c>
      <c r="I496" s="12">
        <f t="shared" si="37"/>
        <v>1.4176949330532925E-2</v>
      </c>
      <c r="J496" s="21">
        <v>38.83</v>
      </c>
      <c r="K496" s="12">
        <f t="shared" si="38"/>
        <v>1.3308977035490553E-2</v>
      </c>
      <c r="L496" s="21">
        <v>39.01</v>
      </c>
      <c r="M496" s="12">
        <f t="shared" si="39"/>
        <v>1.3773388773388804E-2</v>
      </c>
    </row>
    <row r="497" spans="1:13" x14ac:dyDescent="0.25">
      <c r="A497" s="23">
        <v>44008</v>
      </c>
      <c r="B497" s="21">
        <v>1.1819999999999999</v>
      </c>
      <c r="C497" s="12">
        <f t="shared" si="35"/>
        <v>2.1607605877268721E-2</v>
      </c>
      <c r="D497" s="6"/>
      <c r="E497" s="23">
        <v>44008</v>
      </c>
      <c r="F497" s="21">
        <v>39.21</v>
      </c>
      <c r="G497" s="12">
        <f t="shared" si="36"/>
        <v>2.0827909398594229E-2</v>
      </c>
      <c r="H497" s="21">
        <v>39.4</v>
      </c>
      <c r="I497" s="12">
        <f t="shared" si="37"/>
        <v>1.9932694796789954E-2</v>
      </c>
      <c r="J497" s="21">
        <v>39.549999999999997</v>
      </c>
      <c r="K497" s="12">
        <f t="shared" si="38"/>
        <v>1.8542364151429278E-2</v>
      </c>
      <c r="L497" s="21">
        <v>39.69</v>
      </c>
      <c r="M497" s="12">
        <f t="shared" si="39"/>
        <v>1.7431427839015631E-2</v>
      </c>
    </row>
    <row r="498" spans="1:13" x14ac:dyDescent="0.25">
      <c r="A498" s="23">
        <v>44015</v>
      </c>
      <c r="B498" s="21">
        <v>1.173</v>
      </c>
      <c r="C498" s="12">
        <f t="shared" si="35"/>
        <v>-7.6142131979694567E-3</v>
      </c>
      <c r="D498" s="6"/>
      <c r="E498" s="23">
        <v>44015</v>
      </c>
      <c r="F498" s="21">
        <v>39.86</v>
      </c>
      <c r="G498" s="12">
        <f t="shared" si="36"/>
        <v>1.6577403723539878E-2</v>
      </c>
      <c r="H498" s="21">
        <v>39.96</v>
      </c>
      <c r="I498" s="12">
        <f t="shared" si="37"/>
        <v>1.4213197969543205E-2</v>
      </c>
      <c r="J498" s="21">
        <v>40.1</v>
      </c>
      <c r="K498" s="12">
        <f t="shared" si="38"/>
        <v>1.3906447534766228E-2</v>
      </c>
      <c r="L498" s="21">
        <v>40.22</v>
      </c>
      <c r="M498" s="12">
        <f t="shared" si="39"/>
        <v>1.3353489543965764E-2</v>
      </c>
    </row>
    <row r="499" spans="1:13" x14ac:dyDescent="0.25">
      <c r="A499" s="23">
        <v>44022</v>
      </c>
      <c r="B499" s="21">
        <v>1.2310000000000001</v>
      </c>
      <c r="C499" s="12">
        <f t="shared" si="35"/>
        <v>4.944586530264284E-2</v>
      </c>
      <c r="D499" s="6"/>
      <c r="E499" s="23">
        <v>44022</v>
      </c>
      <c r="F499" s="21">
        <v>40.46</v>
      </c>
      <c r="G499" s="12">
        <f t="shared" si="36"/>
        <v>1.5052684395383879E-2</v>
      </c>
      <c r="H499" s="21">
        <v>40.61</v>
      </c>
      <c r="I499" s="12">
        <f t="shared" si="37"/>
        <v>1.6266266266266229E-2</v>
      </c>
      <c r="J499" s="21">
        <v>40.770000000000003</v>
      </c>
      <c r="K499" s="12">
        <f t="shared" si="38"/>
        <v>1.6708229426433956E-2</v>
      </c>
      <c r="L499" s="21">
        <v>40.9</v>
      </c>
      <c r="M499" s="12">
        <f t="shared" si="39"/>
        <v>1.6907011437095967E-2</v>
      </c>
    </row>
    <row r="500" spans="1:13" x14ac:dyDescent="0.25">
      <c r="A500" s="23">
        <v>44029</v>
      </c>
      <c r="B500" s="21">
        <v>1.2210000000000001</v>
      </c>
      <c r="C500" s="12">
        <f t="shared" si="35"/>
        <v>-8.1234768480909891E-3</v>
      </c>
      <c r="D500" s="6"/>
      <c r="E500" s="23">
        <v>44029</v>
      </c>
      <c r="F500" s="21">
        <v>40.590000000000003</v>
      </c>
      <c r="G500" s="12">
        <f t="shared" si="36"/>
        <v>3.2130499258527572E-3</v>
      </c>
      <c r="H500" s="21">
        <v>40.79</v>
      </c>
      <c r="I500" s="12">
        <f t="shared" si="37"/>
        <v>4.4324058113765011E-3</v>
      </c>
      <c r="J500" s="21">
        <v>40.97</v>
      </c>
      <c r="K500" s="12">
        <f t="shared" si="38"/>
        <v>4.9055678194749996E-3</v>
      </c>
      <c r="L500" s="21">
        <v>41.11</v>
      </c>
      <c r="M500" s="12">
        <f t="shared" si="39"/>
        <v>5.1344743276283827E-3</v>
      </c>
    </row>
    <row r="501" spans="1:13" x14ac:dyDescent="0.25">
      <c r="A501" s="23">
        <v>44036</v>
      </c>
      <c r="B501" s="21">
        <v>1.238</v>
      </c>
      <c r="C501" s="12">
        <f t="shared" si="35"/>
        <v>1.3923013923013844E-2</v>
      </c>
      <c r="D501" s="6"/>
      <c r="E501" s="23">
        <v>44036</v>
      </c>
      <c r="F501" s="21">
        <v>41.41</v>
      </c>
      <c r="G501" s="12">
        <f t="shared" si="36"/>
        <v>2.0202020202020034E-2</v>
      </c>
      <c r="H501" s="21">
        <v>41.51</v>
      </c>
      <c r="I501" s="12">
        <f t="shared" si="37"/>
        <v>1.7651385143417478E-2</v>
      </c>
      <c r="J501" s="21">
        <v>41.67</v>
      </c>
      <c r="K501" s="12">
        <f t="shared" si="38"/>
        <v>1.7085672443251231E-2</v>
      </c>
      <c r="L501" s="21">
        <v>41.8</v>
      </c>
      <c r="M501" s="12">
        <f t="shared" si="39"/>
        <v>1.6784237411821886E-2</v>
      </c>
    </row>
    <row r="502" spans="1:13" x14ac:dyDescent="0.25">
      <c r="A502" s="23">
        <v>44043</v>
      </c>
      <c r="B502" s="21">
        <v>1.2</v>
      </c>
      <c r="C502" s="12">
        <f t="shared" si="35"/>
        <v>-3.069466882067854E-2</v>
      </c>
      <c r="D502" s="6"/>
      <c r="E502" s="23">
        <v>44043</v>
      </c>
      <c r="F502" s="21">
        <v>40.82</v>
      </c>
      <c r="G502" s="12">
        <f t="shared" si="36"/>
        <v>-1.424776624003855E-2</v>
      </c>
      <c r="H502" s="21">
        <v>41.09</v>
      </c>
      <c r="I502" s="12">
        <f t="shared" si="37"/>
        <v>-1.0118043844856532E-2</v>
      </c>
      <c r="J502" s="21">
        <v>41.37</v>
      </c>
      <c r="K502" s="12">
        <f t="shared" si="38"/>
        <v>-7.1994240460764155E-3</v>
      </c>
      <c r="L502" s="21">
        <v>41.62</v>
      </c>
      <c r="M502" s="12">
        <f t="shared" si="39"/>
        <v>-4.3062200956937736E-3</v>
      </c>
    </row>
    <row r="503" spans="1:13" x14ac:dyDescent="0.25">
      <c r="A503" s="23">
        <v>44050</v>
      </c>
      <c r="B503" s="21">
        <v>1.1859999999999999</v>
      </c>
      <c r="C503" s="12">
        <f t="shared" si="35"/>
        <v>-1.1666666666666678E-2</v>
      </c>
      <c r="D503" s="6"/>
      <c r="E503" s="23">
        <v>44050</v>
      </c>
      <c r="F503" s="21">
        <v>41.61</v>
      </c>
      <c r="G503" s="12">
        <f t="shared" si="36"/>
        <v>1.935325820676137E-2</v>
      </c>
      <c r="H503" s="21">
        <v>41.87</v>
      </c>
      <c r="I503" s="12">
        <f t="shared" si="37"/>
        <v>1.8982720856655973E-2</v>
      </c>
      <c r="J503" s="21">
        <v>42.21</v>
      </c>
      <c r="K503" s="12">
        <f t="shared" si="38"/>
        <v>2.0304568527918867E-2</v>
      </c>
      <c r="L503" s="21">
        <v>42.51</v>
      </c>
      <c r="M503" s="12">
        <f t="shared" si="39"/>
        <v>2.1383950024026925E-2</v>
      </c>
    </row>
    <row r="504" spans="1:13" x14ac:dyDescent="0.25">
      <c r="A504" s="23">
        <v>44057</v>
      </c>
      <c r="B504" s="21">
        <v>1.212</v>
      </c>
      <c r="C504" s="12">
        <f t="shared" si="35"/>
        <v>2.1922428330522787E-2</v>
      </c>
      <c r="D504" s="6"/>
      <c r="E504" s="23">
        <v>44057</v>
      </c>
      <c r="F504" s="21">
        <v>42.09</v>
      </c>
      <c r="G504" s="12">
        <f t="shared" si="36"/>
        <v>1.1535688536409613E-2</v>
      </c>
      <c r="H504" s="21">
        <v>42.36</v>
      </c>
      <c r="I504" s="12">
        <f t="shared" si="37"/>
        <v>1.1702889897301219E-2</v>
      </c>
      <c r="J504" s="21">
        <v>42.69</v>
      </c>
      <c r="K504" s="12">
        <f t="shared" si="38"/>
        <v>1.1371712864250103E-2</v>
      </c>
      <c r="L504" s="21">
        <v>43</v>
      </c>
      <c r="M504" s="12">
        <f t="shared" si="39"/>
        <v>1.1526699600094142E-2</v>
      </c>
    </row>
    <row r="505" spans="1:13" x14ac:dyDescent="0.25">
      <c r="A505" s="23">
        <v>44064</v>
      </c>
      <c r="B505" s="21">
        <v>1.274</v>
      </c>
      <c r="C505" s="12">
        <f t="shared" si="35"/>
        <v>5.1155115511551205E-2</v>
      </c>
      <c r="D505" s="6"/>
      <c r="E505" s="23">
        <v>44064</v>
      </c>
      <c r="F505" s="21">
        <v>42.73</v>
      </c>
      <c r="G505" s="12">
        <f t="shared" si="36"/>
        <v>1.5205511998099155E-2</v>
      </c>
      <c r="H505" s="21">
        <v>42.97</v>
      </c>
      <c r="I505" s="12">
        <f t="shared" si="37"/>
        <v>1.4400377714825293E-2</v>
      </c>
      <c r="J505" s="21">
        <v>43.27</v>
      </c>
      <c r="K505" s="12">
        <f t="shared" si="38"/>
        <v>1.3586319981260376E-2</v>
      </c>
      <c r="L505" s="21">
        <v>43.57</v>
      </c>
      <c r="M505" s="12">
        <f t="shared" si="39"/>
        <v>1.3255813953488379E-2</v>
      </c>
    </row>
    <row r="506" spans="1:13" x14ac:dyDescent="0.25">
      <c r="A506" s="23">
        <v>44071</v>
      </c>
      <c r="B506" s="21">
        <v>1.323</v>
      </c>
      <c r="C506" s="12">
        <f t="shared" si="35"/>
        <v>3.8461538461538408E-2</v>
      </c>
      <c r="D506" s="6"/>
      <c r="E506" s="23">
        <v>44071</v>
      </c>
      <c r="F506" s="21">
        <v>43.07</v>
      </c>
      <c r="G506" s="12">
        <f t="shared" si="36"/>
        <v>7.9569389187924972E-3</v>
      </c>
      <c r="H506" s="21">
        <v>43.37</v>
      </c>
      <c r="I506" s="12">
        <f t="shared" si="37"/>
        <v>9.3088201070513979E-3</v>
      </c>
      <c r="J506" s="21">
        <v>43.69</v>
      </c>
      <c r="K506" s="12">
        <f t="shared" si="38"/>
        <v>9.7064941067713101E-3</v>
      </c>
      <c r="L506" s="21">
        <v>44</v>
      </c>
      <c r="M506" s="12">
        <f t="shared" si="39"/>
        <v>9.8691760385586341E-3</v>
      </c>
    </row>
    <row r="507" spans="1:13" x14ac:dyDescent="0.25">
      <c r="A507" s="23">
        <v>44078</v>
      </c>
      <c r="B507" s="21">
        <v>1.2490000000000001</v>
      </c>
      <c r="C507" s="12">
        <f t="shared" si="35"/>
        <v>-5.5933484504912957E-2</v>
      </c>
      <c r="D507" s="6"/>
      <c r="E507" s="23">
        <v>44078</v>
      </c>
      <c r="F507" s="21">
        <v>41.6</v>
      </c>
      <c r="G507" s="12">
        <f t="shared" si="36"/>
        <v>-3.4130485256559061E-2</v>
      </c>
      <c r="H507" s="21">
        <v>41.94</v>
      </c>
      <c r="I507" s="12">
        <f t="shared" si="37"/>
        <v>-3.2972100530320493E-2</v>
      </c>
      <c r="J507" s="21">
        <v>42.31</v>
      </c>
      <c r="K507" s="12">
        <f t="shared" si="38"/>
        <v>-3.1586175326161488E-2</v>
      </c>
      <c r="L507" s="21">
        <v>42.68</v>
      </c>
      <c r="M507" s="12">
        <f t="shared" si="39"/>
        <v>-3.0000000000000006E-2</v>
      </c>
    </row>
    <row r="508" spans="1:13" x14ac:dyDescent="0.25">
      <c r="A508" s="23">
        <v>44085</v>
      </c>
      <c r="B508" s="21">
        <v>1.155</v>
      </c>
      <c r="C508" s="12">
        <f t="shared" si="35"/>
        <v>-7.5260208166533282E-2</v>
      </c>
      <c r="D508" s="6"/>
      <c r="E508" s="23">
        <v>44085</v>
      </c>
      <c r="F508" s="21">
        <v>37.36</v>
      </c>
      <c r="G508" s="12">
        <f t="shared" si="36"/>
        <v>-0.10192307692307696</v>
      </c>
      <c r="H508" s="21">
        <v>37.729999999999997</v>
      </c>
      <c r="I508" s="12">
        <f t="shared" si="37"/>
        <v>-0.10038149737720556</v>
      </c>
      <c r="J508" s="21">
        <v>38.19</v>
      </c>
      <c r="K508" s="12">
        <f t="shared" si="38"/>
        <v>-9.7376506735996321E-2</v>
      </c>
      <c r="L508" s="21">
        <v>38.68</v>
      </c>
      <c r="M508" s="12">
        <f t="shared" si="39"/>
        <v>-9.3720712277413312E-2</v>
      </c>
    </row>
    <row r="509" spans="1:13" x14ac:dyDescent="0.25">
      <c r="A509" s="23">
        <v>44092</v>
      </c>
      <c r="B509" s="21">
        <v>1.2350000000000001</v>
      </c>
      <c r="C509" s="12">
        <f t="shared" si="35"/>
        <v>6.926406926406932E-2</v>
      </c>
      <c r="D509" s="6"/>
      <c r="E509" s="23">
        <v>44092</v>
      </c>
      <c r="F509" s="21">
        <v>39.56</v>
      </c>
      <c r="G509" s="12">
        <f t="shared" si="36"/>
        <v>5.8886509635974381E-2</v>
      </c>
      <c r="H509" s="21">
        <v>39.81</v>
      </c>
      <c r="I509" s="12">
        <f t="shared" si="37"/>
        <v>5.5128544924463438E-2</v>
      </c>
      <c r="J509" s="21">
        <v>40.159999999999997</v>
      </c>
      <c r="K509" s="12">
        <f t="shared" si="38"/>
        <v>5.1584184341450616E-2</v>
      </c>
      <c r="L509" s="21">
        <v>40.549999999999997</v>
      </c>
      <c r="M509" s="12">
        <f t="shared" si="39"/>
        <v>4.8345398138572838E-2</v>
      </c>
    </row>
    <row r="510" spans="1:13" x14ac:dyDescent="0.25">
      <c r="A510" s="23">
        <v>44099</v>
      </c>
      <c r="B510" s="21">
        <v>1.238</v>
      </c>
      <c r="C510" s="12">
        <f t="shared" si="35"/>
        <v>2.4291497975707623E-3</v>
      </c>
      <c r="D510" s="6"/>
      <c r="E510" s="23">
        <v>44099</v>
      </c>
      <c r="F510" s="21">
        <v>39.880000000000003</v>
      </c>
      <c r="G510" s="12">
        <f t="shared" si="36"/>
        <v>8.0889787664307454E-3</v>
      </c>
      <c r="H510" s="21">
        <v>40.130000000000003</v>
      </c>
      <c r="I510" s="12">
        <f t="shared" si="37"/>
        <v>8.0381813614669746E-3</v>
      </c>
      <c r="J510" s="21">
        <v>40.44</v>
      </c>
      <c r="K510" s="12">
        <f t="shared" si="38"/>
        <v>6.9721115537848891E-3</v>
      </c>
      <c r="L510" s="21">
        <v>40.76</v>
      </c>
      <c r="M510" s="12">
        <f t="shared" si="39"/>
        <v>5.1787916152897873E-3</v>
      </c>
    </row>
    <row r="511" spans="1:13" x14ac:dyDescent="0.25">
      <c r="A511" s="23">
        <v>44106</v>
      </c>
      <c r="B511" s="21">
        <v>1.236</v>
      </c>
      <c r="C511" s="12">
        <f t="shared" si="35"/>
        <v>-1.6155088852988705E-3</v>
      </c>
      <c r="D511" s="6"/>
      <c r="E511" s="23">
        <v>44106</v>
      </c>
      <c r="F511" s="21">
        <v>39.18</v>
      </c>
      <c r="G511" s="12">
        <f t="shared" si="36"/>
        <v>-1.7552657973921835E-2</v>
      </c>
      <c r="H511" s="21">
        <v>39.450000000000003</v>
      </c>
      <c r="I511" s="12">
        <f t="shared" si="37"/>
        <v>-1.6944928980812353E-2</v>
      </c>
      <c r="J511" s="21">
        <v>39.79</v>
      </c>
      <c r="K511" s="12">
        <f t="shared" si="38"/>
        <v>-1.6073194856577613E-2</v>
      </c>
      <c r="L511" s="21">
        <v>40.15</v>
      </c>
      <c r="M511" s="12">
        <f t="shared" si="39"/>
        <v>-1.4965652600588799E-2</v>
      </c>
    </row>
    <row r="512" spans="1:13" x14ac:dyDescent="0.25">
      <c r="A512" s="23">
        <v>44113</v>
      </c>
      <c r="B512" s="21">
        <v>1.2669999999999999</v>
      </c>
      <c r="C512" s="12">
        <f t="shared" si="35"/>
        <v>2.5080906148867245E-2</v>
      </c>
      <c r="D512" s="6"/>
      <c r="E512" s="23">
        <v>44113</v>
      </c>
      <c r="F512" s="21">
        <v>40.33</v>
      </c>
      <c r="G512" s="12">
        <f t="shared" si="36"/>
        <v>2.9351710056151063E-2</v>
      </c>
      <c r="H512" s="21">
        <v>40.61</v>
      </c>
      <c r="I512" s="12">
        <f t="shared" si="37"/>
        <v>2.940430925221791E-2</v>
      </c>
      <c r="J512" s="21">
        <v>40.97</v>
      </c>
      <c r="K512" s="12">
        <f t="shared" si="38"/>
        <v>2.9655692385021356E-2</v>
      </c>
      <c r="L512" s="21">
        <v>41.31</v>
      </c>
      <c r="M512" s="12">
        <f t="shared" si="39"/>
        <v>2.8891656288916656E-2</v>
      </c>
    </row>
    <row r="513" spans="1:13" x14ac:dyDescent="0.25">
      <c r="A513" s="23">
        <v>44120</v>
      </c>
      <c r="B513" s="21">
        <v>1.23</v>
      </c>
      <c r="C513" s="12">
        <f t="shared" si="35"/>
        <v>-2.920284135753743E-2</v>
      </c>
      <c r="D513" s="6"/>
      <c r="E513" s="23">
        <v>44120</v>
      </c>
      <c r="F513" s="21">
        <v>40.5</v>
      </c>
      <c r="G513" s="12">
        <f t="shared" si="36"/>
        <v>4.21522439871068E-3</v>
      </c>
      <c r="H513" s="21">
        <v>40.78</v>
      </c>
      <c r="I513" s="12">
        <f t="shared" si="37"/>
        <v>4.1861610440778558E-3</v>
      </c>
      <c r="J513" s="21">
        <v>41.12</v>
      </c>
      <c r="K513" s="12">
        <f t="shared" si="38"/>
        <v>3.6612155235537852E-3</v>
      </c>
      <c r="L513" s="21">
        <v>41.43</v>
      </c>
      <c r="M513" s="12">
        <f t="shared" si="39"/>
        <v>2.9048656499636272E-3</v>
      </c>
    </row>
    <row r="514" spans="1:13" x14ac:dyDescent="0.25">
      <c r="A514" s="23">
        <v>44127</v>
      </c>
      <c r="B514" s="21">
        <v>1.1919999999999999</v>
      </c>
      <c r="C514" s="12">
        <f t="shared" si="35"/>
        <v>-3.0894308943089459E-2</v>
      </c>
      <c r="D514" s="6"/>
      <c r="E514" s="23">
        <v>44127</v>
      </c>
      <c r="F514" s="21">
        <v>40.56</v>
      </c>
      <c r="G514" s="12">
        <f t="shared" si="36"/>
        <v>1.4814814814815376E-3</v>
      </c>
      <c r="H514" s="21">
        <v>40.83</v>
      </c>
      <c r="I514" s="12">
        <f t="shared" si="37"/>
        <v>1.2260912211867867E-3</v>
      </c>
      <c r="J514" s="21">
        <v>41.12</v>
      </c>
      <c r="K514" s="12">
        <f t="shared" si="38"/>
        <v>0</v>
      </c>
      <c r="L514" s="21">
        <v>41.4</v>
      </c>
      <c r="M514" s="12">
        <f t="shared" si="39"/>
        <v>-7.2411296162204052E-4</v>
      </c>
    </row>
    <row r="515" spans="1:13" x14ac:dyDescent="0.25">
      <c r="A515" s="23">
        <v>44134</v>
      </c>
      <c r="B515" s="21">
        <v>1.1160000000000001</v>
      </c>
      <c r="C515" s="12">
        <f t="shared" si="35"/>
        <v>-6.3758389261744833E-2</v>
      </c>
      <c r="D515" s="6"/>
      <c r="E515" s="23">
        <v>44134</v>
      </c>
      <c r="F515" s="21">
        <v>37.5</v>
      </c>
      <c r="G515" s="12">
        <f t="shared" si="36"/>
        <v>-7.5443786982248573E-2</v>
      </c>
      <c r="H515" s="21">
        <v>37.83</v>
      </c>
      <c r="I515" s="12">
        <f t="shared" si="37"/>
        <v>-7.3475385745775168E-2</v>
      </c>
      <c r="J515" s="21">
        <v>38.18</v>
      </c>
      <c r="K515" s="12">
        <f t="shared" si="38"/>
        <v>-7.1498054474708125E-2</v>
      </c>
      <c r="L515" s="21">
        <v>38.54</v>
      </c>
      <c r="M515" s="12">
        <f t="shared" si="39"/>
        <v>-6.9082125603864716E-2</v>
      </c>
    </row>
    <row r="516" spans="1:13" x14ac:dyDescent="0.25">
      <c r="A516" s="23">
        <v>44141</v>
      </c>
      <c r="B516" s="21">
        <v>1.1220000000000001</v>
      </c>
      <c r="C516" s="12">
        <f t="shared" si="35"/>
        <v>5.3763440860215093E-3</v>
      </c>
      <c r="D516" s="6"/>
      <c r="E516" s="23">
        <v>44141</v>
      </c>
      <c r="F516" s="21">
        <v>37.909999999999997</v>
      </c>
      <c r="G516" s="12">
        <f t="shared" si="36"/>
        <v>1.0933333333333243E-2</v>
      </c>
      <c r="H516" s="21">
        <v>38.25</v>
      </c>
      <c r="I516" s="12">
        <f t="shared" si="37"/>
        <v>1.1102299762093622E-2</v>
      </c>
      <c r="J516" s="21">
        <v>38.659999999999997</v>
      </c>
      <c r="K516" s="12">
        <f t="shared" si="38"/>
        <v>1.2572027239392269E-2</v>
      </c>
      <c r="L516" s="21">
        <v>39.07</v>
      </c>
      <c r="M516" s="12">
        <f t="shared" si="39"/>
        <v>1.3751946030098629E-2</v>
      </c>
    </row>
    <row r="517" spans="1:13" x14ac:dyDescent="0.25">
      <c r="A517" s="23">
        <v>44148</v>
      </c>
      <c r="B517" s="21">
        <v>1.1930000000000001</v>
      </c>
      <c r="C517" s="12">
        <f t="shared" ref="C517:C576" si="40">(B517-B516)/B516</f>
        <v>6.3279857397504413E-2</v>
      </c>
      <c r="D517" s="6"/>
      <c r="E517" s="23">
        <v>44148</v>
      </c>
      <c r="F517" s="21">
        <v>40.869999999999997</v>
      </c>
      <c r="G517" s="12">
        <f t="shared" ref="G517:G576" si="41">(F517-F516)/F516</f>
        <v>7.8079662358216853E-2</v>
      </c>
      <c r="H517" s="21">
        <v>41.17</v>
      </c>
      <c r="I517" s="12">
        <f t="shared" ref="I517:I576" si="42">(H517-H516)/H516</f>
        <v>7.6339869281045802E-2</v>
      </c>
      <c r="J517" s="21">
        <v>41.49</v>
      </c>
      <c r="K517" s="12">
        <f t="shared" ref="K517:K576" si="43">(J517-J516)/J516</f>
        <v>7.3202276254526785E-2</v>
      </c>
      <c r="L517" s="21">
        <v>41.8</v>
      </c>
      <c r="M517" s="12">
        <f t="shared" ref="M517:M576" si="44">(L517-L516)/L516</f>
        <v>6.9874584079856583E-2</v>
      </c>
    </row>
    <row r="518" spans="1:13" x14ac:dyDescent="0.25">
      <c r="A518" s="23">
        <v>44155</v>
      </c>
      <c r="B518" s="21">
        <v>1.1890000000000001</v>
      </c>
      <c r="C518" s="12">
        <f t="shared" si="40"/>
        <v>-3.3528918692372197E-3</v>
      </c>
      <c r="D518" s="6"/>
      <c r="E518" s="23">
        <v>44155</v>
      </c>
      <c r="F518" s="21">
        <v>41.7</v>
      </c>
      <c r="G518" s="12">
        <f t="shared" si="41"/>
        <v>2.030829459261085E-2</v>
      </c>
      <c r="H518" s="21">
        <v>41.91</v>
      </c>
      <c r="I518" s="12">
        <f t="shared" si="42"/>
        <v>1.7974253096915103E-2</v>
      </c>
      <c r="J518" s="21">
        <v>42.14</v>
      </c>
      <c r="K518" s="12">
        <f t="shared" si="43"/>
        <v>1.5666425644733636E-2</v>
      </c>
      <c r="L518" s="21">
        <v>42.39</v>
      </c>
      <c r="M518" s="12">
        <f t="shared" si="44"/>
        <v>1.411483253588525E-2</v>
      </c>
    </row>
    <row r="519" spans="1:13" x14ac:dyDescent="0.25">
      <c r="A519" s="23">
        <v>44162</v>
      </c>
      <c r="B519" s="21">
        <v>1.272</v>
      </c>
      <c r="C519" s="12">
        <f t="shared" si="40"/>
        <v>6.9806560134566834E-2</v>
      </c>
      <c r="D519" s="6"/>
      <c r="E519" s="23">
        <v>44162</v>
      </c>
      <c r="F519" s="21">
        <v>44.56</v>
      </c>
      <c r="G519" s="12">
        <f t="shared" si="41"/>
        <v>6.8585131894484397E-2</v>
      </c>
      <c r="H519" s="21">
        <v>44.77</v>
      </c>
      <c r="I519" s="12">
        <f t="shared" si="42"/>
        <v>6.8241469816273131E-2</v>
      </c>
      <c r="J519" s="21">
        <v>44.91</v>
      </c>
      <c r="K519" s="12">
        <f t="shared" si="43"/>
        <v>6.5733270052206833E-2</v>
      </c>
      <c r="L519" s="21">
        <v>45.02</v>
      </c>
      <c r="M519" s="12">
        <f t="shared" si="44"/>
        <v>6.2042934654399681E-2</v>
      </c>
    </row>
    <row r="520" spans="1:13" x14ac:dyDescent="0.25">
      <c r="A520" s="23">
        <v>44169</v>
      </c>
      <c r="B520" s="21">
        <v>1.2749999999999999</v>
      </c>
      <c r="C520" s="12">
        <f t="shared" si="40"/>
        <v>2.3584905660376508E-3</v>
      </c>
      <c r="D520" s="6"/>
      <c r="E520" s="23">
        <v>44169</v>
      </c>
      <c r="F520" s="21">
        <v>45.41</v>
      </c>
      <c r="G520" s="12">
        <f t="shared" si="41"/>
        <v>1.9075403949730573E-2</v>
      </c>
      <c r="H520" s="21">
        <v>45.58</v>
      </c>
      <c r="I520" s="12">
        <f t="shared" si="42"/>
        <v>1.8092472637927074E-2</v>
      </c>
      <c r="J520" s="21">
        <v>45.71</v>
      </c>
      <c r="K520" s="12">
        <f t="shared" si="43"/>
        <v>1.7813404586951777E-2</v>
      </c>
      <c r="L520" s="21">
        <v>45.78</v>
      </c>
      <c r="M520" s="12">
        <f t="shared" si="44"/>
        <v>1.6881386050644112E-2</v>
      </c>
    </row>
    <row r="521" spans="1:13" x14ac:dyDescent="0.25">
      <c r="A521" s="23">
        <v>44176</v>
      </c>
      <c r="B521" s="21">
        <v>1.3140000000000001</v>
      </c>
      <c r="C521" s="12">
        <f t="shared" si="40"/>
        <v>3.0588235294117763E-2</v>
      </c>
      <c r="D521" s="6"/>
      <c r="E521" s="23">
        <v>44176</v>
      </c>
      <c r="F521" s="21">
        <v>46.05</v>
      </c>
      <c r="G521" s="12">
        <f t="shared" si="41"/>
        <v>1.4093811935696997E-2</v>
      </c>
      <c r="H521" s="21">
        <v>46.24</v>
      </c>
      <c r="I521" s="12">
        <f t="shared" si="42"/>
        <v>1.4480035103115484E-2</v>
      </c>
      <c r="J521" s="21">
        <v>46.37</v>
      </c>
      <c r="K521" s="12">
        <f t="shared" si="43"/>
        <v>1.4438853642528912E-2</v>
      </c>
      <c r="L521" s="21">
        <v>46.48</v>
      </c>
      <c r="M521" s="12">
        <f t="shared" si="44"/>
        <v>1.5290519877675747E-2</v>
      </c>
    </row>
    <row r="522" spans="1:13" x14ac:dyDescent="0.25">
      <c r="A522" s="23">
        <v>44183</v>
      </c>
      <c r="B522" s="21">
        <v>1.3879999999999999</v>
      </c>
      <c r="C522" s="12">
        <f t="shared" si="40"/>
        <v>5.6316590563165785E-2</v>
      </c>
      <c r="D522" s="6"/>
      <c r="E522" s="23">
        <v>44183</v>
      </c>
      <c r="F522" s="21">
        <v>47.98</v>
      </c>
      <c r="G522" s="12">
        <f t="shared" si="41"/>
        <v>4.1910966340933761E-2</v>
      </c>
      <c r="H522" s="21">
        <v>48.14</v>
      </c>
      <c r="I522" s="12">
        <f t="shared" si="42"/>
        <v>4.1089965397923846E-2</v>
      </c>
      <c r="J522" s="21">
        <v>48.25</v>
      </c>
      <c r="K522" s="12">
        <f t="shared" si="43"/>
        <v>4.0543454819926737E-2</v>
      </c>
      <c r="L522" s="21">
        <v>48.33</v>
      </c>
      <c r="M522" s="12">
        <f t="shared" si="44"/>
        <v>3.9802065404475076E-2</v>
      </c>
    </row>
    <row r="523" spans="1:13" x14ac:dyDescent="0.25">
      <c r="A523" s="23">
        <v>44190</v>
      </c>
      <c r="B523" s="21">
        <v>1.397</v>
      </c>
      <c r="C523" s="12">
        <f t="shared" si="40"/>
        <v>6.484149855907867E-3</v>
      </c>
      <c r="D523" s="6"/>
      <c r="E523" s="23">
        <v>44190</v>
      </c>
      <c r="F523" s="21">
        <v>47.78</v>
      </c>
      <c r="G523" s="12">
        <f t="shared" si="41"/>
        <v>-4.168403501458853E-3</v>
      </c>
      <c r="H523" s="21">
        <v>47.93</v>
      </c>
      <c r="I523" s="12">
        <f t="shared" si="42"/>
        <v>-4.3622766929788297E-3</v>
      </c>
      <c r="J523" s="21">
        <v>48.03</v>
      </c>
      <c r="K523" s="12">
        <f t="shared" si="43"/>
        <v>-4.559585492227956E-3</v>
      </c>
      <c r="L523" s="21">
        <v>48.08</v>
      </c>
      <c r="M523" s="12">
        <f t="shared" si="44"/>
        <v>-5.1727705358990276E-3</v>
      </c>
    </row>
    <row r="524" spans="1:13" x14ac:dyDescent="0.25">
      <c r="A524" s="23">
        <v>44197</v>
      </c>
      <c r="B524" s="21">
        <v>1.4219999999999999</v>
      </c>
      <c r="C524" s="12">
        <f t="shared" si="40"/>
        <v>1.7895490336435154E-2</v>
      </c>
      <c r="D524" s="6"/>
      <c r="E524" s="23">
        <v>44197</v>
      </c>
      <c r="F524" s="21">
        <v>48.14</v>
      </c>
      <c r="G524" s="12">
        <f t="shared" si="41"/>
        <v>7.5345332775219633E-3</v>
      </c>
      <c r="H524" s="21">
        <v>48.26</v>
      </c>
      <c r="I524" s="12">
        <f t="shared" si="42"/>
        <v>6.8850406843312811E-3</v>
      </c>
      <c r="J524" s="21">
        <v>48.35</v>
      </c>
      <c r="K524" s="12">
        <f t="shared" si="43"/>
        <v>6.6625026025400845E-3</v>
      </c>
      <c r="L524" s="21">
        <v>48.38</v>
      </c>
      <c r="M524" s="12">
        <f t="shared" si="44"/>
        <v>6.2396006655574933E-3</v>
      </c>
    </row>
    <row r="525" spans="1:13" x14ac:dyDescent="0.25">
      <c r="A525" s="23">
        <v>44204</v>
      </c>
      <c r="B525" s="21">
        <v>1.496</v>
      </c>
      <c r="C525" s="12">
        <f t="shared" si="40"/>
        <v>5.2039381153305253E-2</v>
      </c>
      <c r="D525" s="6"/>
      <c r="E525" s="23">
        <v>44204</v>
      </c>
      <c r="F525" s="21">
        <v>50.25</v>
      </c>
      <c r="G525" s="12">
        <f t="shared" si="41"/>
        <v>4.3830494391358527E-2</v>
      </c>
      <c r="H525" s="21">
        <v>50.32</v>
      </c>
      <c r="I525" s="12">
        <f t="shared" si="42"/>
        <v>4.2685453791960266E-2</v>
      </c>
      <c r="J525" s="21">
        <v>50.32</v>
      </c>
      <c r="K525" s="12">
        <f t="shared" si="43"/>
        <v>4.0744570837642165E-2</v>
      </c>
      <c r="L525" s="21">
        <v>50.25</v>
      </c>
      <c r="M525" s="12">
        <f t="shared" si="44"/>
        <v>3.8652335675899076E-2</v>
      </c>
    </row>
    <row r="526" spans="1:13" x14ac:dyDescent="0.25">
      <c r="A526" s="23">
        <v>44211</v>
      </c>
      <c r="B526" s="21">
        <v>1.573</v>
      </c>
      <c r="C526" s="12">
        <f t="shared" si="40"/>
        <v>5.1470588235294087E-2</v>
      </c>
      <c r="D526" s="6"/>
      <c r="E526" s="23">
        <v>44211</v>
      </c>
      <c r="F526" s="21">
        <v>52.86</v>
      </c>
      <c r="G526" s="12">
        <f t="shared" si="41"/>
        <v>5.1940298507462672E-2</v>
      </c>
      <c r="H526" s="21">
        <v>52.9</v>
      </c>
      <c r="I526" s="12">
        <f t="shared" si="42"/>
        <v>5.127186009538947E-2</v>
      </c>
      <c r="J526" s="21">
        <v>52.83</v>
      </c>
      <c r="K526" s="12">
        <f t="shared" si="43"/>
        <v>4.9880763116057193E-2</v>
      </c>
      <c r="L526" s="21">
        <v>52.69</v>
      </c>
      <c r="M526" s="12">
        <f t="shared" si="44"/>
        <v>4.855721393034821E-2</v>
      </c>
    </row>
    <row r="527" spans="1:13" x14ac:dyDescent="0.25">
      <c r="A527" s="23">
        <v>44218</v>
      </c>
      <c r="B527" s="21">
        <v>1.581</v>
      </c>
      <c r="C527" s="12">
        <f t="shared" si="40"/>
        <v>5.0858232676414539E-3</v>
      </c>
      <c r="D527" s="6"/>
      <c r="E527" s="23">
        <v>44218</v>
      </c>
      <c r="F527" s="21">
        <v>52.91</v>
      </c>
      <c r="G527" s="12">
        <f t="shared" si="41"/>
        <v>9.4589481649635183E-4</v>
      </c>
      <c r="H527" s="21">
        <v>52.88</v>
      </c>
      <c r="I527" s="12">
        <f t="shared" si="42"/>
        <v>-3.7807183364831797E-4</v>
      </c>
      <c r="J527" s="21">
        <v>52.75</v>
      </c>
      <c r="K527" s="12">
        <f t="shared" si="43"/>
        <v>-1.5142911224682624E-3</v>
      </c>
      <c r="L527" s="21">
        <v>52.54</v>
      </c>
      <c r="M527" s="12">
        <f t="shared" si="44"/>
        <v>-2.8468400075915465E-3</v>
      </c>
    </row>
    <row r="528" spans="1:13" x14ac:dyDescent="0.25">
      <c r="A528" s="23">
        <v>44225</v>
      </c>
      <c r="B528" s="21">
        <v>1.6060000000000001</v>
      </c>
      <c r="C528" s="12">
        <f t="shared" si="40"/>
        <v>1.5812776723592749E-2</v>
      </c>
      <c r="D528" s="6"/>
      <c r="E528" s="23">
        <v>44225</v>
      </c>
      <c r="F528" s="21">
        <v>52.55</v>
      </c>
      <c r="G528" s="12">
        <f t="shared" si="41"/>
        <v>-6.8040068040067939E-3</v>
      </c>
      <c r="H528" s="21">
        <v>52.45</v>
      </c>
      <c r="I528" s="12">
        <f t="shared" si="42"/>
        <v>-8.1316187594553651E-3</v>
      </c>
      <c r="J528" s="21">
        <v>52.27</v>
      </c>
      <c r="K528" s="12">
        <f t="shared" si="43"/>
        <v>-9.0995260663506508E-3</v>
      </c>
      <c r="L528" s="21">
        <v>52.02</v>
      </c>
      <c r="M528" s="12">
        <f t="shared" si="44"/>
        <v>-9.8972211648267229E-3</v>
      </c>
    </row>
    <row r="529" spans="1:13" x14ac:dyDescent="0.25">
      <c r="A529" s="23">
        <v>44232</v>
      </c>
      <c r="B529" s="21">
        <v>1.665</v>
      </c>
      <c r="C529" s="12">
        <f t="shared" si="40"/>
        <v>3.6737235367372313E-2</v>
      </c>
      <c r="D529" s="6"/>
      <c r="E529" s="23">
        <v>44232</v>
      </c>
      <c r="F529" s="21">
        <v>55.42</v>
      </c>
      <c r="G529" s="12">
        <f t="shared" si="41"/>
        <v>5.4614652711703231E-2</v>
      </c>
      <c r="H529" s="21">
        <v>55.27</v>
      </c>
      <c r="I529" s="12">
        <f t="shared" si="42"/>
        <v>5.3765490943755961E-2</v>
      </c>
      <c r="J529" s="21">
        <v>55.01</v>
      </c>
      <c r="K529" s="12">
        <f t="shared" si="43"/>
        <v>5.2420126267457332E-2</v>
      </c>
      <c r="L529" s="21">
        <v>54.65</v>
      </c>
      <c r="M529" s="12">
        <f t="shared" si="44"/>
        <v>5.0557477893117944E-2</v>
      </c>
    </row>
    <row r="530" spans="1:13" x14ac:dyDescent="0.25">
      <c r="A530" s="23">
        <v>44239</v>
      </c>
      <c r="B530" s="21">
        <v>1.6850000000000001</v>
      </c>
      <c r="C530" s="12">
        <f t="shared" si="40"/>
        <v>1.2012012012012022E-2</v>
      </c>
      <c r="D530" s="6"/>
      <c r="E530" s="23">
        <v>44239</v>
      </c>
      <c r="F530" s="21">
        <v>58.54</v>
      </c>
      <c r="G530" s="12">
        <f t="shared" si="41"/>
        <v>5.629736557199562E-2</v>
      </c>
      <c r="H530" s="21">
        <v>58.43</v>
      </c>
      <c r="I530" s="12">
        <f t="shared" si="42"/>
        <v>5.7173873710873825E-2</v>
      </c>
      <c r="J530" s="21">
        <v>58.15</v>
      </c>
      <c r="K530" s="12">
        <f t="shared" si="43"/>
        <v>5.7080530812579543E-2</v>
      </c>
      <c r="L530" s="21">
        <v>57.74</v>
      </c>
      <c r="M530" s="12">
        <f t="shared" si="44"/>
        <v>5.6541628545288262E-2</v>
      </c>
    </row>
    <row r="531" spans="1:13" x14ac:dyDescent="0.25">
      <c r="A531" s="23">
        <v>44246</v>
      </c>
      <c r="B531" s="21">
        <v>1.8069999999999999</v>
      </c>
      <c r="C531" s="12">
        <f t="shared" si="40"/>
        <v>7.2403560830860469E-2</v>
      </c>
      <c r="D531" s="6"/>
      <c r="E531" s="23">
        <v>44246</v>
      </c>
      <c r="F531" s="21">
        <v>60.24</v>
      </c>
      <c r="G531" s="12">
        <f t="shared" si="41"/>
        <v>2.9039972668261069E-2</v>
      </c>
      <c r="H531" s="21">
        <v>60.26</v>
      </c>
      <c r="I531" s="12">
        <f t="shared" si="42"/>
        <v>3.1319527639910978E-2</v>
      </c>
      <c r="J531" s="21">
        <v>59.95</v>
      </c>
      <c r="K531" s="12">
        <f t="shared" si="43"/>
        <v>3.0954428202923549E-2</v>
      </c>
      <c r="L531" s="21">
        <v>59.46</v>
      </c>
      <c r="M531" s="12">
        <f t="shared" si="44"/>
        <v>2.97887080013855E-2</v>
      </c>
    </row>
    <row r="532" spans="1:13" x14ac:dyDescent="0.25">
      <c r="A532" s="23">
        <v>44253</v>
      </c>
      <c r="B532" s="21">
        <v>1.897</v>
      </c>
      <c r="C532" s="12">
        <f t="shared" si="40"/>
        <v>4.9806308799114601E-2</v>
      </c>
      <c r="D532" s="6"/>
      <c r="E532" s="23">
        <v>44253</v>
      </c>
      <c r="F532" s="21">
        <v>62.28</v>
      </c>
      <c r="G532" s="12">
        <f t="shared" si="41"/>
        <v>3.3864541832669307E-2</v>
      </c>
      <c r="H532" s="21">
        <v>62.12</v>
      </c>
      <c r="I532" s="12">
        <f t="shared" si="42"/>
        <v>3.086624626617988E-2</v>
      </c>
      <c r="J532" s="21">
        <v>61.66</v>
      </c>
      <c r="K532" s="12">
        <f t="shared" si="43"/>
        <v>2.8523769808173373E-2</v>
      </c>
      <c r="L532" s="21">
        <v>61.08</v>
      </c>
      <c r="M532" s="12">
        <f t="shared" si="44"/>
        <v>2.7245206861755758E-2</v>
      </c>
    </row>
    <row r="533" spans="1:13" x14ac:dyDescent="0.25">
      <c r="A533" s="23">
        <v>44260</v>
      </c>
      <c r="B533" s="21">
        <v>1.94</v>
      </c>
      <c r="C533" s="12">
        <f t="shared" si="40"/>
        <v>2.2667369530838127E-2</v>
      </c>
      <c r="D533" s="6"/>
      <c r="E533" s="23">
        <v>44260</v>
      </c>
      <c r="F533" s="21">
        <v>62.32</v>
      </c>
      <c r="G533" s="12">
        <f t="shared" si="41"/>
        <v>6.4226075786768058E-4</v>
      </c>
      <c r="H533" s="21">
        <v>62.13</v>
      </c>
      <c r="I533" s="12">
        <f t="shared" si="42"/>
        <v>1.6097875080497612E-4</v>
      </c>
      <c r="J533" s="21">
        <v>61.68</v>
      </c>
      <c r="K533" s="12">
        <f t="shared" si="43"/>
        <v>3.2435939020439714E-4</v>
      </c>
      <c r="L533" s="21">
        <v>61.1</v>
      </c>
      <c r="M533" s="12">
        <f t="shared" si="44"/>
        <v>3.2743942370666546E-4</v>
      </c>
    </row>
    <row r="534" spans="1:13" x14ac:dyDescent="0.25">
      <c r="A534" s="23">
        <v>44267</v>
      </c>
      <c r="B534" s="21">
        <v>2.081</v>
      </c>
      <c r="C534" s="12">
        <f t="shared" si="40"/>
        <v>7.2680412371134026E-2</v>
      </c>
      <c r="D534" s="6"/>
      <c r="E534" s="23">
        <v>44267</v>
      </c>
      <c r="F534" s="21">
        <v>65.03</v>
      </c>
      <c r="G534" s="12">
        <f t="shared" si="41"/>
        <v>4.3485237483953804E-2</v>
      </c>
      <c r="H534" s="21">
        <v>65</v>
      </c>
      <c r="I534" s="12">
        <f t="shared" si="42"/>
        <v>4.6193465314662764E-2</v>
      </c>
      <c r="J534" s="21">
        <v>64.66</v>
      </c>
      <c r="K534" s="12">
        <f t="shared" si="43"/>
        <v>4.8313878080414992E-2</v>
      </c>
      <c r="L534" s="21">
        <v>64.13</v>
      </c>
      <c r="M534" s="12">
        <f t="shared" si="44"/>
        <v>4.9590834697217576E-2</v>
      </c>
    </row>
    <row r="535" spans="1:13" x14ac:dyDescent="0.25">
      <c r="A535" s="23">
        <v>44274</v>
      </c>
      <c r="B535" s="21">
        <v>2.04</v>
      </c>
      <c r="C535" s="12">
        <f t="shared" si="40"/>
        <v>-1.9702066314271949E-2</v>
      </c>
      <c r="D535" s="6"/>
      <c r="E535" s="23">
        <v>44274</v>
      </c>
      <c r="F535" s="21">
        <v>63.24</v>
      </c>
      <c r="G535" s="12">
        <f t="shared" si="41"/>
        <v>-2.7525757342764863E-2</v>
      </c>
      <c r="H535" s="21">
        <v>63.29</v>
      </c>
      <c r="I535" s="12">
        <f t="shared" si="42"/>
        <v>-2.630769230769232E-2</v>
      </c>
      <c r="J535" s="21">
        <v>63.12</v>
      </c>
      <c r="K535" s="12">
        <f t="shared" si="43"/>
        <v>-2.381688833900401E-2</v>
      </c>
      <c r="L535" s="21">
        <v>62.74</v>
      </c>
      <c r="M535" s="12">
        <f t="shared" si="44"/>
        <v>-2.1674723218462397E-2</v>
      </c>
    </row>
    <row r="536" spans="1:13" x14ac:dyDescent="0.25">
      <c r="A536" s="23">
        <v>44281</v>
      </c>
      <c r="B536" s="21">
        <v>1.9079999999999999</v>
      </c>
      <c r="C536" s="12">
        <f t="shared" si="40"/>
        <v>-6.4705882352941238E-2</v>
      </c>
      <c r="D536" s="6"/>
      <c r="E536" s="23">
        <v>44281</v>
      </c>
      <c r="F536" s="21">
        <v>60</v>
      </c>
      <c r="G536" s="12">
        <f t="shared" si="41"/>
        <v>-5.1233396584440261E-2</v>
      </c>
      <c r="H536" s="21">
        <v>60.01</v>
      </c>
      <c r="I536" s="12">
        <f t="shared" si="42"/>
        <v>-5.1824932848791298E-2</v>
      </c>
      <c r="J536" s="21">
        <v>59.85</v>
      </c>
      <c r="K536" s="12">
        <f t="shared" si="43"/>
        <v>-5.180608365019005E-2</v>
      </c>
      <c r="L536" s="21">
        <v>59.54</v>
      </c>
      <c r="M536" s="12">
        <f t="shared" si="44"/>
        <v>-5.1004144086707087E-2</v>
      </c>
    </row>
    <row r="537" spans="1:13" x14ac:dyDescent="0.25">
      <c r="A537" s="23">
        <v>44288</v>
      </c>
      <c r="B537" s="21">
        <v>1.9590000000000001</v>
      </c>
      <c r="C537" s="12">
        <f t="shared" si="40"/>
        <v>2.6729559748427757E-2</v>
      </c>
      <c r="D537" s="6"/>
      <c r="E537" s="23">
        <v>44288</v>
      </c>
      <c r="F537" s="21">
        <v>60.68</v>
      </c>
      <c r="G537" s="12">
        <f t="shared" si="41"/>
        <v>1.1333333333333329E-2</v>
      </c>
      <c r="H537" s="21">
        <v>60.69</v>
      </c>
      <c r="I537" s="12">
        <f t="shared" si="42"/>
        <v>1.1331444759206794E-2</v>
      </c>
      <c r="J537" s="21">
        <v>60.51</v>
      </c>
      <c r="K537" s="12">
        <f t="shared" si="43"/>
        <v>1.1027568922305707E-2</v>
      </c>
      <c r="L537" s="21">
        <v>60.14</v>
      </c>
      <c r="M537" s="12">
        <f t="shared" si="44"/>
        <v>1.0077258985555953E-2</v>
      </c>
    </row>
    <row r="538" spans="1:13" x14ac:dyDescent="0.25">
      <c r="A538" s="23">
        <v>44295</v>
      </c>
      <c r="B538" s="21">
        <v>1.9450000000000001</v>
      </c>
      <c r="C538" s="12">
        <f t="shared" si="40"/>
        <v>-7.1465033180194036E-3</v>
      </c>
      <c r="D538" s="6"/>
      <c r="E538" s="23">
        <v>44295</v>
      </c>
      <c r="F538" s="21">
        <v>59.33</v>
      </c>
      <c r="G538" s="12">
        <f t="shared" si="41"/>
        <v>-2.2247857613711296E-2</v>
      </c>
      <c r="H538" s="21">
        <v>59.37</v>
      </c>
      <c r="I538" s="12">
        <f t="shared" si="42"/>
        <v>-2.1749876421156705E-2</v>
      </c>
      <c r="J538" s="21">
        <v>59.29</v>
      </c>
      <c r="K538" s="12">
        <f t="shared" si="43"/>
        <v>-2.0161956701371657E-2</v>
      </c>
      <c r="L538" s="21">
        <v>59.06</v>
      </c>
      <c r="M538" s="12">
        <f t="shared" si="44"/>
        <v>-1.7958097771865619E-2</v>
      </c>
    </row>
    <row r="539" spans="1:13" x14ac:dyDescent="0.25">
      <c r="A539" s="23">
        <v>44302</v>
      </c>
      <c r="B539" s="21">
        <v>2.0030000000000001</v>
      </c>
      <c r="C539" s="12">
        <f t="shared" si="40"/>
        <v>2.9820051413881773E-2</v>
      </c>
      <c r="D539" s="6"/>
      <c r="E539" s="23">
        <v>44302</v>
      </c>
      <c r="F539" s="21">
        <v>61.92</v>
      </c>
      <c r="G539" s="12">
        <f t="shared" si="41"/>
        <v>4.3654137872914264E-2</v>
      </c>
      <c r="H539" s="21">
        <v>61.98</v>
      </c>
      <c r="I539" s="12">
        <f t="shared" si="42"/>
        <v>4.396159676604345E-2</v>
      </c>
      <c r="J539" s="21">
        <v>61.9</v>
      </c>
      <c r="K539" s="12">
        <f t="shared" si="43"/>
        <v>4.4020914150784268E-2</v>
      </c>
      <c r="L539" s="21">
        <v>61.65</v>
      </c>
      <c r="M539" s="12">
        <f t="shared" si="44"/>
        <v>4.3853708093464207E-2</v>
      </c>
    </row>
    <row r="540" spans="1:13" x14ac:dyDescent="0.25">
      <c r="A540" s="23">
        <v>44309</v>
      </c>
      <c r="B540" s="21">
        <v>1.9790000000000001</v>
      </c>
      <c r="C540" s="12">
        <f t="shared" si="40"/>
        <v>-1.1982026959560669E-2</v>
      </c>
      <c r="D540" s="6"/>
      <c r="E540" s="23">
        <v>44309</v>
      </c>
      <c r="F540" s="21">
        <v>62.15</v>
      </c>
      <c r="G540" s="12">
        <f t="shared" si="41"/>
        <v>3.7144702842376756E-3</v>
      </c>
      <c r="H540" s="21">
        <v>62.15</v>
      </c>
      <c r="I540" s="12">
        <f t="shared" si="42"/>
        <v>2.7428202646015121E-3</v>
      </c>
      <c r="J540" s="21">
        <v>61.94</v>
      </c>
      <c r="K540" s="12">
        <f t="shared" si="43"/>
        <v>6.4620355411953393E-4</v>
      </c>
      <c r="L540" s="21">
        <v>61.6</v>
      </c>
      <c r="M540" s="12">
        <f t="shared" si="44"/>
        <v>-8.1103000811025402E-4</v>
      </c>
    </row>
    <row r="541" spans="1:13" x14ac:dyDescent="0.25">
      <c r="A541" s="23">
        <v>44316</v>
      </c>
      <c r="B541" s="21">
        <v>2.0230000000000001</v>
      </c>
      <c r="C541" s="12">
        <f t="shared" si="40"/>
        <v>2.2233451237999007E-2</v>
      </c>
      <c r="D541" s="6"/>
      <c r="E541" s="23">
        <v>44316</v>
      </c>
      <c r="F541" s="21">
        <v>63.46</v>
      </c>
      <c r="G541" s="12">
        <f t="shared" si="41"/>
        <v>2.1078037007240584E-2</v>
      </c>
      <c r="H541" s="21">
        <v>63.34</v>
      </c>
      <c r="I541" s="12">
        <f t="shared" si="42"/>
        <v>1.9147224456959048E-2</v>
      </c>
      <c r="J541" s="21">
        <v>63.02</v>
      </c>
      <c r="K541" s="12">
        <f t="shared" si="43"/>
        <v>1.7436228608330731E-2</v>
      </c>
      <c r="L541" s="21">
        <v>62.57</v>
      </c>
      <c r="M541" s="12">
        <f t="shared" si="44"/>
        <v>1.5746753246753228E-2</v>
      </c>
    </row>
    <row r="542" spans="1:13" x14ac:dyDescent="0.25">
      <c r="A542" s="23">
        <v>44323</v>
      </c>
      <c r="B542" s="21">
        <v>2.12</v>
      </c>
      <c r="C542" s="12">
        <f t="shared" si="40"/>
        <v>4.7948591201186344E-2</v>
      </c>
      <c r="D542" s="6"/>
      <c r="E542" s="23">
        <v>44323</v>
      </c>
      <c r="F542" s="21">
        <v>65.08</v>
      </c>
      <c r="G542" s="12">
        <f t="shared" si="41"/>
        <v>2.5527891585250512E-2</v>
      </c>
      <c r="H542" s="21">
        <v>65.03</v>
      </c>
      <c r="I542" s="12">
        <f t="shared" si="42"/>
        <v>2.6681401957688627E-2</v>
      </c>
      <c r="J542" s="21">
        <v>64.790000000000006</v>
      </c>
      <c r="K542" s="12">
        <f t="shared" si="43"/>
        <v>2.8086321802602395E-2</v>
      </c>
      <c r="L542" s="21">
        <v>64.38</v>
      </c>
      <c r="M542" s="12">
        <f t="shared" si="44"/>
        <v>2.8927601086782728E-2</v>
      </c>
    </row>
    <row r="543" spans="1:13" x14ac:dyDescent="0.25">
      <c r="A543" s="23">
        <v>44330</v>
      </c>
      <c r="B543" s="21">
        <v>2.1349999999999998</v>
      </c>
      <c r="C543" s="12">
        <f t="shared" si="40"/>
        <v>7.0754716981130568E-3</v>
      </c>
      <c r="D543" s="6"/>
      <c r="E543" s="23">
        <v>44330</v>
      </c>
      <c r="F543" s="21">
        <v>65.09</v>
      </c>
      <c r="G543" s="12">
        <f t="shared" si="41"/>
        <v>1.5365703749239577E-4</v>
      </c>
      <c r="H543" s="21">
        <v>65.11</v>
      </c>
      <c r="I543" s="12">
        <f t="shared" si="42"/>
        <v>1.2302014454866723E-3</v>
      </c>
      <c r="J543" s="21">
        <v>64.95</v>
      </c>
      <c r="K543" s="12">
        <f t="shared" si="43"/>
        <v>2.4695169007562367E-3</v>
      </c>
      <c r="L543" s="21">
        <v>64.64</v>
      </c>
      <c r="M543" s="12">
        <f t="shared" si="44"/>
        <v>4.0385212799006701E-3</v>
      </c>
    </row>
    <row r="544" spans="1:13" x14ac:dyDescent="0.25">
      <c r="A544" s="23">
        <v>44337</v>
      </c>
      <c r="B544" s="21">
        <v>2.105</v>
      </c>
      <c r="C544" s="12">
        <f t="shared" si="40"/>
        <v>-1.405152224824347E-2</v>
      </c>
      <c r="D544" s="6"/>
      <c r="E544" s="23">
        <v>44337</v>
      </c>
      <c r="F544" s="21">
        <v>64.150000000000006</v>
      </c>
      <c r="G544" s="12">
        <f t="shared" si="41"/>
        <v>-1.4441542479643535E-2</v>
      </c>
      <c r="H544" s="21">
        <v>64.09</v>
      </c>
      <c r="I544" s="12">
        <f t="shared" si="42"/>
        <v>-1.5665796344647459E-2</v>
      </c>
      <c r="J544" s="21">
        <v>63.87</v>
      </c>
      <c r="K544" s="12">
        <f t="shared" si="43"/>
        <v>-1.6628175519630566E-2</v>
      </c>
      <c r="L544" s="21">
        <v>63.5</v>
      </c>
      <c r="M544" s="12">
        <f t="shared" si="44"/>
        <v>-1.7636138613861395E-2</v>
      </c>
    </row>
    <row r="545" spans="1:13" x14ac:dyDescent="0.25">
      <c r="A545" s="23">
        <v>44344</v>
      </c>
      <c r="B545" s="21">
        <v>2.1059999999999999</v>
      </c>
      <c r="C545" s="12">
        <f t="shared" si="40"/>
        <v>4.7505938242275054E-4</v>
      </c>
      <c r="D545" s="6"/>
      <c r="E545" s="23">
        <v>44344</v>
      </c>
      <c r="F545" s="21">
        <v>66.3</v>
      </c>
      <c r="G545" s="12">
        <f t="shared" si="41"/>
        <v>3.3515198752922699E-2</v>
      </c>
      <c r="H545" s="21">
        <v>66.05</v>
      </c>
      <c r="I545" s="12">
        <f t="shared" si="42"/>
        <v>3.0581994070837785E-2</v>
      </c>
      <c r="J545" s="21">
        <v>65.569999999999993</v>
      </c>
      <c r="K545" s="12">
        <f t="shared" si="43"/>
        <v>2.6616564897447875E-2</v>
      </c>
      <c r="L545" s="21">
        <v>65.03</v>
      </c>
      <c r="M545" s="12">
        <f t="shared" si="44"/>
        <v>2.4094488188976394E-2</v>
      </c>
    </row>
    <row r="546" spans="1:13" x14ac:dyDescent="0.25">
      <c r="A546" s="23">
        <v>44351</v>
      </c>
      <c r="B546" s="21">
        <v>2.1560000000000001</v>
      </c>
      <c r="C546" s="12">
        <f t="shared" si="40"/>
        <v>2.3741690408357202E-2</v>
      </c>
      <c r="D546" s="6"/>
      <c r="E546" s="23">
        <v>44351</v>
      </c>
      <c r="F546" s="21">
        <v>68.75</v>
      </c>
      <c r="G546" s="12">
        <f t="shared" si="41"/>
        <v>3.6953242835595819E-2</v>
      </c>
      <c r="H546" s="21">
        <v>68.540000000000006</v>
      </c>
      <c r="I546" s="12">
        <f t="shared" si="42"/>
        <v>3.7698713096139425E-2</v>
      </c>
      <c r="J546" s="21">
        <v>68.069999999999993</v>
      </c>
      <c r="K546" s="12">
        <f t="shared" si="43"/>
        <v>3.8127192313558031E-2</v>
      </c>
      <c r="L546" s="21">
        <v>67.45</v>
      </c>
      <c r="M546" s="12">
        <f t="shared" si="44"/>
        <v>3.7213593725972653E-2</v>
      </c>
    </row>
    <row r="547" spans="1:13" x14ac:dyDescent="0.25">
      <c r="A547" s="23">
        <v>44358</v>
      </c>
      <c r="B547" s="21">
        <v>2.1619999999999999</v>
      </c>
      <c r="C547" s="12">
        <f t="shared" si="40"/>
        <v>2.7829313543598251E-3</v>
      </c>
      <c r="D547" s="6"/>
      <c r="E547" s="23">
        <v>44358</v>
      </c>
      <c r="F547" s="21">
        <v>70.09</v>
      </c>
      <c r="G547" s="12">
        <f t="shared" si="41"/>
        <v>1.9490909090909142E-2</v>
      </c>
      <c r="H547" s="21">
        <v>69.88</v>
      </c>
      <c r="I547" s="12">
        <f t="shared" si="42"/>
        <v>1.9550627370878159E-2</v>
      </c>
      <c r="J547" s="21">
        <v>69.36</v>
      </c>
      <c r="K547" s="12">
        <f t="shared" si="43"/>
        <v>1.8951079770824244E-2</v>
      </c>
      <c r="L547" s="21">
        <v>68.69</v>
      </c>
      <c r="M547" s="12">
        <f t="shared" si="44"/>
        <v>1.8383988139362414E-2</v>
      </c>
    </row>
    <row r="548" spans="1:13" x14ac:dyDescent="0.25">
      <c r="A548" s="23">
        <v>44365</v>
      </c>
      <c r="B548" s="21">
        <v>2.121</v>
      </c>
      <c r="C548" s="12">
        <f t="shared" si="40"/>
        <v>-1.8963922294172028E-2</v>
      </c>
      <c r="D548" s="6"/>
      <c r="E548" s="23">
        <v>44365</v>
      </c>
      <c r="F548" s="21">
        <v>71.569999999999993</v>
      </c>
      <c r="G548" s="12">
        <f t="shared" si="41"/>
        <v>2.1115708374946349E-2</v>
      </c>
      <c r="H548" s="21">
        <v>71.3</v>
      </c>
      <c r="I548" s="12">
        <f t="shared" si="42"/>
        <v>2.0320549513451656E-2</v>
      </c>
      <c r="J548" s="21">
        <v>70.58</v>
      </c>
      <c r="K548" s="12">
        <f t="shared" si="43"/>
        <v>1.7589388696655116E-2</v>
      </c>
      <c r="L548" s="21">
        <v>69.760000000000005</v>
      </c>
      <c r="M548" s="12">
        <f t="shared" si="44"/>
        <v>1.5577231037996905E-2</v>
      </c>
    </row>
    <row r="549" spans="1:13" x14ac:dyDescent="0.25">
      <c r="A549" s="23">
        <v>44372</v>
      </c>
      <c r="B549" s="21">
        <v>2.2080000000000002</v>
      </c>
      <c r="C549" s="12">
        <f t="shared" si="40"/>
        <v>4.1018387553041109E-2</v>
      </c>
      <c r="D549" s="6"/>
      <c r="E549" s="23">
        <v>44372</v>
      </c>
      <c r="F549" s="21">
        <v>73.430000000000007</v>
      </c>
      <c r="G549" s="12">
        <f t="shared" si="41"/>
        <v>2.5988542685482938E-2</v>
      </c>
      <c r="H549" s="21">
        <v>72.86</v>
      </c>
      <c r="I549" s="12">
        <f t="shared" si="42"/>
        <v>2.1879382889200594E-2</v>
      </c>
      <c r="J549" s="21">
        <v>71.94</v>
      </c>
      <c r="K549" s="12">
        <f t="shared" si="43"/>
        <v>1.9268914706715774E-2</v>
      </c>
      <c r="L549" s="21">
        <v>71.02</v>
      </c>
      <c r="M549" s="12">
        <f t="shared" si="44"/>
        <v>1.8061926605504455E-2</v>
      </c>
    </row>
    <row r="550" spans="1:13" x14ac:dyDescent="0.25">
      <c r="A550" s="23">
        <v>44379</v>
      </c>
      <c r="B550" s="21">
        <v>2.2210000000000001</v>
      </c>
      <c r="C550" s="12">
        <f t="shared" si="40"/>
        <v>5.887681159420244E-3</v>
      </c>
      <c r="D550" s="6"/>
      <c r="E550" s="23">
        <v>44379</v>
      </c>
      <c r="F550" s="21">
        <v>73.95</v>
      </c>
      <c r="G550" s="12">
        <f t="shared" si="41"/>
        <v>7.0815742884379135E-3</v>
      </c>
      <c r="H550" s="21">
        <v>73.19</v>
      </c>
      <c r="I550" s="12">
        <f t="shared" si="42"/>
        <v>4.5292341476804599E-3</v>
      </c>
      <c r="J550" s="21">
        <v>72.16</v>
      </c>
      <c r="K550" s="12">
        <f t="shared" si="43"/>
        <v>3.0581039755351526E-3</v>
      </c>
      <c r="L550" s="21">
        <v>71.27</v>
      </c>
      <c r="M550" s="12">
        <f t="shared" si="44"/>
        <v>3.5201351731906508E-3</v>
      </c>
    </row>
    <row r="551" spans="1:13" x14ac:dyDescent="0.25">
      <c r="A551" s="23">
        <v>44386</v>
      </c>
      <c r="B551" s="21">
        <v>2.2200000000000002</v>
      </c>
      <c r="C551" s="12">
        <f t="shared" si="40"/>
        <v>-4.5024763619986034E-4</v>
      </c>
      <c r="D551" s="6"/>
      <c r="E551" s="23">
        <v>44386</v>
      </c>
      <c r="F551" s="21">
        <v>73.27</v>
      </c>
      <c r="G551" s="12">
        <f t="shared" si="41"/>
        <v>-9.1954022988506665E-3</v>
      </c>
      <c r="H551" s="21">
        <v>72.53</v>
      </c>
      <c r="I551" s="12">
        <f t="shared" si="42"/>
        <v>-9.0176253586555077E-3</v>
      </c>
      <c r="J551" s="21">
        <v>71.430000000000007</v>
      </c>
      <c r="K551" s="12">
        <f t="shared" si="43"/>
        <v>-1.0116407982261499E-2</v>
      </c>
      <c r="L551" s="21">
        <v>70.430000000000007</v>
      </c>
      <c r="M551" s="12">
        <f t="shared" si="44"/>
        <v>-1.1786165286936849E-2</v>
      </c>
    </row>
    <row r="552" spans="1:13" x14ac:dyDescent="0.25">
      <c r="A552" s="23">
        <v>44393</v>
      </c>
      <c r="B552" s="21">
        <v>2.2679999999999998</v>
      </c>
      <c r="C552" s="12">
        <f t="shared" si="40"/>
        <v>2.1621621621621439E-2</v>
      </c>
      <c r="D552" s="6"/>
      <c r="E552" s="23">
        <v>44393</v>
      </c>
      <c r="F552" s="21">
        <v>73.19</v>
      </c>
      <c r="G552" s="12">
        <f t="shared" si="41"/>
        <v>-1.0918520540466534E-3</v>
      </c>
      <c r="H552" s="21">
        <v>72.739999999999995</v>
      </c>
      <c r="I552" s="12">
        <f t="shared" si="42"/>
        <v>2.8953536467667689E-3</v>
      </c>
      <c r="J552" s="21">
        <v>71.86</v>
      </c>
      <c r="K552" s="12">
        <f t="shared" si="43"/>
        <v>6.0198796024078481E-3</v>
      </c>
      <c r="L552" s="21">
        <v>71</v>
      </c>
      <c r="M552" s="12">
        <f t="shared" si="44"/>
        <v>8.0931421269344467E-3</v>
      </c>
    </row>
    <row r="553" spans="1:13" x14ac:dyDescent="0.25">
      <c r="A553" s="23">
        <v>44400</v>
      </c>
      <c r="B553" s="21">
        <v>2.2040000000000002</v>
      </c>
      <c r="C553" s="12">
        <f t="shared" si="40"/>
        <v>-2.8218694885361384E-2</v>
      </c>
      <c r="D553" s="6"/>
      <c r="E553" s="23">
        <v>44400</v>
      </c>
      <c r="F553" s="21">
        <v>69.62</v>
      </c>
      <c r="G553" s="12">
        <f t="shared" si="41"/>
        <v>-4.8777155349091314E-2</v>
      </c>
      <c r="H553" s="21">
        <v>69.13</v>
      </c>
      <c r="I553" s="12">
        <f t="shared" si="42"/>
        <v>-4.9628814957382451E-2</v>
      </c>
      <c r="J553" s="21">
        <v>68.39</v>
      </c>
      <c r="K553" s="12">
        <f t="shared" si="43"/>
        <v>-4.8288338435847462E-2</v>
      </c>
      <c r="L553" s="21">
        <v>67.64</v>
      </c>
      <c r="M553" s="12">
        <f t="shared" si="44"/>
        <v>-4.7323943661971825E-2</v>
      </c>
    </row>
    <row r="554" spans="1:13" x14ac:dyDescent="0.25">
      <c r="A554" s="23">
        <v>44407</v>
      </c>
      <c r="B554" s="21">
        <v>2.33</v>
      </c>
      <c r="C554" s="12">
        <f t="shared" si="40"/>
        <v>5.7168784029038057E-2</v>
      </c>
      <c r="D554" s="6"/>
      <c r="E554" s="23">
        <v>44407</v>
      </c>
      <c r="F554" s="21">
        <v>72.7</v>
      </c>
      <c r="G554" s="12">
        <f t="shared" si="41"/>
        <v>4.4240160873312243E-2</v>
      </c>
      <c r="H554" s="21">
        <v>72.099999999999994</v>
      </c>
      <c r="I554" s="12">
        <f t="shared" si="42"/>
        <v>4.2962534355561972E-2</v>
      </c>
      <c r="J554" s="21">
        <v>71.33</v>
      </c>
      <c r="K554" s="12">
        <f t="shared" si="43"/>
        <v>4.2988741044012249E-2</v>
      </c>
      <c r="L554" s="21">
        <v>70.489999999999995</v>
      </c>
      <c r="M554" s="12">
        <f t="shared" si="44"/>
        <v>4.2134831460674073E-2</v>
      </c>
    </row>
    <row r="555" spans="1:13" x14ac:dyDescent="0.25">
      <c r="A555" s="23">
        <v>44414</v>
      </c>
      <c r="B555" s="21">
        <v>2.282</v>
      </c>
      <c r="C555" s="12">
        <f t="shared" si="40"/>
        <v>-2.060085836909873E-2</v>
      </c>
      <c r="D555" s="6"/>
      <c r="E555" s="23">
        <v>44414</v>
      </c>
      <c r="F555" s="21">
        <v>69.47</v>
      </c>
      <c r="G555" s="12">
        <f t="shared" si="41"/>
        <v>-4.4429160935350813E-2</v>
      </c>
      <c r="H555" s="21">
        <v>69.05</v>
      </c>
      <c r="I555" s="12">
        <f t="shared" si="42"/>
        <v>-4.2302357836338386E-2</v>
      </c>
      <c r="J555" s="21">
        <v>68.56</v>
      </c>
      <c r="K555" s="12">
        <f t="shared" si="43"/>
        <v>-3.8833590354689418E-2</v>
      </c>
      <c r="L555" s="21">
        <v>68</v>
      </c>
      <c r="M555" s="12">
        <f t="shared" si="44"/>
        <v>-3.532415945524181E-2</v>
      </c>
    </row>
    <row r="556" spans="1:13" x14ac:dyDescent="0.25">
      <c r="A556" s="23">
        <v>44421</v>
      </c>
      <c r="B556" s="21">
        <v>2.2839999999999998</v>
      </c>
      <c r="C556" s="12">
        <f t="shared" si="40"/>
        <v>8.7642418930752831E-4</v>
      </c>
      <c r="D556" s="6"/>
      <c r="E556" s="23">
        <v>44421</v>
      </c>
      <c r="F556" s="21">
        <v>68.31</v>
      </c>
      <c r="G556" s="12">
        <f t="shared" si="41"/>
        <v>-1.6697855189290293E-2</v>
      </c>
      <c r="H556" s="21">
        <v>68.099999999999994</v>
      </c>
      <c r="I556" s="12">
        <f t="shared" si="42"/>
        <v>-1.3758146270818289E-2</v>
      </c>
      <c r="J556" s="21">
        <v>67.739999999999995</v>
      </c>
      <c r="K556" s="12">
        <f t="shared" si="43"/>
        <v>-1.1960326721120294E-2</v>
      </c>
      <c r="L556" s="21">
        <v>67.31</v>
      </c>
      <c r="M556" s="12">
        <f t="shared" si="44"/>
        <v>-1.0147058823529379E-2</v>
      </c>
    </row>
    <row r="557" spans="1:13" x14ac:dyDescent="0.25">
      <c r="A557" s="23">
        <v>44428</v>
      </c>
      <c r="B557" s="21">
        <v>2.1219999999999999</v>
      </c>
      <c r="C557" s="12">
        <f t="shared" si="40"/>
        <v>-7.0928196147110309E-2</v>
      </c>
      <c r="D557" s="6"/>
      <c r="E557" s="23">
        <v>44428</v>
      </c>
      <c r="F557" s="21">
        <v>65.069999999999993</v>
      </c>
      <c r="G557" s="12">
        <f t="shared" si="41"/>
        <v>-4.743083003952582E-2</v>
      </c>
      <c r="H557" s="21">
        <v>64.849999999999994</v>
      </c>
      <c r="I557" s="12">
        <f t="shared" si="42"/>
        <v>-4.772393538913363E-2</v>
      </c>
      <c r="J557" s="21">
        <v>64.510000000000005</v>
      </c>
      <c r="K557" s="12">
        <f t="shared" si="43"/>
        <v>-4.7682314732801739E-2</v>
      </c>
      <c r="L557" s="21">
        <v>64.13</v>
      </c>
      <c r="M557" s="12">
        <f t="shared" si="44"/>
        <v>-4.7244094488189073E-2</v>
      </c>
    </row>
    <row r="558" spans="1:13" x14ac:dyDescent="0.25">
      <c r="A558" s="23">
        <v>44435</v>
      </c>
      <c r="B558" s="21">
        <v>2.2250000000000001</v>
      </c>
      <c r="C558" s="12">
        <f t="shared" si="40"/>
        <v>4.8539114043355425E-2</v>
      </c>
      <c r="D558" s="6"/>
      <c r="E558" s="23">
        <v>44435</v>
      </c>
      <c r="F558" s="21">
        <v>67.540000000000006</v>
      </c>
      <c r="G558" s="12">
        <f t="shared" si="41"/>
        <v>3.7959120946673017E-2</v>
      </c>
      <c r="H558" s="21">
        <v>67.25</v>
      </c>
      <c r="I558" s="12">
        <f t="shared" si="42"/>
        <v>3.7008481110254524E-2</v>
      </c>
      <c r="J558" s="21">
        <v>66.86</v>
      </c>
      <c r="K558" s="12">
        <f t="shared" si="43"/>
        <v>3.642846070376677E-2</v>
      </c>
      <c r="L558" s="21">
        <v>66.44</v>
      </c>
      <c r="M558" s="12">
        <f t="shared" si="44"/>
        <v>3.6020583190394549E-2</v>
      </c>
    </row>
    <row r="559" spans="1:13" x14ac:dyDescent="0.25">
      <c r="A559" s="23">
        <v>44442</v>
      </c>
      <c r="B559" s="21">
        <v>2.319</v>
      </c>
      <c r="C559" s="12">
        <f t="shared" si="40"/>
        <v>4.2247191011235891E-2</v>
      </c>
      <c r="D559" s="6"/>
      <c r="E559" s="23">
        <v>44442</v>
      </c>
      <c r="F559" s="21">
        <v>69.12</v>
      </c>
      <c r="G559" s="12">
        <f t="shared" si="41"/>
        <v>2.3393544566182974E-2</v>
      </c>
      <c r="H559" s="21">
        <v>68.86</v>
      </c>
      <c r="I559" s="12">
        <f t="shared" si="42"/>
        <v>2.3940520446096646E-2</v>
      </c>
      <c r="J559" s="21">
        <v>68.540000000000006</v>
      </c>
      <c r="K559" s="12">
        <f t="shared" si="43"/>
        <v>2.5127131319174496E-2</v>
      </c>
      <c r="L559" s="21">
        <v>68.19</v>
      </c>
      <c r="M559" s="12">
        <f t="shared" si="44"/>
        <v>2.6339554485249852E-2</v>
      </c>
    </row>
    <row r="560" spans="1:13" x14ac:dyDescent="0.25">
      <c r="A560" s="23">
        <v>44449</v>
      </c>
      <c r="B560" s="21">
        <v>2.2869999999999999</v>
      </c>
      <c r="C560" s="12">
        <f t="shared" si="40"/>
        <v>-1.3799051315222091E-2</v>
      </c>
      <c r="D560" s="6"/>
      <c r="E560" s="23">
        <v>44449</v>
      </c>
      <c r="F560" s="21">
        <v>68.88</v>
      </c>
      <c r="G560" s="12">
        <f t="shared" si="41"/>
        <v>-3.4722222222223534E-3</v>
      </c>
      <c r="H560" s="21">
        <v>68.64</v>
      </c>
      <c r="I560" s="12">
        <f t="shared" si="42"/>
        <v>-3.1948881789137214E-3</v>
      </c>
      <c r="J560" s="21">
        <v>68.319999999999993</v>
      </c>
      <c r="K560" s="12">
        <f t="shared" si="43"/>
        <v>-3.2098044937264817E-3</v>
      </c>
      <c r="L560" s="21">
        <v>67.95</v>
      </c>
      <c r="M560" s="12">
        <f t="shared" si="44"/>
        <v>-3.5195776506818433E-3</v>
      </c>
    </row>
    <row r="561" spans="1:13" x14ac:dyDescent="0.25">
      <c r="A561" s="23">
        <v>44456</v>
      </c>
      <c r="B561" s="21">
        <v>2.3029999999999999</v>
      </c>
      <c r="C561" s="12">
        <f t="shared" si="40"/>
        <v>6.996064713598607E-3</v>
      </c>
      <c r="D561" s="6"/>
      <c r="E561" s="23">
        <v>44456</v>
      </c>
      <c r="F561" s="21">
        <v>71.62</v>
      </c>
      <c r="G561" s="12">
        <f t="shared" si="41"/>
        <v>3.9779326364692356E-2</v>
      </c>
      <c r="H561" s="21">
        <v>71.39</v>
      </c>
      <c r="I561" s="12">
        <f t="shared" si="42"/>
        <v>4.0064102564102561E-2</v>
      </c>
      <c r="J561" s="21">
        <v>70.95</v>
      </c>
      <c r="K561" s="12">
        <f t="shared" si="43"/>
        <v>3.8495316159250732E-2</v>
      </c>
      <c r="L561" s="21">
        <v>70.430000000000007</v>
      </c>
      <c r="M561" s="12">
        <f t="shared" si="44"/>
        <v>3.6497424576894831E-2</v>
      </c>
    </row>
    <row r="562" spans="1:13" x14ac:dyDescent="0.25">
      <c r="A562" s="23">
        <v>44463</v>
      </c>
      <c r="B562" s="21">
        <v>2.238</v>
      </c>
      <c r="C562" s="12">
        <f t="shared" si="40"/>
        <v>-2.8224055579678657E-2</v>
      </c>
      <c r="D562" s="6"/>
      <c r="E562" s="23">
        <v>44463</v>
      </c>
      <c r="F562" s="21">
        <v>72.069999999999993</v>
      </c>
      <c r="G562" s="12">
        <f t="shared" si="41"/>
        <v>6.2831611281763278E-3</v>
      </c>
      <c r="H562" s="21">
        <v>71.819999999999993</v>
      </c>
      <c r="I562" s="12">
        <f t="shared" si="42"/>
        <v>6.0232525563803417E-3</v>
      </c>
      <c r="J562" s="21">
        <v>71.349999999999994</v>
      </c>
      <c r="K562" s="12">
        <f t="shared" si="43"/>
        <v>5.6377730796334244E-3</v>
      </c>
      <c r="L562" s="21">
        <v>70.8</v>
      </c>
      <c r="M562" s="12">
        <f t="shared" si="44"/>
        <v>5.253443135027549E-3</v>
      </c>
    </row>
    <row r="563" spans="1:13" x14ac:dyDescent="0.25">
      <c r="A563" s="23">
        <v>44470</v>
      </c>
      <c r="B563" s="21">
        <v>2.294</v>
      </c>
      <c r="C563" s="12">
        <f t="shared" si="40"/>
        <v>2.5022341376228798E-2</v>
      </c>
      <c r="D563" s="6"/>
      <c r="E563" s="23">
        <v>44470</v>
      </c>
      <c r="F563" s="21">
        <v>75.3</v>
      </c>
      <c r="G563" s="12">
        <f t="shared" si="41"/>
        <v>4.4817538504232056E-2</v>
      </c>
      <c r="H563" s="21">
        <v>74.95</v>
      </c>
      <c r="I563" s="12">
        <f t="shared" si="42"/>
        <v>4.3581175160122665E-2</v>
      </c>
      <c r="J563" s="21">
        <v>74.430000000000007</v>
      </c>
      <c r="K563" s="12">
        <f t="shared" si="43"/>
        <v>4.3167484232656102E-2</v>
      </c>
      <c r="L563" s="21">
        <v>73.83</v>
      </c>
      <c r="M563" s="12">
        <f t="shared" si="44"/>
        <v>4.2796610169491545E-2</v>
      </c>
    </row>
    <row r="564" spans="1:13" x14ac:dyDescent="0.25">
      <c r="A564" s="23">
        <v>44477</v>
      </c>
      <c r="B564" s="21">
        <v>2.4140000000000001</v>
      </c>
      <c r="C564" s="12">
        <f t="shared" si="40"/>
        <v>5.2310374891020098E-2</v>
      </c>
      <c r="D564" s="6"/>
      <c r="E564" s="23">
        <v>44477</v>
      </c>
      <c r="F564" s="21">
        <v>78.33</v>
      </c>
      <c r="G564" s="12">
        <f t="shared" si="41"/>
        <v>4.0239043824701212E-2</v>
      </c>
      <c r="H564" s="21">
        <v>77.94</v>
      </c>
      <c r="I564" s="12">
        <f t="shared" si="42"/>
        <v>3.9893262174783117E-2</v>
      </c>
      <c r="J564" s="21">
        <v>77.41</v>
      </c>
      <c r="K564" s="12">
        <f t="shared" si="43"/>
        <v>4.0037619239553804E-2</v>
      </c>
      <c r="L564" s="21">
        <v>76.81</v>
      </c>
      <c r="M564" s="12">
        <f t="shared" si="44"/>
        <v>4.0362996072057483E-2</v>
      </c>
    </row>
    <row r="565" spans="1:13" x14ac:dyDescent="0.25">
      <c r="A565" s="23">
        <v>44484</v>
      </c>
      <c r="B565" s="21">
        <v>2.5019999999999998</v>
      </c>
      <c r="C565" s="12">
        <f t="shared" si="40"/>
        <v>3.6454018227008958E-2</v>
      </c>
      <c r="D565" s="6"/>
      <c r="E565" s="23">
        <v>44484</v>
      </c>
      <c r="F565" s="21">
        <v>81.040000000000006</v>
      </c>
      <c r="G565" s="12">
        <f t="shared" si="41"/>
        <v>3.4597216902847033E-2</v>
      </c>
      <c r="H565" s="21">
        <v>80.430000000000007</v>
      </c>
      <c r="I565" s="12">
        <f t="shared" si="42"/>
        <v>3.1947652040030909E-2</v>
      </c>
      <c r="J565" s="21">
        <v>79.7</v>
      </c>
      <c r="K565" s="12">
        <f t="shared" si="43"/>
        <v>2.9582741247900869E-2</v>
      </c>
      <c r="L565" s="21">
        <v>78.930000000000007</v>
      </c>
      <c r="M565" s="12">
        <f t="shared" si="44"/>
        <v>2.7600572842077911E-2</v>
      </c>
    </row>
    <row r="566" spans="1:13" x14ac:dyDescent="0.25">
      <c r="A566" s="23">
        <v>44491</v>
      </c>
      <c r="B566" s="21">
        <v>2.5670000000000002</v>
      </c>
      <c r="C566" s="12">
        <f t="shared" si="40"/>
        <v>2.59792166266988E-2</v>
      </c>
      <c r="D566" s="6"/>
      <c r="E566" s="23">
        <v>44491</v>
      </c>
      <c r="F566" s="21">
        <v>83.11</v>
      </c>
      <c r="G566" s="12">
        <f t="shared" si="41"/>
        <v>2.5542941757156875E-2</v>
      </c>
      <c r="H566" s="21">
        <v>82.28</v>
      </c>
      <c r="I566" s="12">
        <f t="shared" si="42"/>
        <v>2.3001367648887158E-2</v>
      </c>
      <c r="J566" s="21">
        <v>81.150000000000006</v>
      </c>
      <c r="K566" s="12">
        <f t="shared" si="43"/>
        <v>1.8193224592220864E-2</v>
      </c>
      <c r="L566" s="21">
        <v>80.03</v>
      </c>
      <c r="M566" s="12">
        <f t="shared" si="44"/>
        <v>1.3936399341188321E-2</v>
      </c>
    </row>
    <row r="567" spans="1:13" x14ac:dyDescent="0.25">
      <c r="A567" s="23">
        <v>44498</v>
      </c>
      <c r="B567" s="21">
        <v>2.5489999999999999</v>
      </c>
      <c r="C567" s="12">
        <f t="shared" si="40"/>
        <v>-7.0120763537203879E-3</v>
      </c>
      <c r="D567" s="6"/>
      <c r="E567" s="23">
        <v>44498</v>
      </c>
      <c r="F567" s="21">
        <v>83.49</v>
      </c>
      <c r="G567" s="12">
        <f t="shared" si="41"/>
        <v>4.5722536397544873E-3</v>
      </c>
      <c r="H567" s="21">
        <v>82.14</v>
      </c>
      <c r="I567" s="12">
        <f t="shared" si="42"/>
        <v>-1.7015070491006388E-3</v>
      </c>
      <c r="J567" s="21">
        <v>80.62</v>
      </c>
      <c r="K567" s="12">
        <f t="shared" si="43"/>
        <v>-6.5311152187307589E-3</v>
      </c>
      <c r="L567" s="21">
        <v>79.290000000000006</v>
      </c>
      <c r="M567" s="12">
        <f t="shared" si="44"/>
        <v>-9.2465325502935763E-3</v>
      </c>
    </row>
    <row r="568" spans="1:13" x14ac:dyDescent="0.25">
      <c r="A568" s="23">
        <v>44505</v>
      </c>
      <c r="B568" s="21">
        <v>2.4950000000000001</v>
      </c>
      <c r="C568" s="12">
        <f t="shared" si="40"/>
        <v>-2.1184778344448735E-2</v>
      </c>
      <c r="D568" s="6"/>
      <c r="E568" s="23">
        <v>44505</v>
      </c>
      <c r="F568" s="21">
        <v>81.78</v>
      </c>
      <c r="G568" s="12">
        <f t="shared" si="41"/>
        <v>-2.0481494789795111E-2</v>
      </c>
      <c r="H568" s="21">
        <v>80.459999999999994</v>
      </c>
      <c r="I568" s="12">
        <f t="shared" si="42"/>
        <v>-2.0452885317750264E-2</v>
      </c>
      <c r="J568" s="21">
        <v>79.069999999999993</v>
      </c>
      <c r="K568" s="12">
        <f t="shared" si="43"/>
        <v>-1.9225998511535738E-2</v>
      </c>
      <c r="L568" s="21">
        <v>77.72</v>
      </c>
      <c r="M568" s="12">
        <f t="shared" si="44"/>
        <v>-1.9800731491991515E-2</v>
      </c>
    </row>
    <row r="569" spans="1:13" x14ac:dyDescent="0.25">
      <c r="A569" s="23">
        <v>44512</v>
      </c>
      <c r="B569" s="21">
        <v>2.4300000000000002</v>
      </c>
      <c r="C569" s="12">
        <f t="shared" si="40"/>
        <v>-2.6052104208416811E-2</v>
      </c>
      <c r="D569" s="6"/>
      <c r="E569" s="23">
        <v>44512</v>
      </c>
      <c r="F569" s="21">
        <v>81.96</v>
      </c>
      <c r="G569" s="12">
        <f t="shared" si="41"/>
        <v>2.2010271460013772E-3</v>
      </c>
      <c r="H569" s="21">
        <v>80.69</v>
      </c>
      <c r="I569" s="12">
        <f t="shared" si="42"/>
        <v>2.8585632612478746E-3</v>
      </c>
      <c r="J569" s="21">
        <v>79.37</v>
      </c>
      <c r="K569" s="12">
        <f t="shared" si="43"/>
        <v>3.7941064879222384E-3</v>
      </c>
      <c r="L569" s="21">
        <v>78.099999999999994</v>
      </c>
      <c r="M569" s="12">
        <f t="shared" si="44"/>
        <v>4.8893463715902656E-3</v>
      </c>
    </row>
    <row r="570" spans="1:13" x14ac:dyDescent="0.25">
      <c r="A570" s="23">
        <v>44519</v>
      </c>
      <c r="B570" s="21">
        <v>2.3780000000000001</v>
      </c>
      <c r="C570" s="12">
        <f t="shared" si="40"/>
        <v>-2.1399176954732528E-2</v>
      </c>
      <c r="D570" s="6"/>
      <c r="E570" s="23">
        <v>44519</v>
      </c>
      <c r="F570" s="21">
        <v>79.02</v>
      </c>
      <c r="G570" s="12">
        <f t="shared" si="41"/>
        <v>-3.587115666178621E-2</v>
      </c>
      <c r="H570" s="21">
        <v>78.28</v>
      </c>
      <c r="I570" s="12">
        <f t="shared" si="42"/>
        <v>-2.9867393729086585E-2</v>
      </c>
      <c r="J570" s="21">
        <v>77.27</v>
      </c>
      <c r="K570" s="12">
        <f t="shared" si="43"/>
        <v>-2.6458359581706042E-2</v>
      </c>
      <c r="L570" s="21">
        <v>76.23</v>
      </c>
      <c r="M570" s="12">
        <f t="shared" si="44"/>
        <v>-2.3943661971830864E-2</v>
      </c>
    </row>
    <row r="571" spans="1:13" x14ac:dyDescent="0.25">
      <c r="A571" s="23">
        <v>44526</v>
      </c>
      <c r="B571" s="21">
        <v>2.3759999999999999</v>
      </c>
      <c r="C571" s="12">
        <f t="shared" si="40"/>
        <v>-8.4104289318764664E-4</v>
      </c>
      <c r="D571" s="6"/>
      <c r="E571" s="23">
        <v>44526</v>
      </c>
      <c r="F571" s="21">
        <v>77.88</v>
      </c>
      <c r="G571" s="12">
        <f t="shared" si="41"/>
        <v>-1.4426727410782089E-2</v>
      </c>
      <c r="H571" s="21">
        <v>77.290000000000006</v>
      </c>
      <c r="I571" s="12">
        <f t="shared" si="42"/>
        <v>-1.2646908533469531E-2</v>
      </c>
      <c r="J571" s="21">
        <v>76.599999999999994</v>
      </c>
      <c r="K571" s="12">
        <f t="shared" si="43"/>
        <v>-8.6708942668565006E-3</v>
      </c>
      <c r="L571" s="21">
        <v>75.95</v>
      </c>
      <c r="M571" s="12">
        <f t="shared" si="44"/>
        <v>-3.673094582185506E-3</v>
      </c>
    </row>
    <row r="572" spans="1:13" x14ac:dyDescent="0.25">
      <c r="A572" s="23">
        <v>44533</v>
      </c>
      <c r="B572" s="21">
        <v>2.0510000000000002</v>
      </c>
      <c r="C572" s="12">
        <f t="shared" si="40"/>
        <v>-0.13678451178451168</v>
      </c>
      <c r="D572" s="6"/>
      <c r="E572" s="23">
        <v>44533</v>
      </c>
      <c r="F572" s="21">
        <v>66.89</v>
      </c>
      <c r="G572" s="12">
        <f t="shared" si="41"/>
        <v>-0.14111453518233175</v>
      </c>
      <c r="H572" s="21">
        <v>66.64</v>
      </c>
      <c r="I572" s="12">
        <f t="shared" si="42"/>
        <v>-0.13779272868417655</v>
      </c>
      <c r="J572" s="21">
        <v>66.37</v>
      </c>
      <c r="K572" s="12">
        <f t="shared" si="43"/>
        <v>-0.13355091383811998</v>
      </c>
      <c r="L572" s="21">
        <v>66.08</v>
      </c>
      <c r="M572" s="12">
        <f t="shared" si="44"/>
        <v>-0.12995391705069129</v>
      </c>
    </row>
    <row r="573" spans="1:13" x14ac:dyDescent="0.25">
      <c r="A573" s="23">
        <v>44540</v>
      </c>
      <c r="B573" s="21">
        <v>2.1960000000000002</v>
      </c>
      <c r="C573" s="12">
        <f t="shared" si="40"/>
        <v>7.0697220867869337E-2</v>
      </c>
      <c r="D573" s="6"/>
      <c r="E573" s="23">
        <v>44540</v>
      </c>
      <c r="F573" s="21">
        <v>71.3</v>
      </c>
      <c r="G573" s="12">
        <f t="shared" si="41"/>
        <v>6.5929137389744305E-2</v>
      </c>
      <c r="H573" s="21">
        <v>71.12</v>
      </c>
      <c r="I573" s="12">
        <f t="shared" si="42"/>
        <v>6.7226890756302574E-2</v>
      </c>
      <c r="J573" s="21">
        <v>70.86</v>
      </c>
      <c r="K573" s="12">
        <f t="shared" si="43"/>
        <v>6.7651047159861297E-2</v>
      </c>
      <c r="L573" s="21">
        <v>70.59</v>
      </c>
      <c r="M573" s="12">
        <f t="shared" si="44"/>
        <v>6.8250605326876587E-2</v>
      </c>
    </row>
    <row r="574" spans="1:13" x14ac:dyDescent="0.25">
      <c r="A574" s="23">
        <v>44547</v>
      </c>
      <c r="B574" s="21">
        <v>2.2109999999999999</v>
      </c>
      <c r="C574" s="12">
        <f t="shared" si="40"/>
        <v>6.8306010928960289E-3</v>
      </c>
      <c r="D574" s="6"/>
      <c r="E574" s="23">
        <v>44547</v>
      </c>
      <c r="F574" s="21">
        <v>71.23</v>
      </c>
      <c r="G574" s="12">
        <f t="shared" si="41"/>
        <v>-9.8176718092557068E-4</v>
      </c>
      <c r="H574" s="21">
        <v>71.02</v>
      </c>
      <c r="I574" s="12">
        <f t="shared" si="42"/>
        <v>-1.4060742407200298E-3</v>
      </c>
      <c r="J574" s="21">
        <v>70.7</v>
      </c>
      <c r="K574" s="12">
        <f t="shared" si="43"/>
        <v>-2.2579734688116934E-3</v>
      </c>
      <c r="L574" s="21">
        <v>70.37</v>
      </c>
      <c r="M574" s="12">
        <f t="shared" si="44"/>
        <v>-3.1165887519478516E-3</v>
      </c>
    </row>
    <row r="575" spans="1:13" x14ac:dyDescent="0.25">
      <c r="A575" s="23">
        <v>44554</v>
      </c>
      <c r="B575" s="21">
        <v>2.2090000000000001</v>
      </c>
      <c r="C575" s="12">
        <f t="shared" si="40"/>
        <v>-9.045680687470737E-4</v>
      </c>
      <c r="D575" s="6"/>
      <c r="E575" s="23">
        <v>44554</v>
      </c>
      <c r="F575" s="21">
        <v>71.48</v>
      </c>
      <c r="G575" s="12">
        <f t="shared" si="41"/>
        <v>3.509757124806963E-3</v>
      </c>
      <c r="H575" s="21">
        <v>71.3</v>
      </c>
      <c r="I575" s="12">
        <f t="shared" si="42"/>
        <v>3.9425513939735446E-3</v>
      </c>
      <c r="J575" s="21">
        <v>70.89</v>
      </c>
      <c r="K575" s="12">
        <f t="shared" si="43"/>
        <v>2.687411598302655E-3</v>
      </c>
      <c r="L575" s="21">
        <v>70.45</v>
      </c>
      <c r="M575" s="12">
        <f t="shared" si="44"/>
        <v>1.1368480886741266E-3</v>
      </c>
    </row>
    <row r="576" spans="1:13" x14ac:dyDescent="0.25">
      <c r="A576" s="23">
        <v>44561</v>
      </c>
      <c r="B576" s="21">
        <v>2.298</v>
      </c>
      <c r="C576" s="12">
        <f t="shared" si="40"/>
        <v>4.0289723856948831E-2</v>
      </c>
      <c r="D576" s="6"/>
      <c r="E576" s="23">
        <v>44561</v>
      </c>
      <c r="F576" s="21">
        <v>76.06</v>
      </c>
      <c r="G576" s="12">
        <f t="shared" si="41"/>
        <v>6.4073866815892527E-2</v>
      </c>
      <c r="H576" s="21">
        <v>75.69</v>
      </c>
      <c r="I576" s="12">
        <f t="shared" si="42"/>
        <v>6.1570827489481075E-2</v>
      </c>
      <c r="J576" s="21">
        <v>75.22</v>
      </c>
      <c r="K576" s="12">
        <f t="shared" si="43"/>
        <v>6.1080547326844384E-2</v>
      </c>
      <c r="L576" s="21">
        <v>74.680000000000007</v>
      </c>
      <c r="M576" s="12">
        <f t="shared" si="44"/>
        <v>6.0042583392476985E-2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47B73-0AE2-43C8-9A1C-E5047C7ECED2}">
  <dimension ref="A1:R29"/>
  <sheetViews>
    <sheetView topLeftCell="E13" workbookViewId="0">
      <selection activeCell="O4" sqref="O4:R12"/>
    </sheetView>
  </sheetViews>
  <sheetFormatPr defaultRowHeight="15" x14ac:dyDescent="0.25"/>
  <cols>
    <col min="1" max="1" width="30.140625" customWidth="1"/>
    <col min="2" max="2" width="14.7109375" customWidth="1"/>
    <col min="3" max="3" width="15.140625" customWidth="1"/>
    <col min="4" max="4" width="13.28515625" customWidth="1"/>
    <col min="5" max="5" width="13.85546875" customWidth="1"/>
    <col min="6" max="6" width="15.140625" customWidth="1"/>
    <col min="9" max="9" width="17.7109375" customWidth="1"/>
    <col min="15" max="15" width="14" customWidth="1"/>
    <col min="16" max="16" width="73.42578125" customWidth="1"/>
    <col min="17" max="17" width="21.140625" customWidth="1"/>
    <col min="18" max="18" width="34" customWidth="1"/>
    <col min="19" max="19" width="15" customWidth="1"/>
    <col min="20" max="20" width="13.85546875" customWidth="1"/>
  </cols>
  <sheetData>
    <row r="1" spans="1:18" x14ac:dyDescent="0.25">
      <c r="A1" t="s">
        <v>30</v>
      </c>
    </row>
    <row r="2" spans="1:18" ht="15.75" thickBot="1" x14ac:dyDescent="0.3"/>
    <row r="3" spans="1:18" x14ac:dyDescent="0.25">
      <c r="A3" s="31" t="s">
        <v>31</v>
      </c>
      <c r="B3" s="31"/>
    </row>
    <row r="4" spans="1:18" ht="102.75" x14ac:dyDescent="0.25">
      <c r="A4" s="28" t="s">
        <v>32</v>
      </c>
      <c r="B4" s="28">
        <v>0.87006621526233896</v>
      </c>
      <c r="O4" s="2" t="s">
        <v>0</v>
      </c>
      <c r="P4" s="40" t="s">
        <v>2</v>
      </c>
      <c r="Q4" s="73" t="s">
        <v>96</v>
      </c>
      <c r="R4" s="73" t="s">
        <v>95</v>
      </c>
    </row>
    <row r="5" spans="1:18" x14ac:dyDescent="0.25">
      <c r="A5" s="28" t="s">
        <v>33</v>
      </c>
      <c r="B5" s="28">
        <v>0.75701521894093071</v>
      </c>
      <c r="O5" s="72">
        <v>44564</v>
      </c>
      <c r="P5" s="71">
        <v>2.302</v>
      </c>
    </row>
    <row r="6" spans="1:18" x14ac:dyDescent="0.25">
      <c r="A6" s="28" t="s">
        <v>34</v>
      </c>
      <c r="B6" s="28">
        <v>0.756589676417185</v>
      </c>
      <c r="O6" s="69">
        <v>44568</v>
      </c>
      <c r="P6" s="70">
        <v>2.3239999999999998</v>
      </c>
      <c r="Q6">
        <f>(P6-2.302)*5040000</f>
        <v>110879.99999999898</v>
      </c>
      <c r="R6">
        <f>10*42000*((P6-2.302)/0.757015219)</f>
        <v>12205.831227813023</v>
      </c>
    </row>
    <row r="7" spans="1:18" x14ac:dyDescent="0.25">
      <c r="A7" s="28" t="s">
        <v>35</v>
      </c>
      <c r="B7" s="28">
        <v>2.2883520182300457E-2</v>
      </c>
      <c r="O7" s="69">
        <v>44575</v>
      </c>
      <c r="P7" s="70">
        <v>2.411</v>
      </c>
      <c r="Q7">
        <f t="shared" ref="Q7:Q12" si="0">(P7-2.302)*5040000</f>
        <v>549359.99999999988</v>
      </c>
      <c r="R7">
        <f t="shared" ref="R7:R12" si="1">10*42000*((P7-2.302)/0.757015219)</f>
        <v>60474.345628710529</v>
      </c>
    </row>
    <row r="8" spans="1:18" ht="15.75" thickBot="1" x14ac:dyDescent="0.3">
      <c r="A8" s="29" t="s">
        <v>36</v>
      </c>
      <c r="B8" s="29">
        <v>573</v>
      </c>
      <c r="O8" s="69">
        <v>44582</v>
      </c>
      <c r="P8" s="70">
        <v>2.4900000000000002</v>
      </c>
      <c r="Q8">
        <f t="shared" si="0"/>
        <v>947520.00000000081</v>
      </c>
      <c r="R8">
        <f t="shared" si="1"/>
        <v>104304.37594676689</v>
      </c>
    </row>
    <row r="9" spans="1:18" x14ac:dyDescent="0.25">
      <c r="O9" s="69">
        <v>44589</v>
      </c>
      <c r="P9" s="70">
        <v>2.5489999999999999</v>
      </c>
      <c r="Q9">
        <f t="shared" si="0"/>
        <v>1244879.9999999995</v>
      </c>
      <c r="R9">
        <f t="shared" si="1"/>
        <v>137038.19605772014</v>
      </c>
    </row>
    <row r="10" spans="1:18" ht="15.75" thickBot="1" x14ac:dyDescent="0.3">
      <c r="A10" t="s">
        <v>37</v>
      </c>
      <c r="O10" s="69">
        <v>44596</v>
      </c>
      <c r="P10" s="70">
        <v>2.665</v>
      </c>
      <c r="Q10">
        <f t="shared" si="0"/>
        <v>1829520</v>
      </c>
      <c r="R10">
        <f t="shared" si="1"/>
        <v>201396.21525891672</v>
      </c>
    </row>
    <row r="11" spans="1:18" x14ac:dyDescent="0.25">
      <c r="A11" s="30"/>
      <c r="B11" s="30" t="s">
        <v>42</v>
      </c>
      <c r="C11" s="30" t="s">
        <v>43</v>
      </c>
      <c r="D11" s="30" t="s">
        <v>44</v>
      </c>
      <c r="E11" s="30" t="s">
        <v>45</v>
      </c>
      <c r="F11" s="30" t="s">
        <v>46</v>
      </c>
      <c r="O11" s="69">
        <v>44603</v>
      </c>
      <c r="P11" s="70">
        <v>2.742</v>
      </c>
      <c r="Q11">
        <f t="shared" si="0"/>
        <v>2217599.9999999995</v>
      </c>
      <c r="R11">
        <f t="shared" si="1"/>
        <v>244116.62455626269</v>
      </c>
    </row>
    <row r="12" spans="1:18" x14ac:dyDescent="0.25">
      <c r="A12" s="28" t="s">
        <v>38</v>
      </c>
      <c r="B12" s="28">
        <v>1</v>
      </c>
      <c r="C12" s="28">
        <v>0.93155244842312601</v>
      </c>
      <c r="D12" s="28">
        <v>0.93155244842312601</v>
      </c>
      <c r="E12" s="28">
        <v>1778.9414140723097</v>
      </c>
      <c r="F12" s="28">
        <v>1.467107710344345E-177</v>
      </c>
      <c r="O12" s="69">
        <v>44610</v>
      </c>
      <c r="P12" s="70">
        <v>2.7330000000000001</v>
      </c>
      <c r="Q12">
        <f t="shared" si="0"/>
        <v>2172240.0000000005</v>
      </c>
      <c r="R12">
        <f t="shared" si="1"/>
        <v>239123.32996306644</v>
      </c>
    </row>
    <row r="13" spans="1:18" x14ac:dyDescent="0.25">
      <c r="A13" s="28" t="s">
        <v>39</v>
      </c>
      <c r="B13" s="28">
        <v>571</v>
      </c>
      <c r="C13" s="28">
        <v>0.29900728817817257</v>
      </c>
      <c r="D13" s="28">
        <v>5.2365549593375233E-4</v>
      </c>
      <c r="E13" s="28"/>
      <c r="F13" s="28"/>
    </row>
    <row r="14" spans="1:18" ht="15.75" thickBot="1" x14ac:dyDescent="0.3">
      <c r="A14" s="29" t="s">
        <v>40</v>
      </c>
      <c r="B14" s="29">
        <v>572</v>
      </c>
      <c r="C14" s="29">
        <v>1.2305597366012986</v>
      </c>
      <c r="D14" s="29"/>
      <c r="E14" s="29"/>
      <c r="F14" s="29"/>
    </row>
    <row r="15" spans="1:18" ht="15.75" thickBot="1" x14ac:dyDescent="0.3"/>
    <row r="16" spans="1:18" x14ac:dyDescent="0.25">
      <c r="A16" s="30"/>
      <c r="B16" s="30" t="s">
        <v>47</v>
      </c>
      <c r="C16" s="30" t="s">
        <v>35</v>
      </c>
      <c r="D16" s="30" t="s">
        <v>48</v>
      </c>
      <c r="E16" s="30" t="s">
        <v>49</v>
      </c>
      <c r="F16" s="30" t="s">
        <v>50</v>
      </c>
      <c r="G16" s="30" t="s">
        <v>51</v>
      </c>
      <c r="H16" s="30" t="s">
        <v>52</v>
      </c>
      <c r="I16" s="30" t="s">
        <v>53</v>
      </c>
    </row>
    <row r="17" spans="1:9" x14ac:dyDescent="0.25">
      <c r="A17" s="28" t="s">
        <v>41</v>
      </c>
      <c r="B17" s="28">
        <v>1.2117335464536811E-4</v>
      </c>
      <c r="C17" s="28">
        <v>9.5621150523383372E-4</v>
      </c>
      <c r="D17" s="28">
        <v>0.12672233494590315</v>
      </c>
      <c r="E17" s="28">
        <v>0.89920477764240991</v>
      </c>
      <c r="F17" s="28">
        <v>-1.7569477154955699E-3</v>
      </c>
      <c r="G17" s="28">
        <v>1.9992944247863059E-3</v>
      </c>
      <c r="H17" s="28">
        <v>-1.7569477154955699E-3</v>
      </c>
      <c r="I17" s="28">
        <v>1.9992944247863059E-3</v>
      </c>
    </row>
    <row r="18" spans="1:9" ht="15.75" thickBot="1" x14ac:dyDescent="0.3">
      <c r="A18" s="29" t="s">
        <v>54</v>
      </c>
      <c r="B18" s="29">
        <f xml:space="preserve"> 0.83796118388076</f>
        <v>0.83796118388076002</v>
      </c>
      <c r="C18" s="29">
        <v>1.9867493464303786E-2</v>
      </c>
      <c r="D18" s="29">
        <v>42.177498907264628</v>
      </c>
      <c r="E18" s="29">
        <v>1.4671077103444285E-177</v>
      </c>
      <c r="F18" s="29">
        <v>0.79893889866252099</v>
      </c>
      <c r="G18" s="29">
        <v>0.87698346909899905</v>
      </c>
      <c r="H18" s="29">
        <v>0.79893889866252099</v>
      </c>
      <c r="I18" s="29">
        <v>0.87698346909899905</v>
      </c>
    </row>
    <row r="21" spans="1:9" ht="90" x14ac:dyDescent="0.25">
      <c r="A21" s="39" t="s">
        <v>57</v>
      </c>
      <c r="B21" t="s">
        <v>58</v>
      </c>
    </row>
    <row r="23" spans="1:9" x14ac:dyDescent="0.25">
      <c r="A23" s="2" t="s">
        <v>59</v>
      </c>
      <c r="B23" t="s">
        <v>60</v>
      </c>
    </row>
    <row r="25" spans="1:9" x14ac:dyDescent="0.25">
      <c r="A25" s="2" t="s">
        <v>93</v>
      </c>
      <c r="B25">
        <v>5040000</v>
      </c>
    </row>
    <row r="27" spans="1:9" x14ac:dyDescent="0.25">
      <c r="A27" s="2" t="s">
        <v>94</v>
      </c>
      <c r="B27">
        <v>4200</v>
      </c>
    </row>
    <row r="29" spans="1:9" x14ac:dyDescent="0.25">
      <c r="A29" s="2" t="s">
        <v>69</v>
      </c>
      <c r="B29">
        <f>12*B18</f>
        <v>10.055534206569121</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9F105-7168-4469-949F-210E9188C0EB}">
  <dimension ref="A1:U117"/>
  <sheetViews>
    <sheetView topLeftCell="A22" workbookViewId="0">
      <selection activeCell="R56" sqref="R56"/>
    </sheetView>
  </sheetViews>
  <sheetFormatPr defaultRowHeight="15" x14ac:dyDescent="0.25"/>
  <cols>
    <col min="1" max="1" width="60.7109375" customWidth="1"/>
    <col min="2" max="2" width="24.140625" customWidth="1"/>
    <col min="4" max="4" width="11.140625" customWidth="1"/>
    <col min="5" max="5" width="18.28515625" customWidth="1"/>
    <col min="6" max="6" width="18" customWidth="1"/>
    <col min="7" max="7" width="37.5703125" customWidth="1"/>
    <col min="8" max="8" width="13.85546875" customWidth="1"/>
    <col min="9" max="9" width="13.5703125" customWidth="1"/>
    <col min="10" max="10" width="13.140625" customWidth="1"/>
    <col min="11" max="11" width="14" customWidth="1"/>
    <col min="12" max="13" width="12.5703125" customWidth="1"/>
    <col min="14" max="14" width="11.42578125" customWidth="1"/>
    <col min="15" max="15" width="38.28515625" customWidth="1"/>
    <col min="16" max="17" width="12.5703125" customWidth="1"/>
    <col min="18" max="18" width="13" customWidth="1"/>
    <col min="19" max="19" width="12.5703125" customWidth="1"/>
    <col min="20" max="20" width="12.85546875" customWidth="1"/>
    <col min="21" max="21" width="12.5703125" customWidth="1"/>
  </cols>
  <sheetData>
    <row r="1" spans="1:20" x14ac:dyDescent="0.25">
      <c r="A1" s="32" t="s">
        <v>61</v>
      </c>
      <c r="B1" s="32" t="s">
        <v>62</v>
      </c>
      <c r="C1" s="43" t="s">
        <v>63</v>
      </c>
      <c r="D1" s="44" t="s">
        <v>65</v>
      </c>
      <c r="E1" s="44" t="s">
        <v>66</v>
      </c>
      <c r="F1" s="44" t="s">
        <v>64</v>
      </c>
      <c r="H1" s="2" cm="1" vm="1">
        <f t="array" aca="1" ref="H1:M2" ca="1">TRANSPOSE(_xlfn.STOCKHISTORY(A2, DATE(2022, 2, 14), DATE(2022, 2, 22), 0, 0) )</f>
        <v>44606</v>
      </c>
      <c r="I1" s="2" vm="2">
        <f ca="1"/>
        <v>44607</v>
      </c>
      <c r="J1" s="2" vm="3">
        <f ca="1"/>
        <v>44608</v>
      </c>
      <c r="K1" s="2" vm="4">
        <f ca="1"/>
        <v>44609</v>
      </c>
      <c r="L1" s="2" vm="5">
        <f ca="1"/>
        <v>44610</v>
      </c>
      <c r="M1" s="2" vm="6">
        <f ca="1"/>
        <v>44614</v>
      </c>
    </row>
    <row r="2" spans="1:20" x14ac:dyDescent="0.25">
      <c r="A2" s="6" t="e" vm="7">
        <v>#VALUE!</v>
      </c>
      <c r="B2" s="45">
        <v>174.78</v>
      </c>
      <c r="C2" s="46">
        <v>1.2</v>
      </c>
      <c r="D2" s="46">
        <v>25000</v>
      </c>
      <c r="E2" s="46">
        <f xml:space="preserve"> 1/40</f>
        <v>2.5000000000000001E-2</v>
      </c>
      <c r="F2" s="46">
        <f>D2/B2</f>
        <v>143.03696075065798</v>
      </c>
      <c r="H2" s="54" vm="8">
        <f ca="1"/>
        <v>168.88</v>
      </c>
      <c r="I2" s="54" vm="9">
        <f ca="1"/>
        <v>172.79</v>
      </c>
      <c r="J2" s="54" vm="10">
        <f ca="1"/>
        <v>172.55</v>
      </c>
      <c r="K2" s="54" vm="8">
        <f ca="1"/>
        <v>168.88</v>
      </c>
      <c r="L2" s="54" vm="11">
        <f ca="1"/>
        <v>167.3</v>
      </c>
      <c r="M2" s="54" vm="12">
        <f ca="1"/>
        <v>164.32</v>
      </c>
      <c r="O2" s="59"/>
      <c r="P2" s="59"/>
      <c r="Q2" s="59"/>
      <c r="R2" s="59"/>
      <c r="S2" s="59"/>
      <c r="T2" s="59"/>
    </row>
    <row r="3" spans="1:20" x14ac:dyDescent="0.25">
      <c r="A3" s="6" t="e" vm="13">
        <v>#VALUE!</v>
      </c>
      <c r="B3" s="45">
        <v>936.72</v>
      </c>
      <c r="C3" s="6">
        <v>2.0099999999999998</v>
      </c>
      <c r="D3" s="46">
        <v>25000</v>
      </c>
      <c r="E3" s="46">
        <v>2.5000000000000001E-2</v>
      </c>
      <c r="F3" s="46">
        <f t="shared" ref="F3:F41" si="0">D3/B3</f>
        <v>26.68887180801093</v>
      </c>
      <c r="H3" s="54" cm="1" vm="14">
        <f t="array" aca="1" ref="H3:M3" ca="1">TRANSPOSE(_xlfn.STOCKHISTORY(A3, DATE(2022, 2, 14), DATE(2022, 2, 22), 0, 0, 1) )</f>
        <v>875.76</v>
      </c>
      <c r="I3" s="54" vm="15">
        <f ca="1"/>
        <v>922.43</v>
      </c>
      <c r="J3" s="54" vm="16">
        <f ca="1"/>
        <v>923.39</v>
      </c>
      <c r="K3" s="54" vm="17">
        <f ca="1"/>
        <v>876.35</v>
      </c>
      <c r="L3" s="54" vm="18">
        <f ca="1"/>
        <v>856.98</v>
      </c>
      <c r="M3" s="54" vm="19">
        <f ca="1"/>
        <v>821.53</v>
      </c>
      <c r="O3" s="59"/>
      <c r="P3" s="59"/>
      <c r="Q3" s="59"/>
      <c r="R3" s="59"/>
      <c r="S3" s="59"/>
      <c r="T3" s="59"/>
    </row>
    <row r="4" spans="1:20" x14ac:dyDescent="0.25">
      <c r="A4" s="6" t="e" vm="20">
        <v>#VALUE!</v>
      </c>
      <c r="B4" s="47">
        <v>2706.07</v>
      </c>
      <c r="C4" s="6">
        <v>1.07</v>
      </c>
      <c r="D4" s="46">
        <v>25000</v>
      </c>
      <c r="E4" s="46">
        <v>2.5000000000000001E-2</v>
      </c>
      <c r="F4" s="46">
        <f t="shared" si="0"/>
        <v>9.2384897656010363</v>
      </c>
      <c r="H4" s="54" cm="1" vm="21">
        <f t="array" aca="1" ref="H4:M4" ca="1">TRANSPOSE(_xlfn.STOCKHISTORY(A4, DATE(2022, 2, 14), DATE(2022, 2, 22), 0, 0, 1) )</f>
        <v>2710.52</v>
      </c>
      <c r="I4" s="54" vm="22">
        <f ca="1"/>
        <v>2732.17</v>
      </c>
      <c r="J4" s="54" vm="23">
        <f ca="1"/>
        <v>2754.76</v>
      </c>
      <c r="K4" s="54" vm="24">
        <f ca="1"/>
        <v>2650.78</v>
      </c>
      <c r="L4" s="54" vm="25">
        <f ca="1"/>
        <v>2608.06</v>
      </c>
      <c r="M4" s="54" vm="26">
        <f ca="1"/>
        <v>2596.27</v>
      </c>
      <c r="O4" s="59"/>
      <c r="P4" s="59"/>
      <c r="Q4" s="59"/>
      <c r="R4" s="59"/>
      <c r="S4" s="59"/>
      <c r="T4" s="59"/>
    </row>
    <row r="5" spans="1:20" x14ac:dyDescent="0.25">
      <c r="A5" s="6" t="e" vm="27">
        <v>#VALUE!</v>
      </c>
      <c r="B5" s="48">
        <v>2713.97</v>
      </c>
      <c r="C5" s="6">
        <v>1.07</v>
      </c>
      <c r="D5" s="46">
        <v>25000</v>
      </c>
      <c r="E5" s="46">
        <f xml:space="preserve"> 1/40</f>
        <v>2.5000000000000001E-2</v>
      </c>
      <c r="F5" s="46">
        <f t="shared" si="0"/>
        <v>9.2115977700564127</v>
      </c>
      <c r="H5" s="54" cm="1" vm="28">
        <f t="array" aca="1" ref="H5:M5" ca="1">TRANSPOSE(_xlfn.STOCKHISTORY(A5, DATE(2022, 2, 14), DATE(2022, 2, 22), 0, 0, 1) )</f>
        <v>2706</v>
      </c>
      <c r="I5" s="54" vm="29">
        <f ca="1"/>
        <v>2728.51</v>
      </c>
      <c r="J5" s="54" vm="30">
        <f ca="1"/>
        <v>2749.75</v>
      </c>
      <c r="K5" s="54" vm="31">
        <f ca="1"/>
        <v>2646.17</v>
      </c>
      <c r="L5" s="54" vm="32">
        <f ca="1"/>
        <v>2609.35</v>
      </c>
      <c r="M5" s="54" vm="33">
        <f ca="1"/>
        <v>2588.0500000000002</v>
      </c>
      <c r="O5" s="59"/>
      <c r="P5" s="59"/>
      <c r="Q5" s="59"/>
      <c r="R5" s="59"/>
      <c r="S5" s="59"/>
      <c r="T5" s="59"/>
    </row>
    <row r="6" spans="1:20" x14ac:dyDescent="0.25">
      <c r="A6" s="6" t="e" vm="34">
        <v>#VALUE!</v>
      </c>
      <c r="B6" s="48">
        <v>2991.47</v>
      </c>
      <c r="C6" s="6">
        <v>1.1299999999999999</v>
      </c>
      <c r="D6" s="46">
        <v>25000</v>
      </c>
      <c r="E6" s="46">
        <v>2.5000000000000001E-2</v>
      </c>
      <c r="F6" s="46">
        <f t="shared" si="0"/>
        <v>8.3570953410864899</v>
      </c>
      <c r="H6" s="54" cm="1" vm="35">
        <f t="array" aca="1" ref="H6:M6" ca="1">TRANSPOSE(_xlfn.STOCKHISTORY(A6, DATE(2022, 2, 14), DATE(2022, 2, 22), 0, 0, 1) )</f>
        <v>3103.34</v>
      </c>
      <c r="I6" s="54" vm="36">
        <f ca="1"/>
        <v>3130.21</v>
      </c>
      <c r="J6" s="54" vm="37">
        <f ca="1"/>
        <v>3162.01</v>
      </c>
      <c r="K6" s="54" vm="38">
        <f ca="1"/>
        <v>3093.05</v>
      </c>
      <c r="L6" s="54" vm="39">
        <f ca="1"/>
        <v>3052.03</v>
      </c>
      <c r="M6" s="54" vm="40">
        <f ca="1"/>
        <v>3003.95</v>
      </c>
      <c r="O6" s="59"/>
      <c r="P6" s="59"/>
      <c r="Q6" s="59"/>
      <c r="R6" s="59"/>
      <c r="S6" s="59"/>
      <c r="T6" s="59"/>
    </row>
    <row r="7" spans="1:20" x14ac:dyDescent="0.25">
      <c r="A7" s="6" t="e" vm="41">
        <v>#VALUE!</v>
      </c>
      <c r="B7" s="45">
        <v>244.86</v>
      </c>
      <c r="C7" s="6">
        <v>1.38</v>
      </c>
      <c r="D7" s="46">
        <v>25000</v>
      </c>
      <c r="E7" s="46">
        <v>2.5000000000000001E-2</v>
      </c>
      <c r="F7" s="46">
        <f t="shared" si="0"/>
        <v>102.09915870293229</v>
      </c>
      <c r="H7" s="54" cm="1" vm="42">
        <f t="array" aca="1" ref="H7:M7" ca="1">TRANSPOSE(_xlfn.STOCKHISTORY(A7, DATE(2022, 2, 14), DATE(2022, 2, 22), 0, 0, 1) )</f>
        <v>242.67</v>
      </c>
      <c r="I7" s="54" vm="43">
        <f ca="1"/>
        <v>264.95</v>
      </c>
      <c r="J7" s="54" vm="44">
        <f ca="1"/>
        <v>265.11</v>
      </c>
      <c r="K7" s="54" vm="45">
        <f ca="1"/>
        <v>245.07</v>
      </c>
      <c r="L7" s="54" vm="46">
        <f ca="1"/>
        <v>236.42</v>
      </c>
      <c r="M7" s="54" vm="47">
        <f ca="1"/>
        <v>233.9</v>
      </c>
      <c r="O7" s="59"/>
      <c r="P7" s="59"/>
      <c r="Q7" s="59"/>
      <c r="R7" s="59"/>
      <c r="S7" s="59"/>
      <c r="T7" s="59"/>
    </row>
    <row r="8" spans="1:20" x14ac:dyDescent="0.25">
      <c r="A8" s="6" t="e" vm="48">
        <v>#VALUE!</v>
      </c>
      <c r="B8" s="45">
        <v>114.25</v>
      </c>
      <c r="C8" s="6">
        <v>1.95</v>
      </c>
      <c r="D8" s="46">
        <v>25000</v>
      </c>
      <c r="E8" s="46">
        <f xml:space="preserve"> 1/40</f>
        <v>2.5000000000000001E-2</v>
      </c>
      <c r="F8" s="46">
        <f t="shared" si="0"/>
        <v>218.81838074398249</v>
      </c>
      <c r="H8" s="57" t="s">
        <v>71</v>
      </c>
      <c r="I8" s="53" t="s">
        <v>76</v>
      </c>
      <c r="J8" s="53" t="s">
        <v>75</v>
      </c>
      <c r="K8" s="53" t="s">
        <v>74</v>
      </c>
      <c r="L8" s="53" t="s">
        <v>73</v>
      </c>
      <c r="M8" s="53" t="s">
        <v>72</v>
      </c>
      <c r="O8" s="60"/>
      <c r="P8" s="60"/>
      <c r="Q8" s="60"/>
      <c r="R8" s="60"/>
      <c r="S8" s="60"/>
      <c r="T8" s="60"/>
    </row>
    <row r="9" spans="1:20" x14ac:dyDescent="0.25">
      <c r="A9" s="6" t="e" vm="49">
        <v>#VALUE!</v>
      </c>
      <c r="B9" s="45">
        <v>427.14</v>
      </c>
      <c r="C9" s="6">
        <v>0.96</v>
      </c>
      <c r="D9" s="46">
        <v>25000</v>
      </c>
      <c r="E9" s="46">
        <v>2.5000000000000001E-2</v>
      </c>
      <c r="F9" s="46">
        <f t="shared" si="0"/>
        <v>58.528819590766496</v>
      </c>
      <c r="H9" s="54" cm="1" vm="50">
        <f t="array" aca="1" ref="H9:M9" ca="1">TRANSPOSE(_xlfn.STOCKHISTORY(A9, DATE(2022, 2, 14), DATE(2022, 2, 22), 0, 0, 1) )</f>
        <v>396.57</v>
      </c>
      <c r="I9" s="54" vm="51">
        <f ca="1"/>
        <v>407.46</v>
      </c>
      <c r="J9" s="54" vm="52">
        <f ca="1"/>
        <v>398.08</v>
      </c>
      <c r="K9" s="54" vm="53">
        <f ca="1"/>
        <v>386.67</v>
      </c>
      <c r="L9" s="54" vm="54">
        <f ca="1"/>
        <v>391.29</v>
      </c>
      <c r="M9" s="54" vm="55">
        <f ca="1"/>
        <v>377.38</v>
      </c>
      <c r="O9" s="59"/>
      <c r="P9" s="59"/>
      <c r="Q9" s="59"/>
      <c r="R9" s="59"/>
      <c r="S9" s="59"/>
      <c r="T9" s="59"/>
    </row>
    <row r="10" spans="1:20" x14ac:dyDescent="0.25">
      <c r="A10" s="6" t="e" vm="56">
        <v>#VALUE!</v>
      </c>
      <c r="B10" s="45">
        <v>142.97</v>
      </c>
      <c r="C10" s="6">
        <v>1.19</v>
      </c>
      <c r="D10" s="46">
        <v>25000</v>
      </c>
      <c r="E10" s="46">
        <v>2.5000000000000001E-2</v>
      </c>
      <c r="F10" s="46">
        <f t="shared" si="0"/>
        <v>174.86185913128628</v>
      </c>
      <c r="H10" s="54" cm="1" vm="57">
        <f t="array" aca="1" ref="H10:M10" ca="1">TRANSPOSE(_xlfn.STOCKHISTORY(A10, DATE(2022, 2, 14), DATE(2022, 2, 22), 0, 0, 1) )</f>
        <v>150.85</v>
      </c>
      <c r="I10" s="54" vm="58">
        <f ca="1"/>
        <v>154.72</v>
      </c>
      <c r="J10" s="54" vm="59">
        <f ca="1"/>
        <v>156.35</v>
      </c>
      <c r="K10" s="54" vm="60">
        <f ca="1"/>
        <v>152.94999999999999</v>
      </c>
      <c r="L10" s="54" vm="61">
        <f ca="1"/>
        <v>151.36000000000001</v>
      </c>
      <c r="M10" s="54" vm="62">
        <f ca="1"/>
        <v>148.09</v>
      </c>
      <c r="O10" s="59"/>
      <c r="P10" s="59"/>
      <c r="Q10" s="59"/>
      <c r="R10" s="59"/>
      <c r="S10" s="59"/>
      <c r="T10" s="59"/>
    </row>
    <row r="11" spans="1:20" x14ac:dyDescent="0.25">
      <c r="A11" s="6" t="e" vm="63">
        <v>#VALUE!</v>
      </c>
      <c r="B11" s="45">
        <v>46.14</v>
      </c>
      <c r="C11" s="6">
        <v>1.43</v>
      </c>
      <c r="D11" s="46">
        <v>25000</v>
      </c>
      <c r="E11" s="46">
        <f xml:space="preserve"> 1/40</f>
        <v>2.5000000000000001E-2</v>
      </c>
      <c r="F11" s="46">
        <f t="shared" si="0"/>
        <v>541.82921543129601</v>
      </c>
      <c r="H11" s="54" cm="1" vm="64">
        <f t="array" aca="1" ref="H11:M11" ca="1">TRANSPOSE(_xlfn.STOCKHISTORY(A11, DATE(2022, 2, 14), DATE(2022, 2, 22), 0, 0, 1) )</f>
        <v>47.42</v>
      </c>
      <c r="I11" s="54" vm="65">
        <f ca="1"/>
        <v>47.79</v>
      </c>
      <c r="J11" s="54" vm="66">
        <f ca="1"/>
        <v>47.68</v>
      </c>
      <c r="K11" s="54" vm="67">
        <f ca="1"/>
        <v>46.07</v>
      </c>
      <c r="L11" s="54" vm="68">
        <f ca="1"/>
        <v>45.96</v>
      </c>
      <c r="M11" s="54" vm="69">
        <f ca="1"/>
        <v>45.56</v>
      </c>
      <c r="O11" s="59"/>
      <c r="P11" s="59"/>
      <c r="Q11" s="59"/>
      <c r="R11" s="59"/>
      <c r="S11" s="59"/>
      <c r="T11" s="59"/>
    </row>
    <row r="12" spans="1:20" x14ac:dyDescent="0.25">
      <c r="A12" s="6" t="e" vm="70">
        <v>#VALUE!</v>
      </c>
      <c r="B12" s="45">
        <v>172.29</v>
      </c>
      <c r="C12" s="6">
        <v>0.71</v>
      </c>
      <c r="D12" s="46">
        <v>25000</v>
      </c>
      <c r="E12" s="46">
        <v>2.5000000000000001E-2</v>
      </c>
      <c r="F12" s="46">
        <f t="shared" si="0"/>
        <v>145.10418480468977</v>
      </c>
      <c r="H12" s="54" cm="1" vm="71">
        <f t="array" aca="1" ref="H12:M12" ca="1">TRANSPOSE(_xlfn.STOCKHISTORY(A12, DATE(2022, 2, 14), DATE(2022, 2, 22), 0, 0, 1) )</f>
        <v>165.6</v>
      </c>
      <c r="I12" s="54" vm="72">
        <f ca="1"/>
        <v>167.31</v>
      </c>
      <c r="J12" s="54" vm="73">
        <f ca="1"/>
        <v>167.21</v>
      </c>
      <c r="K12" s="54" vm="74">
        <f ca="1"/>
        <v>166.19</v>
      </c>
      <c r="L12" s="54" vm="75">
        <f ca="1"/>
        <v>163.36000000000001</v>
      </c>
      <c r="M12" s="54" vm="76">
        <f ca="1"/>
        <v>161.13999999999999</v>
      </c>
      <c r="O12" s="59"/>
      <c r="P12" s="59"/>
      <c r="Q12" s="59"/>
      <c r="R12" s="59"/>
      <c r="S12" s="59"/>
      <c r="T12" s="59"/>
    </row>
    <row r="13" spans="1:20" x14ac:dyDescent="0.25">
      <c r="A13" s="6" t="e" vm="77">
        <v>#VALUE!</v>
      </c>
      <c r="B13" s="45">
        <v>148.6</v>
      </c>
      <c r="C13" s="6">
        <v>1.1200000000000001</v>
      </c>
      <c r="D13" s="46">
        <v>25000</v>
      </c>
      <c r="E13" s="46">
        <v>2.5000000000000001E-2</v>
      </c>
      <c r="F13" s="46">
        <f t="shared" si="0"/>
        <v>168.23687752355318</v>
      </c>
      <c r="H13" s="54" cm="1" vm="78">
        <f t="array" aca="1" ref="H13:M13" ca="1">TRANSPOSE(_xlfn.STOCKHISTORY(A13, DATE(2022, 2, 14), DATE(2022, 2, 22), 0, 0, 1) )</f>
        <v>152.49</v>
      </c>
      <c r="I13" s="54" vm="58">
        <f ca="1"/>
        <v>154.72</v>
      </c>
      <c r="J13" s="54" vm="79">
        <f ca="1"/>
        <v>155</v>
      </c>
      <c r="K13" s="54" vm="80">
        <f ca="1"/>
        <v>151.43</v>
      </c>
      <c r="L13" s="54" vm="81">
        <f ca="1"/>
        <v>152.13999999999999</v>
      </c>
      <c r="M13" s="54" vm="82">
        <f ca="1"/>
        <v>151.87</v>
      </c>
      <c r="O13" s="59"/>
      <c r="P13" s="59"/>
      <c r="Q13" s="59"/>
      <c r="R13" s="59"/>
      <c r="S13" s="59"/>
      <c r="T13" s="59"/>
    </row>
    <row r="14" spans="1:20" x14ac:dyDescent="0.25">
      <c r="A14" s="6" t="e" vm="83">
        <v>#VALUE!</v>
      </c>
      <c r="B14" s="45">
        <v>61.01</v>
      </c>
      <c r="C14" s="6">
        <v>0.67</v>
      </c>
      <c r="D14" s="46">
        <v>25000</v>
      </c>
      <c r="E14" s="46">
        <f xml:space="preserve"> 1/40</f>
        <v>2.5000000000000001E-2</v>
      </c>
      <c r="F14" s="46">
        <f t="shared" si="0"/>
        <v>409.76889034584497</v>
      </c>
      <c r="H14" s="54" cm="1" vm="84">
        <f t="array" aca="1" ref="H14:M14" ca="1">TRANSPOSE(_xlfn.STOCKHISTORY(A14, DATE(2022, 2, 14), DATE(2022, 2, 22), 0, 0, 1) )</f>
        <v>60.68</v>
      </c>
      <c r="I14" s="54" vm="85">
        <f ca="1"/>
        <v>60.91</v>
      </c>
      <c r="J14" s="54" vm="86">
        <f ca="1"/>
        <v>60.9</v>
      </c>
      <c r="K14" s="54" vm="87">
        <f ca="1"/>
        <v>62.12</v>
      </c>
      <c r="L14" s="54" vm="88">
        <f ca="1"/>
        <v>62.54</v>
      </c>
      <c r="M14" s="54" vm="89">
        <f ca="1"/>
        <v>62.28</v>
      </c>
      <c r="O14" s="59"/>
      <c r="P14" s="59"/>
      <c r="Q14" s="59"/>
      <c r="R14" s="59"/>
      <c r="S14" s="59"/>
      <c r="T14" s="59"/>
    </row>
    <row r="15" spans="1:20" x14ac:dyDescent="0.25">
      <c r="A15" s="6" t="e" vm="90">
        <v>#VALUE!</v>
      </c>
      <c r="B15" s="49">
        <v>173.52</v>
      </c>
      <c r="C15" s="6">
        <v>0.65</v>
      </c>
      <c r="D15" s="46">
        <v>25000</v>
      </c>
      <c r="E15" s="46">
        <v>2.5000000000000001E-2</v>
      </c>
      <c r="F15" s="46">
        <f t="shared" si="0"/>
        <v>144.07561088059012</v>
      </c>
      <c r="H15" s="54" cm="1" vm="91">
        <f t="array" aca="1" ref="H15:M15" ca="1">TRANSPOSE(_xlfn.STOCKHISTORY(A15, DATE(2022, 2, 14), DATE(2022, 2, 22), 0, 0, 1) )</f>
        <v>166.7</v>
      </c>
      <c r="I15" s="54" vm="92">
        <f ca="1"/>
        <v>165.96</v>
      </c>
      <c r="J15" s="54" vm="93">
        <f ca="1"/>
        <v>166.3</v>
      </c>
      <c r="K15" s="54" vm="94">
        <f ca="1"/>
        <v>166.75</v>
      </c>
      <c r="L15" s="54" vm="95">
        <f ca="1"/>
        <v>167.71</v>
      </c>
      <c r="M15" s="54" vm="96">
        <f ca="1"/>
        <v>168.35</v>
      </c>
      <c r="O15" s="59"/>
      <c r="P15" s="59"/>
      <c r="Q15" s="59"/>
      <c r="R15" s="59"/>
      <c r="S15" s="59"/>
      <c r="T15" s="59"/>
    </row>
    <row r="16" spans="1:20" x14ac:dyDescent="0.25">
      <c r="A16" s="6" t="e" vm="97">
        <v>#VALUE!</v>
      </c>
      <c r="B16" s="45">
        <v>53.8</v>
      </c>
      <c r="C16" s="6">
        <v>1.19</v>
      </c>
      <c r="D16" s="46">
        <v>25000</v>
      </c>
      <c r="E16" s="46">
        <v>2.5000000000000001E-2</v>
      </c>
      <c r="F16" s="46">
        <f t="shared" si="0"/>
        <v>464.68401486988853</v>
      </c>
      <c r="H16" s="54" cm="1" vm="98">
        <f t="array" aca="1" ref="H16:M16" ca="1">TRANSPOSE(_xlfn.STOCKHISTORY(A16, DATE(2022, 2, 14), DATE(2022, 2, 22), 0, 0, 1) )</f>
        <v>57.85</v>
      </c>
      <c r="I16" s="54" vm="99">
        <f ca="1"/>
        <v>58.38</v>
      </c>
      <c r="J16" s="54" vm="100">
        <f ca="1"/>
        <v>58.14</v>
      </c>
      <c r="K16" s="54" vm="101">
        <f ca="1"/>
        <v>56.15</v>
      </c>
      <c r="L16" s="54" vm="102">
        <f ca="1"/>
        <v>55.63</v>
      </c>
      <c r="M16" s="54" vm="103">
        <f ca="1"/>
        <v>55.28</v>
      </c>
      <c r="O16" s="59"/>
      <c r="P16" s="59"/>
      <c r="Q16" s="59"/>
      <c r="R16" s="59"/>
      <c r="S16" s="59"/>
      <c r="T16" s="59"/>
    </row>
    <row r="17" spans="1:20" x14ac:dyDescent="0.25">
      <c r="A17" s="6" t="e" vm="104">
        <v>#VALUE!</v>
      </c>
      <c r="B17" s="45">
        <v>313.08</v>
      </c>
      <c r="C17" s="6">
        <v>0.86</v>
      </c>
      <c r="D17" s="46">
        <v>25000</v>
      </c>
      <c r="E17" s="46">
        <f xml:space="preserve"> 1/40</f>
        <v>2.5000000000000001E-2</v>
      </c>
      <c r="F17" s="46">
        <f t="shared" si="0"/>
        <v>79.851795068353141</v>
      </c>
      <c r="H17" s="54" cm="1" vm="105">
        <f t="array" aca="1" ref="H17:M17" ca="1">TRANSPOSE(_xlfn.STOCKHISTORY(A17, DATE(2022, 2, 14), DATE(2022, 2, 22), 0, 0, 1) )</f>
        <v>314.27999999999997</v>
      </c>
      <c r="I17" s="54" vm="106">
        <f ca="1"/>
        <v>316.2</v>
      </c>
      <c r="J17" s="54" vm="107">
        <f ca="1"/>
        <v>315.64999999999998</v>
      </c>
      <c r="K17" s="54" vm="108">
        <f ca="1"/>
        <v>313.55</v>
      </c>
      <c r="L17" s="54" vm="109">
        <f ca="1"/>
        <v>314.8</v>
      </c>
      <c r="M17" s="54" vm="110">
        <f ca="1"/>
        <v>314.16000000000003</v>
      </c>
      <c r="O17" s="59"/>
      <c r="P17" s="59"/>
      <c r="Q17" s="59"/>
      <c r="R17" s="59"/>
      <c r="S17" s="59"/>
      <c r="T17" s="59"/>
    </row>
    <row r="18" spans="1:20" x14ac:dyDescent="0.25">
      <c r="A18" s="6" t="e" vm="111">
        <v>#VALUE!</v>
      </c>
      <c r="B18" s="45">
        <v>42.9</v>
      </c>
      <c r="C18" s="6">
        <v>0.85</v>
      </c>
      <c r="D18" s="46">
        <v>25000</v>
      </c>
      <c r="E18" s="46">
        <v>2.5000000000000001E-2</v>
      </c>
      <c r="F18" s="46">
        <f t="shared" si="0"/>
        <v>582.75058275058279</v>
      </c>
      <c r="H18" s="54" cm="1" vm="112">
        <f t="array" aca="1" ref="H18:M18" ca="1">TRANSPOSE(_xlfn.STOCKHISTORY(A18, DATE(2022, 2, 14), DATE(2022, 2, 22), 0, 0, 1) )</f>
        <v>42.73</v>
      </c>
      <c r="I18" s="54" vm="113">
        <f ca="1"/>
        <v>44.01</v>
      </c>
      <c r="J18" s="54" vm="114">
        <f ca="1"/>
        <v>44.19</v>
      </c>
      <c r="K18" s="54" vm="115">
        <f ca="1"/>
        <v>42.83</v>
      </c>
      <c r="L18" s="54" vm="116">
        <f ca="1"/>
        <v>42.55</v>
      </c>
      <c r="M18" s="54" vm="117">
        <f ca="1"/>
        <v>42.98</v>
      </c>
      <c r="O18" s="59"/>
      <c r="P18" s="59"/>
      <c r="Q18" s="59"/>
      <c r="R18" s="59"/>
      <c r="S18" s="59"/>
      <c r="T18" s="59"/>
    </row>
    <row r="19" spans="1:20" x14ac:dyDescent="0.25">
      <c r="A19" s="6" t="e" vm="118">
        <v>#VALUE!</v>
      </c>
      <c r="B19" s="45">
        <v>171.94</v>
      </c>
      <c r="C19" s="6">
        <v>1.18</v>
      </c>
      <c r="D19" s="46">
        <v>25000</v>
      </c>
      <c r="E19" s="46">
        <v>2.5000000000000001E-2</v>
      </c>
      <c r="F19" s="46">
        <f t="shared" si="0"/>
        <v>145.39955798534373</v>
      </c>
      <c r="H19" s="54" cm="1" vm="119">
        <f t="array" aca="1" ref="H19:M19" ca="1">TRANSPOSE(_xlfn.STOCKHISTORY(A19, DATE(2022, 2, 14), DATE(2022, 2, 22), 0, 0, 1) )</f>
        <v>114.12</v>
      </c>
      <c r="I19" s="54" vm="120">
        <f ca="1"/>
        <v>115.46</v>
      </c>
      <c r="J19" s="54" vm="121">
        <f ca="1"/>
        <v>110.54</v>
      </c>
      <c r="K19" s="54" vm="122">
        <f ca="1"/>
        <v>105.2</v>
      </c>
      <c r="L19" s="54" vm="123">
        <f ca="1"/>
        <v>103.65</v>
      </c>
      <c r="M19" s="54" vm="124">
        <f ca="1"/>
        <v>103.17</v>
      </c>
      <c r="O19" s="59"/>
      <c r="P19" s="59"/>
      <c r="Q19" s="59"/>
      <c r="R19" s="59"/>
      <c r="S19" s="59"/>
      <c r="T19" s="59"/>
    </row>
    <row r="20" spans="1:20" x14ac:dyDescent="0.25">
      <c r="A20" s="6" t="e" vm="125">
        <v>#VALUE!</v>
      </c>
      <c r="B20" s="45">
        <v>245.86</v>
      </c>
      <c r="C20" s="6">
        <v>1.29</v>
      </c>
      <c r="D20" s="46">
        <v>25000</v>
      </c>
      <c r="E20" s="46">
        <f xml:space="preserve"> 1/40</f>
        <v>2.5000000000000001E-2</v>
      </c>
      <c r="F20" s="46">
        <f t="shared" si="0"/>
        <v>101.68388513788334</v>
      </c>
      <c r="H20" s="54" cm="1" vm="126">
        <f t="array" aca="1" ref="H20:M20" ca="1">TRANSPOSE(_xlfn.STOCKHISTORY(A20, DATE(2022, 2, 14), DATE(2022, 2, 22), 0, 0, 1) )</f>
        <v>228.46</v>
      </c>
      <c r="I20" s="54" vm="127">
        <f ca="1"/>
        <v>230.4</v>
      </c>
      <c r="J20" s="54" vm="128">
        <f ca="1"/>
        <v>229.01</v>
      </c>
      <c r="K20" s="54" vm="129">
        <f ca="1"/>
        <v>224.37</v>
      </c>
      <c r="L20" s="54" vm="130">
        <f ca="1"/>
        <v>222.23</v>
      </c>
      <c r="M20" s="54" vm="131">
        <f ca="1"/>
        <v>217.79</v>
      </c>
      <c r="O20" s="59"/>
      <c r="P20" s="59"/>
      <c r="Q20" s="59"/>
      <c r="R20" s="59"/>
      <c r="S20" s="59"/>
      <c r="T20" s="59"/>
    </row>
    <row r="21" spans="1:20" x14ac:dyDescent="0.25">
      <c r="A21" s="6" t="e" vm="132">
        <v>#VALUE!</v>
      </c>
      <c r="B21" s="45">
        <v>354.68</v>
      </c>
      <c r="C21" s="6">
        <v>1.49</v>
      </c>
      <c r="D21" s="46">
        <v>25000</v>
      </c>
      <c r="E21" s="46">
        <v>2.5000000000000001E-2</v>
      </c>
      <c r="F21" s="46">
        <f t="shared" si="0"/>
        <v>70.486071952182243</v>
      </c>
      <c r="H21" s="54" cm="1" vm="133">
        <f t="array" aca="1" ref="H21:M21" ca="1">TRANSPOSE(_xlfn.STOCKHISTORY(A21, DATE(2022, 2, 14), DATE(2022, 2, 22), 0, 0, 1) )</f>
        <v>360.24</v>
      </c>
      <c r="I21" s="54" vm="134">
        <f ca="1"/>
        <v>363.94</v>
      </c>
      <c r="J21" s="54" vm="135">
        <f ca="1"/>
        <v>360.05</v>
      </c>
      <c r="K21" s="54" vm="136">
        <f ca="1"/>
        <v>349.06</v>
      </c>
      <c r="L21" s="54" vm="137">
        <f ca="1"/>
        <v>346.04</v>
      </c>
      <c r="M21" s="54" vm="138">
        <f ca="1"/>
        <v>344.27</v>
      </c>
      <c r="O21" s="59"/>
      <c r="P21" s="59"/>
      <c r="Q21" s="59"/>
      <c r="R21" s="59"/>
      <c r="S21" s="59"/>
      <c r="T21" s="59"/>
    </row>
    <row r="22" spans="1:20" x14ac:dyDescent="0.25">
      <c r="A22" s="6" t="e" vm="139">
        <v>#VALUE!</v>
      </c>
      <c r="B22" s="45">
        <v>133.57</v>
      </c>
      <c r="C22" s="6">
        <v>1.0900000000000001</v>
      </c>
      <c r="D22" s="46">
        <v>25000</v>
      </c>
      <c r="E22" s="46">
        <v>2.5000000000000001E-2</v>
      </c>
      <c r="F22" s="46">
        <f t="shared" si="0"/>
        <v>187.16777719547804</v>
      </c>
      <c r="H22" s="54" cm="1" vm="140">
        <f t="array" aca="1" ref="H22:M22" ca="1">TRANSPOSE(_xlfn.STOCKHISTORY(A22, DATE(2022, 2, 14), DATE(2022, 2, 22), 0, 0, 1) )</f>
        <v>130.15</v>
      </c>
      <c r="I22" s="54" vm="141">
        <f ca="1"/>
        <v>129.94</v>
      </c>
      <c r="J22" s="55" vm="142">
        <f ca="1"/>
        <v>129.18</v>
      </c>
      <c r="K22" s="55" vm="143">
        <f ca="1"/>
        <v>124.97</v>
      </c>
      <c r="L22" s="55" vm="144">
        <f ca="1"/>
        <v>124.35</v>
      </c>
      <c r="M22" s="55" vm="145">
        <f ca="1"/>
        <v>123.92</v>
      </c>
      <c r="O22" s="59"/>
      <c r="P22" s="59"/>
      <c r="Q22" s="59"/>
      <c r="R22" s="59"/>
      <c r="S22" s="59"/>
      <c r="T22" s="59"/>
    </row>
    <row r="23" spans="1:20" x14ac:dyDescent="0.25">
      <c r="A23" s="6" t="e" vm="146">
        <v>#VALUE!</v>
      </c>
      <c r="B23" s="45">
        <v>48.82</v>
      </c>
      <c r="C23" s="6">
        <v>0.54</v>
      </c>
      <c r="D23" s="46">
        <v>25000</v>
      </c>
      <c r="E23" s="46">
        <f xml:space="preserve"> 1/40</f>
        <v>2.5000000000000001E-2</v>
      </c>
      <c r="F23" s="46">
        <f t="shared" si="0"/>
        <v>512.08521097910693</v>
      </c>
      <c r="H23" s="54" cm="1" vm="147">
        <f t="array" aca="1" ref="H23:M23" ca="1">TRANSPOSE(_xlfn.STOCKHISTORY(A23, DATE(2022, 2, 14), DATE(2022, 2, 22), 0, 0, 1) )</f>
        <v>47.58</v>
      </c>
      <c r="I23" s="56" vm="148">
        <f ca="1"/>
        <v>48.44</v>
      </c>
      <c r="J23" s="54" vm="149">
        <f ca="1"/>
        <v>48.23</v>
      </c>
      <c r="K23" s="54" vm="150">
        <f ca="1"/>
        <v>47.57</v>
      </c>
      <c r="L23" s="54" vm="151">
        <f ca="1"/>
        <v>45.04</v>
      </c>
      <c r="M23" s="54" vm="152">
        <f ca="1"/>
        <v>44.69</v>
      </c>
      <c r="O23" s="59"/>
      <c r="P23" s="59"/>
      <c r="Q23" s="59"/>
      <c r="R23" s="59"/>
      <c r="S23" s="59"/>
      <c r="T23" s="59"/>
    </row>
    <row r="24" spans="1:20" x14ac:dyDescent="0.25">
      <c r="A24" s="6" t="e" vm="153">
        <v>#VALUE!</v>
      </c>
      <c r="B24" s="45">
        <v>389.13</v>
      </c>
      <c r="C24" s="6">
        <v>0.85</v>
      </c>
      <c r="D24" s="46">
        <v>25000</v>
      </c>
      <c r="E24" s="46">
        <v>2.5000000000000001E-2</v>
      </c>
      <c r="F24" s="46">
        <f t="shared" si="0"/>
        <v>64.245881838974128</v>
      </c>
      <c r="H24" s="54" cm="1" vm="154">
        <f t="array" aca="1" ref="H24:M24" ca="1">TRANSPOSE(_xlfn.STOCKHISTORY(A24, DATE(2022, 2, 14), DATE(2022, 2, 22), 0, 0, 1) )</f>
        <v>386.97</v>
      </c>
      <c r="I24" s="56" vm="155">
        <f ca="1"/>
        <v>382.22</v>
      </c>
      <c r="J24" s="54" vm="156">
        <f ca="1"/>
        <v>386.9</v>
      </c>
      <c r="K24" s="54" vm="157">
        <f ca="1"/>
        <v>388.77</v>
      </c>
      <c r="L24" s="54" vm="158">
        <f ca="1"/>
        <v>386.46</v>
      </c>
      <c r="M24" s="54" vm="159">
        <f ca="1"/>
        <v>386.2</v>
      </c>
      <c r="O24" s="59"/>
      <c r="P24" s="59"/>
      <c r="Q24" s="59"/>
      <c r="R24" s="59"/>
      <c r="S24" s="59"/>
      <c r="T24" s="59"/>
    </row>
    <row r="25" spans="1:20" x14ac:dyDescent="0.25">
      <c r="A25" s="6" t="e" vm="160">
        <v>#VALUE!</v>
      </c>
      <c r="B25" s="45">
        <v>259.45</v>
      </c>
      <c r="C25" s="6">
        <v>0.6</v>
      </c>
      <c r="D25" s="46">
        <v>25000</v>
      </c>
      <c r="E25" s="46">
        <v>2.5000000000000001E-2</v>
      </c>
      <c r="F25" s="46">
        <f t="shared" si="0"/>
        <v>96.357679707072663</v>
      </c>
      <c r="H25" s="54" cm="1" vm="161">
        <f t="array" aca="1" ref="H25:M25" ca="1">TRANSPOSE(_xlfn.STOCKHISTORY(A25, DATE(2022, 2, 14), DATE(2022, 2, 22), 0, 0, 1) )</f>
        <v>253.39</v>
      </c>
      <c r="I25" s="54" vm="162">
        <f ca="1"/>
        <v>253.81</v>
      </c>
      <c r="J25" s="54" vm="163">
        <f ca="1"/>
        <v>253.09</v>
      </c>
      <c r="K25" s="54" vm="164">
        <f ca="1"/>
        <v>250.93</v>
      </c>
      <c r="L25" s="54" vm="165">
        <f ca="1"/>
        <v>250.6</v>
      </c>
      <c r="M25" s="54" vm="166">
        <f ca="1"/>
        <v>252.7</v>
      </c>
      <c r="O25" s="59"/>
      <c r="P25" s="59"/>
      <c r="Q25" s="59"/>
      <c r="R25" s="59"/>
      <c r="S25" s="59"/>
      <c r="T25" s="59"/>
    </row>
    <row r="26" spans="1:20" x14ac:dyDescent="0.25">
      <c r="A26" s="6" t="e" vm="167">
        <v>#VALUE!</v>
      </c>
      <c r="B26" s="45">
        <v>310.98</v>
      </c>
      <c r="C26" s="6">
        <v>0.89</v>
      </c>
      <c r="D26" s="46">
        <v>25000</v>
      </c>
      <c r="E26" s="46">
        <f xml:space="preserve"> 1/40</f>
        <v>2.5000000000000001E-2</v>
      </c>
      <c r="F26" s="46">
        <f t="shared" si="0"/>
        <v>80.391021930670775</v>
      </c>
      <c r="H26" s="54" cm="1" vm="168">
        <f t="array" aca="1" ref="H26:M26" ca="1">TRANSPOSE(_xlfn.STOCKHISTORY(A26, DATE(2022, 2, 14), DATE(2022, 2, 22), 0, 0, 1) )</f>
        <v>295</v>
      </c>
      <c r="I26" s="56" vm="169">
        <f ca="1"/>
        <v>300.47000000000003</v>
      </c>
      <c r="J26" s="54" vm="170">
        <f ca="1"/>
        <v>299.5</v>
      </c>
      <c r="K26" s="54" vm="171">
        <f ca="1"/>
        <v>290.73</v>
      </c>
      <c r="L26" s="54" vm="172">
        <f ca="1"/>
        <v>287.93</v>
      </c>
      <c r="M26" s="54" vm="173">
        <f ca="1"/>
        <v>287.72000000000003</v>
      </c>
      <c r="O26" s="59"/>
      <c r="P26" s="59"/>
      <c r="Q26" s="59"/>
      <c r="R26" s="59"/>
      <c r="S26" s="59"/>
      <c r="T26" s="59"/>
    </row>
    <row r="27" spans="1:20" x14ac:dyDescent="0.25">
      <c r="A27" s="6" t="e" vm="174">
        <v>#VALUE!</v>
      </c>
      <c r="B27" s="45">
        <v>81.16</v>
      </c>
      <c r="C27" s="6">
        <v>0.81</v>
      </c>
      <c r="D27" s="46">
        <v>25000</v>
      </c>
      <c r="E27" s="46">
        <v>2.5000000000000001E-2</v>
      </c>
      <c r="F27" s="46">
        <f t="shared" si="0"/>
        <v>308.03351404632826</v>
      </c>
      <c r="H27" s="54" cm="1" vm="175">
        <f t="array" aca="1" ref="H27:M27" ca="1">TRANSPOSE(_xlfn.STOCKHISTORY(A27, DATE(2022, 2, 14), DATE(2022, 2, 22), 0, 0, 1) )</f>
        <v>78.95</v>
      </c>
      <c r="I27" s="56" vm="176">
        <f ca="1"/>
        <v>79.77</v>
      </c>
      <c r="J27" s="54" vm="177">
        <f ca="1"/>
        <v>79.19</v>
      </c>
      <c r="K27" s="54" vm="178">
        <f ca="1"/>
        <v>75.53</v>
      </c>
      <c r="L27" s="54" vm="179">
        <f ca="1"/>
        <v>74.569999999999993</v>
      </c>
      <c r="M27" s="54" vm="180">
        <f ca="1"/>
        <v>74.12</v>
      </c>
      <c r="O27" s="59"/>
      <c r="P27" s="59"/>
      <c r="Q27" s="59"/>
      <c r="R27" s="59"/>
      <c r="S27" s="59"/>
      <c r="T27" s="59"/>
    </row>
    <row r="28" spans="1:20" x14ac:dyDescent="0.25">
      <c r="A28" s="6" t="e" vm="181">
        <v>#VALUE!</v>
      </c>
      <c r="B28" s="45">
        <v>175.76</v>
      </c>
      <c r="C28" s="6">
        <v>1.26</v>
      </c>
      <c r="D28" s="46">
        <v>25000</v>
      </c>
      <c r="E28" s="46">
        <v>2.5000000000000001E-2</v>
      </c>
      <c r="F28" s="46">
        <f t="shared" si="0"/>
        <v>142.23941738734638</v>
      </c>
      <c r="H28" s="54" cm="1" vm="182">
        <f t="array" aca="1" ref="H28:M28" ca="1">TRANSPOSE(_xlfn.STOCKHISTORY(A28, DATE(2022, 2, 14), DATE(2022, 2, 22), 0, 0, 1) )</f>
        <v>165.13</v>
      </c>
      <c r="I28" s="56" vm="183">
        <f ca="1"/>
        <v>173</v>
      </c>
      <c r="J28" s="54" vm="184">
        <f ca="1"/>
        <v>172.6</v>
      </c>
      <c r="K28" s="54" vm="185">
        <f ca="1"/>
        <v>166.8</v>
      </c>
      <c r="L28" s="54" vm="186">
        <f ca="1"/>
        <v>167.64</v>
      </c>
      <c r="M28" s="54" vm="187">
        <f ca="1"/>
        <v>165.89</v>
      </c>
      <c r="O28" s="59"/>
      <c r="P28" s="59"/>
      <c r="Q28" s="59"/>
      <c r="R28" s="59"/>
      <c r="S28" s="59"/>
      <c r="T28" s="59"/>
    </row>
    <row r="29" spans="1:20" x14ac:dyDescent="0.25">
      <c r="A29" s="6" t="e" vm="188">
        <v>#VALUE!</v>
      </c>
      <c r="B29" s="49">
        <v>313.26</v>
      </c>
      <c r="C29" s="6">
        <v>1.29</v>
      </c>
      <c r="D29" s="46">
        <v>25000</v>
      </c>
      <c r="E29" s="46">
        <f xml:space="preserve"> 1/40</f>
        <v>2.5000000000000001E-2</v>
      </c>
      <c r="F29" s="46">
        <f t="shared" si="0"/>
        <v>79.805912021962584</v>
      </c>
      <c r="H29" s="54" cm="1" vm="189">
        <f t="array" aca="1" ref="H29:M29" ca="1">TRANSPOSE(_xlfn.STOCKHISTORY(A29, DATE(2022, 2, 14), DATE(2022, 2, 22), 0, 0, 1) )</f>
        <v>217.7</v>
      </c>
      <c r="I29" s="56" vm="190">
        <f ca="1"/>
        <v>221</v>
      </c>
      <c r="J29" s="54" vm="191">
        <f ca="1"/>
        <v>216.54</v>
      </c>
      <c r="K29" s="54" vm="192">
        <f ca="1"/>
        <v>207.71</v>
      </c>
      <c r="L29" s="54" vm="193">
        <f ca="1"/>
        <v>206.16</v>
      </c>
      <c r="M29" s="54" vm="194">
        <f ca="1"/>
        <v>202.08</v>
      </c>
      <c r="O29" s="59"/>
      <c r="P29" s="59"/>
      <c r="Q29" s="59"/>
      <c r="R29" s="59"/>
      <c r="S29" s="59"/>
      <c r="T29" s="59"/>
    </row>
    <row r="30" spans="1:20" x14ac:dyDescent="0.25">
      <c r="A30" s="6" t="e" vm="195">
        <v>#VALUE!</v>
      </c>
      <c r="B30" s="45">
        <v>226.17</v>
      </c>
      <c r="C30" s="45">
        <v>0.92</v>
      </c>
      <c r="D30" s="46">
        <v>25000</v>
      </c>
      <c r="E30" s="46">
        <v>2.5000000000000001E-2</v>
      </c>
      <c r="F30" s="46">
        <f t="shared" si="0"/>
        <v>110.53632223548659</v>
      </c>
      <c r="H30" s="54" cm="1" vm="196">
        <f t="array" aca="1" ref="H30:M30" ca="1">TRANSPOSE(_xlfn.STOCKHISTORY(A30, DATE(2022, 2, 14), DATE(2022, 2, 22), 0, 0, 1) )</f>
        <v>225.34</v>
      </c>
      <c r="I30" s="56" vm="197">
        <f ca="1"/>
        <v>227.82</v>
      </c>
      <c r="J30" s="54" vm="198">
        <f ca="1"/>
        <v>228.82</v>
      </c>
      <c r="K30" s="54" vm="199">
        <f ca="1"/>
        <v>224.61</v>
      </c>
      <c r="L30" s="54" vm="200">
        <f ca="1"/>
        <v>222.69</v>
      </c>
      <c r="M30" s="54" vm="201">
        <f ca="1"/>
        <v>221.32</v>
      </c>
      <c r="O30" s="59"/>
      <c r="P30" s="59"/>
      <c r="Q30" s="59"/>
      <c r="R30" s="59"/>
      <c r="S30" s="59"/>
      <c r="T30" s="59"/>
    </row>
    <row r="31" spans="1:20" x14ac:dyDescent="0.25">
      <c r="A31" s="6" t="e" vm="202">
        <v>#VALUE!</v>
      </c>
      <c r="B31" s="45">
        <v>37.51</v>
      </c>
      <c r="C31" s="6">
        <v>0.75</v>
      </c>
      <c r="D31" s="46">
        <v>25000</v>
      </c>
      <c r="E31" s="46">
        <v>2.5000000000000001E-2</v>
      </c>
      <c r="F31" s="46">
        <f t="shared" si="0"/>
        <v>666.48893628365772</v>
      </c>
      <c r="H31" s="54" cm="1" vm="203">
        <f t="array" aca="1" ref="H31:M31" ca="1">TRANSPOSE(_xlfn.STOCKHISTORY(A31, DATE(2022, 2, 14), DATE(2022, 2, 22), 0, 0, 1) )</f>
        <v>35.69</v>
      </c>
      <c r="I31" s="56" vm="204">
        <f ca="1"/>
        <v>36.979999999999997</v>
      </c>
      <c r="J31" s="54" vm="205">
        <f ca="1"/>
        <v>36.24</v>
      </c>
      <c r="K31" s="54" vm="206">
        <f ca="1"/>
        <v>35.43</v>
      </c>
      <c r="L31" s="54" vm="207">
        <f ca="1"/>
        <v>34.32</v>
      </c>
      <c r="M31" s="54" vm="208">
        <f ca="1"/>
        <v>32.93</v>
      </c>
      <c r="O31" s="59"/>
      <c r="P31" s="59"/>
      <c r="Q31" s="59"/>
      <c r="R31" s="59"/>
      <c r="S31" s="59"/>
      <c r="T31" s="59"/>
    </row>
    <row r="32" spans="1:20" x14ac:dyDescent="0.25">
      <c r="A32" s="6" t="e" vm="209">
        <v>#VALUE!</v>
      </c>
      <c r="B32" s="45">
        <v>98.32</v>
      </c>
      <c r="C32" s="6">
        <v>0.89</v>
      </c>
      <c r="D32" s="46">
        <v>25000</v>
      </c>
      <c r="E32" s="46">
        <f xml:space="preserve"> 1/40</f>
        <v>2.5000000000000001E-2</v>
      </c>
      <c r="F32" s="46">
        <f t="shared" si="0"/>
        <v>254.27176566314077</v>
      </c>
      <c r="H32" s="54" cm="1" vm="210">
        <f t="array" aca="1" ref="H32:M32" ca="1">TRANSPOSE(_xlfn.STOCKHISTORY(A32, DATE(2022, 2, 14), DATE(2022, 2, 22), 0, 0, 1) )</f>
        <v>93.65</v>
      </c>
      <c r="I32" s="56" vm="211">
        <f ca="1"/>
        <v>94.51</v>
      </c>
      <c r="J32" s="54" vm="212">
        <f ca="1"/>
        <v>95.18</v>
      </c>
      <c r="K32" s="54" vm="213">
        <f ca="1"/>
        <v>93.05</v>
      </c>
      <c r="L32" s="54" vm="214">
        <f ca="1"/>
        <v>93.34</v>
      </c>
      <c r="M32" s="54" vm="215">
        <f ca="1"/>
        <v>93.11</v>
      </c>
      <c r="O32" s="59"/>
      <c r="P32" s="59"/>
      <c r="Q32" s="59"/>
      <c r="R32" s="59"/>
      <c r="S32" s="59"/>
      <c r="T32" s="59"/>
    </row>
    <row r="33" spans="1:21" x14ac:dyDescent="0.25">
      <c r="A33" s="6" t="e" vm="216">
        <v>#VALUE!</v>
      </c>
      <c r="B33" s="45">
        <v>90.19</v>
      </c>
      <c r="C33" s="47" cm="1">
        <f t="array" ref="C33">_FV(A33,"Beta")</f>
        <v>1.3319000000000001</v>
      </c>
      <c r="D33" s="46">
        <v>25000</v>
      </c>
      <c r="E33" s="46">
        <v>2.5000000000000001E-2</v>
      </c>
      <c r="F33" s="46">
        <f t="shared" si="0"/>
        <v>277.19259341390398</v>
      </c>
      <c r="H33" s="54" cm="1" vm="217">
        <f t="array" aca="1" ref="H33:M33" ca="1">TRANSPOSE(_xlfn.STOCKHISTORY(A33, DATE(2022, 2, 14), DATE(2022, 2, 22), 0, 0, 1) )</f>
        <v>93.57</v>
      </c>
      <c r="I33" s="56" vm="218">
        <f ca="1"/>
        <v>94.04</v>
      </c>
      <c r="J33" s="54" vm="219">
        <f ca="1"/>
        <v>94.75</v>
      </c>
      <c r="K33" s="54" vm="220">
        <f ca="1"/>
        <v>94.36</v>
      </c>
      <c r="L33" s="54" vm="221">
        <f ca="1"/>
        <v>93.37</v>
      </c>
      <c r="M33" s="54" vm="222">
        <f ca="1"/>
        <v>93.54</v>
      </c>
      <c r="O33" s="59"/>
      <c r="P33" s="59"/>
      <c r="Q33" s="59"/>
      <c r="R33" s="59"/>
      <c r="S33" s="59"/>
      <c r="T33" s="59"/>
    </row>
    <row r="34" spans="1:21" x14ac:dyDescent="0.25">
      <c r="A34" s="6" t="e" vm="223">
        <v>#VALUE!</v>
      </c>
      <c r="B34" s="45">
        <v>148.07</v>
      </c>
      <c r="C34" s="47" cm="1">
        <f t="array" ref="C34">_FV(A34,"Beta")</f>
        <v>0.96409999999999996</v>
      </c>
      <c r="D34" s="46">
        <v>25000</v>
      </c>
      <c r="E34" s="46">
        <v>2.5000000000000001E-2</v>
      </c>
      <c r="F34" s="46">
        <f t="shared" si="0"/>
        <v>168.83906260552442</v>
      </c>
      <c r="H34" s="54" cm="1" vm="224">
        <f t="array" aca="1" ref="H34:M34" ca="1">TRANSPOSE(_xlfn.STOCKHISTORY(A34, DATE(2022, 2, 14), DATE(2022, 2, 22), 0, 0, 1) )</f>
        <v>141.59</v>
      </c>
      <c r="I34" s="56" vm="225">
        <f ca="1"/>
        <v>145.58000000000001</v>
      </c>
      <c r="J34" s="54" vm="226">
        <f ca="1"/>
        <v>146.49</v>
      </c>
      <c r="K34" s="54" vm="227">
        <f ca="1"/>
        <v>142.80000000000001</v>
      </c>
      <c r="L34" s="54" vm="228">
        <f ca="1"/>
        <v>142.94999999999999</v>
      </c>
      <c r="M34" s="54" vm="229">
        <f ca="1"/>
        <v>138.19</v>
      </c>
      <c r="O34" s="59"/>
      <c r="P34" s="59"/>
      <c r="Q34" s="59"/>
      <c r="R34" s="59"/>
      <c r="S34" s="59"/>
      <c r="T34" s="59"/>
    </row>
    <row r="35" spans="1:21" x14ac:dyDescent="0.25">
      <c r="A35" s="6" t="e" vm="230">
        <v>#VALUE!</v>
      </c>
      <c r="B35" s="45">
        <v>86.72</v>
      </c>
      <c r="C35" s="47" cm="1">
        <f t="array" ref="C35">_FV(A35,"Beta")</f>
        <v>1.1362000000000001</v>
      </c>
      <c r="D35" s="46">
        <v>25000</v>
      </c>
      <c r="E35" s="46">
        <f xml:space="preserve"> 1/40</f>
        <v>2.5000000000000001E-2</v>
      </c>
      <c r="F35" s="46">
        <f t="shared" si="0"/>
        <v>288.28413284132841</v>
      </c>
      <c r="H35" s="54" cm="1" vm="231">
        <f t="array" aca="1" ref="H35:M35" ca="1">TRANSPOSE(_xlfn.STOCKHISTORY(A35, DATE(2022, 2, 14), DATE(2022, 2, 22), 0, 0, 1) )</f>
        <v>82.57</v>
      </c>
      <c r="I35" s="56" vm="232">
        <f ca="1"/>
        <v>82.78</v>
      </c>
      <c r="J35" s="54" vm="233">
        <f ca="1"/>
        <v>83.22</v>
      </c>
      <c r="K35" s="54" vm="234">
        <f ca="1"/>
        <v>82.14</v>
      </c>
      <c r="L35" s="54" vm="235">
        <f ca="1"/>
        <v>81.27</v>
      </c>
      <c r="M35" s="54" vm="236">
        <f ca="1"/>
        <v>81.650000000000006</v>
      </c>
      <c r="O35" s="59"/>
      <c r="P35" s="59"/>
      <c r="Q35" s="59"/>
      <c r="R35" s="59"/>
      <c r="S35" s="59"/>
      <c r="T35" s="59"/>
    </row>
    <row r="36" spans="1:21" x14ac:dyDescent="0.25">
      <c r="A36" s="6" t="e" vm="237">
        <v>#VALUE!</v>
      </c>
      <c r="B36" s="45">
        <v>35.799999999999997</v>
      </c>
      <c r="C36" s="47" cm="1">
        <f t="array" ref="C36">_FV(A36,"Beta")</f>
        <v>0.94950000000000001</v>
      </c>
      <c r="D36" s="46">
        <v>25000</v>
      </c>
      <c r="E36" s="46">
        <v>2.5000000000000001E-2</v>
      </c>
      <c r="F36" s="46">
        <f t="shared" si="0"/>
        <v>698.32402234636879</v>
      </c>
      <c r="H36" s="54" cm="1" vm="238">
        <f t="array" aca="1" ref="H36:M36" ca="1">TRANSPOSE(_xlfn.STOCKHISTORY(A36, DATE(2022, 2, 14), DATE(2022, 2, 22), 0, 0, 1) )</f>
        <v>34.590000000000003</v>
      </c>
      <c r="I36" s="54" vm="239">
        <f ca="1"/>
        <v>34.68</v>
      </c>
      <c r="J36" s="54" vm="240">
        <f ca="1"/>
        <v>36.619999999999997</v>
      </c>
      <c r="K36" s="54" vm="241">
        <f ca="1"/>
        <v>37.79</v>
      </c>
      <c r="L36" s="54" vm="242">
        <f ca="1"/>
        <v>38.46</v>
      </c>
      <c r="M36" s="54" vm="243">
        <f ca="1"/>
        <v>40.4</v>
      </c>
      <c r="O36" s="59"/>
      <c r="P36" s="59"/>
      <c r="Q36" s="59"/>
      <c r="R36" s="59"/>
      <c r="S36" s="59"/>
      <c r="T36" s="59"/>
    </row>
    <row r="37" spans="1:21" x14ac:dyDescent="0.25">
      <c r="A37" s="6" t="e" vm="244">
        <v>#VALUE!</v>
      </c>
      <c r="B37" s="45">
        <v>197.07</v>
      </c>
      <c r="C37" s="47" cm="1">
        <f t="array" ref="C37">_FV(A37,"Beta")</f>
        <v>0.37790000000000001</v>
      </c>
      <c r="D37" s="46">
        <v>25000</v>
      </c>
      <c r="E37" s="46">
        <v>2.5000000000000001E-2</v>
      </c>
      <c r="F37" s="46">
        <f t="shared" si="0"/>
        <v>126.85847668341199</v>
      </c>
      <c r="H37" s="54" cm="1" vm="245">
        <f t="array" aca="1" ref="H37:M37" ca="1">TRANSPOSE(_xlfn.STOCKHISTORY(A37, DATE(2022, 2, 14), DATE(2022, 2, 22), 0, 0, 1) )</f>
        <v>203.35</v>
      </c>
      <c r="I37" s="56" vm="246">
        <f ca="1"/>
        <v>202.88</v>
      </c>
      <c r="J37" s="54" vm="247">
        <f ca="1"/>
        <v>202.65</v>
      </c>
      <c r="K37" s="54" vm="248">
        <f ca="1"/>
        <v>202.03</v>
      </c>
      <c r="L37" s="54" vm="249">
        <f ca="1"/>
        <v>202.59</v>
      </c>
      <c r="M37" s="54" vm="248">
        <f ca="1"/>
        <v>202.03</v>
      </c>
      <c r="O37" s="59"/>
      <c r="P37" s="59"/>
      <c r="Q37" s="59"/>
      <c r="R37" s="59"/>
      <c r="S37" s="59"/>
      <c r="T37" s="59"/>
    </row>
    <row r="38" spans="1:21" x14ac:dyDescent="0.25">
      <c r="A38" s="6" t="e" vm="250">
        <v>#VALUE!</v>
      </c>
      <c r="B38" s="45">
        <v>52.73</v>
      </c>
      <c r="C38" s="47" cm="1">
        <f t="array" ref="C38">_FV(A38,"Beta")</f>
        <v>1.2203999999999999</v>
      </c>
      <c r="D38" s="46">
        <v>25000</v>
      </c>
      <c r="E38" s="46">
        <f xml:space="preserve"> 1/40</f>
        <v>2.5000000000000001E-2</v>
      </c>
      <c r="F38" s="46">
        <f t="shared" si="0"/>
        <v>474.11340792717618</v>
      </c>
      <c r="H38" s="54" cm="1" vm="251">
        <f t="array" aca="1" ref="H38:M38" ca="1">TRANSPOSE(_xlfn.STOCKHISTORY(A38, DATE(2022, 2, 14), DATE(2022, 2, 22), 0, 0, 1) )</f>
        <v>48.4</v>
      </c>
      <c r="I38" s="56" vm="252">
        <f ca="1"/>
        <v>49.67</v>
      </c>
      <c r="J38" s="54" vm="253">
        <f ca="1"/>
        <v>50.43</v>
      </c>
      <c r="K38" s="54" vm="254">
        <f ca="1"/>
        <v>48.82</v>
      </c>
      <c r="L38" s="54" vm="255">
        <f ca="1"/>
        <v>48.6</v>
      </c>
      <c r="M38" s="54" vm="256">
        <f ca="1"/>
        <v>46.77</v>
      </c>
      <c r="O38" s="59"/>
      <c r="P38" s="59"/>
      <c r="Q38" s="59"/>
      <c r="R38" s="59"/>
      <c r="S38" s="59"/>
      <c r="T38" s="59"/>
    </row>
    <row r="39" spans="1:21" x14ac:dyDescent="0.25">
      <c r="A39" s="6" t="e" vm="257">
        <v>#VALUE!</v>
      </c>
      <c r="B39" s="45">
        <v>297.24</v>
      </c>
      <c r="C39" s="47" cm="1">
        <f t="array" ref="C39">_FV(A39,"Beta")</f>
        <v>1.1565000000000001</v>
      </c>
      <c r="D39" s="46">
        <v>25000</v>
      </c>
      <c r="E39" s="46">
        <v>2.5000000000000001E-2</v>
      </c>
      <c r="F39" s="46">
        <f t="shared" si="0"/>
        <v>84.107118826537473</v>
      </c>
      <c r="H39" s="54" cm="1" vm="258">
        <f t="array" aca="1" ref="H39:M39" ca="1">TRANSPOSE(_xlfn.STOCKHISTORY(A39, DATE(2022, 2, 14), DATE(2022, 2, 22), 0, 0, 1) )</f>
        <v>310.35000000000002</v>
      </c>
      <c r="I39" s="56" vm="259">
        <f ca="1"/>
        <v>322.42</v>
      </c>
      <c r="J39" s="54" vm="260">
        <f ca="1"/>
        <v>320.36</v>
      </c>
      <c r="K39" s="54" vm="261">
        <f ca="1"/>
        <v>310.54000000000002</v>
      </c>
      <c r="L39" s="54" vm="262">
        <f ca="1"/>
        <v>304.85000000000002</v>
      </c>
      <c r="M39" s="54" vm="263">
        <f ca="1"/>
        <v>297.39999999999998</v>
      </c>
      <c r="O39" s="59"/>
      <c r="P39" s="59"/>
      <c r="Q39" s="59"/>
      <c r="R39" s="59"/>
      <c r="S39" s="59"/>
      <c r="T39" s="59"/>
    </row>
    <row r="40" spans="1:21" x14ac:dyDescent="0.25">
      <c r="A40" s="6" t="e" vm="264">
        <v>#VALUE!</v>
      </c>
      <c r="B40" s="45">
        <v>20.3</v>
      </c>
      <c r="C40" s="47" cm="1">
        <f t="array" ref="C40">_FV(A40,"Beta")</f>
        <v>1.1218999999999999</v>
      </c>
      <c r="D40" s="46">
        <v>25000</v>
      </c>
      <c r="E40" s="46">
        <v>2.5000000000000001E-2</v>
      </c>
      <c r="F40" s="46">
        <f t="shared" si="0"/>
        <v>1231.5270935960591</v>
      </c>
      <c r="H40" s="54" cm="1" vm="265">
        <f t="array" aca="1" ref="H40:M40" ca="1">TRANSPOSE(_xlfn.STOCKHISTORY(A40, DATE(2022, 2, 14), DATE(2022, 2, 22), 0, 0, 1) )</f>
        <v>17.46</v>
      </c>
      <c r="I40" s="56" vm="266">
        <f ca="1"/>
        <v>18.079999999999998</v>
      </c>
      <c r="J40" s="54" vm="267">
        <f ca="1"/>
        <v>18.010000000000002</v>
      </c>
      <c r="K40" s="54" vm="268">
        <f ca="1"/>
        <v>17.54</v>
      </c>
      <c r="L40" s="54" vm="269">
        <f ca="1"/>
        <v>18.04</v>
      </c>
      <c r="M40" s="54" vm="270">
        <f ca="1"/>
        <v>17.29</v>
      </c>
      <c r="O40" s="59"/>
      <c r="P40" s="59"/>
      <c r="Q40" s="59"/>
      <c r="R40" s="59"/>
      <c r="S40" s="59"/>
      <c r="T40" s="59"/>
    </row>
    <row r="41" spans="1:21" x14ac:dyDescent="0.25">
      <c r="A41" s="6" t="e" vm="271">
        <v>#VALUE!</v>
      </c>
      <c r="B41" s="45">
        <v>421.89</v>
      </c>
      <c r="C41" s="47" cm="1">
        <f t="array" ref="C41">_FV(A41,"Beta")</f>
        <v>0.80889999999999995</v>
      </c>
      <c r="D41" s="46">
        <v>25000</v>
      </c>
      <c r="E41" s="46">
        <f xml:space="preserve"> 1/40</f>
        <v>2.5000000000000001E-2</v>
      </c>
      <c r="F41" s="46">
        <f t="shared" si="0"/>
        <v>59.257152338287234</v>
      </c>
      <c r="H41" s="54" cm="1" vm="272">
        <f t="array" aca="1" ref="H41:M41" ca="1">TRANSPOSE(_xlfn.STOCKHISTORY(A41, DATE(2022, 2, 14), DATE(2022, 2, 22), 0, 0, 1) )</f>
        <v>400.03</v>
      </c>
      <c r="I41" s="56" vm="273">
        <f ca="1"/>
        <v>408</v>
      </c>
      <c r="J41" s="54" vm="274">
        <f ca="1"/>
        <v>412.32</v>
      </c>
      <c r="K41" s="54" vm="275">
        <f ca="1"/>
        <v>405.68</v>
      </c>
      <c r="L41" s="54" vm="276">
        <f ca="1"/>
        <v>403.01</v>
      </c>
      <c r="M41" s="54" vm="277">
        <f ca="1"/>
        <v>404.15</v>
      </c>
      <c r="O41" s="59"/>
      <c r="P41" s="59"/>
      <c r="Q41" s="59"/>
      <c r="R41" s="59"/>
      <c r="S41" s="59"/>
      <c r="T41" s="59"/>
    </row>
    <row r="42" spans="1:21" x14ac:dyDescent="0.25">
      <c r="F42" s="2"/>
      <c r="I42" s="41"/>
      <c r="K42" s="16"/>
      <c r="L42" s="16"/>
      <c r="M42" s="16"/>
    </row>
    <row r="43" spans="1:21" x14ac:dyDescent="0.25">
      <c r="F43" s="2"/>
      <c r="G43" s="2" t="s">
        <v>0</v>
      </c>
      <c r="H43" s="66" t="s">
        <v>84</v>
      </c>
      <c r="I43" s="67" t="s">
        <v>85</v>
      </c>
      <c r="J43" s="66" t="s">
        <v>86</v>
      </c>
      <c r="K43" s="66" t="s">
        <v>87</v>
      </c>
      <c r="L43" s="66" t="s">
        <v>88</v>
      </c>
      <c r="M43" s="66" t="s">
        <v>89</v>
      </c>
      <c r="O43" s="2" t="s">
        <v>0</v>
      </c>
      <c r="P43" s="2" t="s">
        <v>84</v>
      </c>
      <c r="Q43" s="2" t="s">
        <v>85</v>
      </c>
      <c r="R43" s="2" t="s">
        <v>86</v>
      </c>
      <c r="S43" s="2" t="s">
        <v>87</v>
      </c>
      <c r="T43" s="2" t="s">
        <v>88</v>
      </c>
      <c r="U43" s="2" t="s">
        <v>89</v>
      </c>
    </row>
    <row r="44" spans="1:21" x14ac:dyDescent="0.25">
      <c r="A44" s="2" t="s">
        <v>68</v>
      </c>
      <c r="B44">
        <f>1000000</f>
        <v>1000000</v>
      </c>
      <c r="F44" s="2"/>
      <c r="G44" s="2" t="s">
        <v>80</v>
      </c>
      <c r="H44" s="58">
        <f ca="1">SUMPRODUCT(F2:F41, H2:H41)</f>
        <v>941411.88748299319</v>
      </c>
      <c r="I44" s="58">
        <f ca="1">SUMPRODUCT(F2:F41, I2:I41)</f>
        <v>957332.25202610972</v>
      </c>
      <c r="J44" s="58">
        <f ca="1">SUMPRODUCT(F2:F41, J2:J41)</f>
        <v>957841.90172188962</v>
      </c>
      <c r="K44" s="58">
        <f ca="1">SUMPRODUCT(F2:F41, K2:K41)</f>
        <v>936309.50914089172</v>
      </c>
      <c r="L44" s="58">
        <f ca="1">SUMPRODUCT(F2:F41, L2:L41)</f>
        <v>929516.44474503445</v>
      </c>
      <c r="M44" s="58">
        <f ca="1">SUMPRODUCT(F2:F41, M2:M41)</f>
        <v>920932.06417834235</v>
      </c>
      <c r="O44" s="2" t="s">
        <v>80</v>
      </c>
      <c r="P44">
        <v>941411.88748299319</v>
      </c>
      <c r="Q44">
        <v>957332.25202610972</v>
      </c>
      <c r="R44">
        <v>957841.90172188962</v>
      </c>
      <c r="S44">
        <v>936309.50914089172</v>
      </c>
      <c r="T44">
        <v>929516.44474503445</v>
      </c>
      <c r="U44">
        <v>920932.06417834235</v>
      </c>
    </row>
    <row r="45" spans="1:21" x14ac:dyDescent="0.25">
      <c r="F45" s="2"/>
      <c r="G45" s="2" t="s">
        <v>83</v>
      </c>
      <c r="H45" s="61">
        <f ca="1">(H44-B44)/B44</f>
        <v>-5.858811251700681E-2</v>
      </c>
      <c r="I45" s="61">
        <f ca="1">(I44-B44)/B44</f>
        <v>-4.266774797389028E-2</v>
      </c>
      <c r="J45" s="61">
        <f ca="1">(J44-B44)/B44</f>
        <v>-4.215809827811038E-2</v>
      </c>
      <c r="K45" s="61">
        <f ca="1">(K44-B44)/B44</f>
        <v>-6.3690490859108273E-2</v>
      </c>
      <c r="L45" s="61">
        <f ca="1">(L44-B44)/B44</f>
        <v>-7.0483555254965552E-2</v>
      </c>
      <c r="M45" s="61">
        <f ca="1">(M44-B44)/B44</f>
        <v>-7.9067935821657651E-2</v>
      </c>
      <c r="O45" s="2" t="s">
        <v>83</v>
      </c>
      <c r="P45">
        <v>-5.858811251700681E-2</v>
      </c>
      <c r="Q45">
        <v>-4.266774797389028E-2</v>
      </c>
      <c r="R45">
        <v>-4.215809827811038E-2</v>
      </c>
      <c r="S45">
        <v>-6.3690490859108273E-2</v>
      </c>
      <c r="T45">
        <v>-7.0483555254965552E-2</v>
      </c>
      <c r="U45">
        <v>-7.9067935821657651E-2</v>
      </c>
    </row>
    <row r="46" spans="1:21" x14ac:dyDescent="0.25">
      <c r="F46" s="2"/>
      <c r="G46" s="2" t="s">
        <v>78</v>
      </c>
      <c r="H46">
        <f>4515.55</f>
        <v>4515.55</v>
      </c>
      <c r="I46">
        <f t="shared" ref="I46:M46" si="1">4515.55</f>
        <v>4515.55</v>
      </c>
      <c r="J46">
        <f t="shared" si="1"/>
        <v>4515.55</v>
      </c>
      <c r="K46">
        <f t="shared" si="1"/>
        <v>4515.55</v>
      </c>
      <c r="L46">
        <f t="shared" si="1"/>
        <v>4515.55</v>
      </c>
      <c r="M46">
        <f t="shared" si="1"/>
        <v>4515.55</v>
      </c>
      <c r="O46" s="2" t="s">
        <v>78</v>
      </c>
      <c r="P46">
        <v>4515.55</v>
      </c>
      <c r="Q46">
        <v>4515.55</v>
      </c>
      <c r="R46">
        <v>4515.55</v>
      </c>
      <c r="S46">
        <v>4515.55</v>
      </c>
      <c r="T46">
        <v>4515.55</v>
      </c>
      <c r="U46">
        <v>4515.55</v>
      </c>
    </row>
    <row r="47" spans="1:21" ht="17.25" customHeight="1" x14ac:dyDescent="0.25">
      <c r="A47" s="52" t="s">
        <v>77</v>
      </c>
      <c r="B47">
        <f>50*4515.55</f>
        <v>225777.5</v>
      </c>
      <c r="F47" s="2"/>
      <c r="G47" s="2" t="s">
        <v>79</v>
      </c>
      <c r="H47" s="62">
        <v>4394</v>
      </c>
      <c r="I47" s="62">
        <v>4464.5</v>
      </c>
      <c r="J47" s="64">
        <v>4470</v>
      </c>
      <c r="K47" s="65">
        <v>4374.5</v>
      </c>
      <c r="L47" s="62">
        <v>4343.5</v>
      </c>
      <c r="M47" s="63">
        <v>4300</v>
      </c>
      <c r="O47" s="2" t="s">
        <v>79</v>
      </c>
      <c r="P47">
        <v>4394</v>
      </c>
      <c r="Q47">
        <v>4464.5</v>
      </c>
      <c r="R47">
        <v>4470</v>
      </c>
      <c r="S47">
        <v>4374.5</v>
      </c>
      <c r="T47">
        <v>4343.5</v>
      </c>
      <c r="U47">
        <v>4300</v>
      </c>
    </row>
    <row r="48" spans="1:21" x14ac:dyDescent="0.25">
      <c r="F48" s="2"/>
      <c r="G48" s="2" t="s">
        <v>81</v>
      </c>
      <c r="H48">
        <f>(H46-H47)*E49*250</f>
        <v>142522.22362170744</v>
      </c>
      <c r="I48">
        <f>250*(I46-I47)*E49</f>
        <v>59858.161381227314</v>
      </c>
      <c r="J48">
        <f>250*E49*(J46-J47)</f>
        <v>53409.191986579928</v>
      </c>
      <c r="K48">
        <f>250*E49*(K46-K47)</f>
        <v>165386.75147545728</v>
      </c>
      <c r="L48">
        <f>250*E49*(L46-L47)</f>
        <v>201735.48806346982</v>
      </c>
      <c r="M48">
        <f>250*E49*(M46-M47)</f>
        <v>252740.97327568094</v>
      </c>
      <c r="O48" s="2" t="s">
        <v>81</v>
      </c>
      <c r="P48">
        <f>250*E51*(P46-P47)</f>
        <v>-142522.22362170744</v>
      </c>
      <c r="Q48">
        <f>250*E51*(Q46-Q47)</f>
        <v>-59858.161381227314</v>
      </c>
      <c r="R48">
        <f>250*E51*(R46-R47)</f>
        <v>-53409.191986579928</v>
      </c>
      <c r="S48">
        <f>250*E51*(S46-S47)</f>
        <v>-165386.75147545728</v>
      </c>
      <c r="T48">
        <f>250*E51*(T46-T47)</f>
        <v>-201735.48806346982</v>
      </c>
      <c r="U48">
        <f>250*E51*(U46-U47)</f>
        <v>-252740.97327568094</v>
      </c>
    </row>
    <row r="49" spans="1:21" x14ac:dyDescent="0.25">
      <c r="A49" s="2" t="s">
        <v>67</v>
      </c>
      <c r="B49">
        <f>SUM(C2:C41)*0.025</f>
        <v>1.0589325000000001</v>
      </c>
      <c r="D49" s="50" t="s">
        <v>90</v>
      </c>
      <c r="E49" s="51">
        <f>B49*B44/B47</f>
        <v>4.6901595597435533</v>
      </c>
      <c r="F49" s="2"/>
      <c r="G49" s="2" t="s">
        <v>82</v>
      </c>
      <c r="H49">
        <f t="shared" ref="H49:M49" ca="1" si="2">H44+H48</f>
        <v>1083934.1111047007</v>
      </c>
      <c r="I49">
        <f t="shared" ca="1" si="2"/>
        <v>1017190.413407337</v>
      </c>
      <c r="J49">
        <f t="shared" ca="1" si="2"/>
        <v>1011251.0937084695</v>
      </c>
      <c r="K49">
        <f t="shared" ca="1" si="2"/>
        <v>1101696.2606163491</v>
      </c>
      <c r="L49">
        <f t="shared" ca="1" si="2"/>
        <v>1131251.9328085042</v>
      </c>
      <c r="M49">
        <f t="shared" ca="1" si="2"/>
        <v>1173673.0374540233</v>
      </c>
      <c r="O49" s="2" t="s">
        <v>82</v>
      </c>
      <c r="P49">
        <f>P44+P48</f>
        <v>798889.66386128578</v>
      </c>
      <c r="Q49">
        <f t="shared" ref="Q49:U49" si="3">Q44+Q48</f>
        <v>897474.09064488241</v>
      </c>
      <c r="R49">
        <f t="shared" si="3"/>
        <v>904432.70973530971</v>
      </c>
      <c r="S49">
        <f t="shared" si="3"/>
        <v>770922.75766543439</v>
      </c>
      <c r="T49">
        <f t="shared" si="3"/>
        <v>727780.95668156468</v>
      </c>
      <c r="U49">
        <f t="shared" si="3"/>
        <v>668191.09090266144</v>
      </c>
    </row>
    <row r="50" spans="1:21" x14ac:dyDescent="0.25">
      <c r="D50" s="51"/>
      <c r="E50" s="51"/>
      <c r="F50" s="2"/>
      <c r="G50" s="2" t="s">
        <v>92</v>
      </c>
      <c r="H50" s="61">
        <f ca="1">(H49-1000000)/1000000</f>
        <v>8.3934111104700712E-2</v>
      </c>
      <c r="I50" s="61">
        <f t="shared" ref="I50:M50" ca="1" si="4">(I49-1000000)/1000000</f>
        <v>1.7190413407337037E-2</v>
      </c>
      <c r="J50" s="61">
        <f t="shared" ca="1" si="4"/>
        <v>1.1251093708469533E-2</v>
      </c>
      <c r="K50" s="61">
        <f t="shared" ca="1" si="4"/>
        <v>0.10169626061634905</v>
      </c>
      <c r="L50" s="61">
        <f t="shared" ca="1" si="4"/>
        <v>0.1312519328085042</v>
      </c>
      <c r="M50" s="61">
        <f t="shared" ca="1" si="4"/>
        <v>0.17367303745402327</v>
      </c>
      <c r="O50" s="2" t="s">
        <v>92</v>
      </c>
      <c r="P50" s="61">
        <f>(P49-1000000)/1000000</f>
        <v>-0.20111033613871421</v>
      </c>
      <c r="Q50" s="61">
        <f t="shared" ref="Q50:U50" si="5">(Q49-1000000)/1000000</f>
        <v>-0.10252590935511759</v>
      </c>
      <c r="R50" s="61">
        <f t="shared" si="5"/>
        <v>-9.5567290264690297E-2</v>
      </c>
      <c r="S50" s="61">
        <f t="shared" si="5"/>
        <v>-0.22907724233456561</v>
      </c>
      <c r="T50" s="61">
        <f t="shared" si="5"/>
        <v>-0.27221904331843533</v>
      </c>
      <c r="U50" s="61">
        <f t="shared" si="5"/>
        <v>-0.33180890909733857</v>
      </c>
    </row>
    <row r="51" spans="1:21" x14ac:dyDescent="0.25">
      <c r="A51" s="2" t="s">
        <v>91</v>
      </c>
      <c r="B51">
        <f>B49*2</f>
        <v>2.1178650000000001</v>
      </c>
      <c r="D51" s="50" t="s">
        <v>70</v>
      </c>
      <c r="E51" s="51">
        <f>(B49-B51)*B44/B47</f>
        <v>-4.6901595597435533</v>
      </c>
      <c r="F51" s="2"/>
      <c r="G51" s="2"/>
    </row>
    <row r="52" spans="1:21" x14ac:dyDescent="0.25">
      <c r="F52" s="2"/>
      <c r="G52" s="2"/>
      <c r="I52" s="41"/>
      <c r="K52" s="16"/>
      <c r="L52" s="16"/>
      <c r="M52" s="16"/>
    </row>
    <row r="53" spans="1:21" x14ac:dyDescent="0.25">
      <c r="F53" s="2"/>
      <c r="I53" s="41"/>
      <c r="K53" s="16"/>
      <c r="L53" s="16"/>
      <c r="M53" s="16"/>
    </row>
    <row r="54" spans="1:21" x14ac:dyDescent="0.25">
      <c r="F54" s="2"/>
      <c r="I54" s="41"/>
      <c r="J54" s="42"/>
      <c r="K54" s="16"/>
      <c r="L54" s="16"/>
      <c r="M54" s="16"/>
    </row>
    <row r="55" spans="1:21" x14ac:dyDescent="0.25">
      <c r="F55" s="2"/>
      <c r="I55" s="41"/>
      <c r="J55" s="42"/>
      <c r="K55" s="16"/>
      <c r="L55" s="16"/>
      <c r="M55" s="16"/>
    </row>
    <row r="56" spans="1:21" x14ac:dyDescent="0.25">
      <c r="F56" s="2"/>
      <c r="I56" s="41"/>
      <c r="J56" s="42"/>
      <c r="K56" s="16"/>
      <c r="L56" s="16"/>
      <c r="M56" s="16"/>
    </row>
    <row r="57" spans="1:21" x14ac:dyDescent="0.25">
      <c r="F57" s="2"/>
      <c r="I57" s="41"/>
      <c r="J57" s="42"/>
      <c r="K57" s="16"/>
      <c r="L57" s="16"/>
      <c r="M57" s="16"/>
    </row>
    <row r="58" spans="1:21" x14ac:dyDescent="0.25">
      <c r="F58" s="2"/>
      <c r="I58" s="41"/>
      <c r="J58" s="42"/>
      <c r="K58" s="16"/>
      <c r="L58" s="16"/>
      <c r="M58" s="16"/>
    </row>
    <row r="59" spans="1:21" x14ac:dyDescent="0.25">
      <c r="F59" s="2"/>
      <c r="I59" s="41"/>
      <c r="J59" s="42"/>
      <c r="K59" s="16"/>
      <c r="L59" s="16"/>
      <c r="M59" s="16"/>
    </row>
    <row r="60" spans="1:21" x14ac:dyDescent="0.25">
      <c r="F60" s="2"/>
      <c r="I60" s="41"/>
      <c r="J60" s="42"/>
      <c r="K60" s="16"/>
      <c r="L60" s="16"/>
      <c r="M60" s="16"/>
    </row>
    <row r="61" spans="1:21" x14ac:dyDescent="0.25">
      <c r="F61" s="2"/>
      <c r="I61" s="41"/>
      <c r="J61" s="42"/>
      <c r="K61" s="16"/>
      <c r="L61" s="16"/>
      <c r="M61" s="16"/>
    </row>
    <row r="62" spans="1:21" x14ac:dyDescent="0.25">
      <c r="F62" s="2"/>
      <c r="I62" s="41"/>
      <c r="J62" s="42"/>
      <c r="K62" s="16"/>
      <c r="L62" s="16"/>
      <c r="M62" s="16"/>
    </row>
    <row r="63" spans="1:21" x14ac:dyDescent="0.25">
      <c r="F63" s="2"/>
      <c r="H63" s="16"/>
    </row>
    <row r="64" spans="1:21" x14ac:dyDescent="0.25">
      <c r="F64" s="2"/>
      <c r="H64" s="16"/>
    </row>
    <row r="65" spans="6:8" x14ac:dyDescent="0.25">
      <c r="F65" s="2"/>
      <c r="H65" s="16"/>
    </row>
    <row r="66" spans="6:8" x14ac:dyDescent="0.25">
      <c r="F66" s="2"/>
      <c r="H66" s="16"/>
    </row>
    <row r="67" spans="6:8" x14ac:dyDescent="0.25">
      <c r="F67" s="2"/>
      <c r="H67" s="16"/>
    </row>
    <row r="68" spans="6:8" x14ac:dyDescent="0.25">
      <c r="F68" s="2"/>
      <c r="H68" s="16"/>
    </row>
    <row r="69" spans="6:8" x14ac:dyDescent="0.25">
      <c r="F69" s="2"/>
      <c r="H69" s="16"/>
    </row>
    <row r="70" spans="6:8" x14ac:dyDescent="0.25">
      <c r="F70" s="2"/>
      <c r="H70" s="16"/>
    </row>
    <row r="71" spans="6:8" x14ac:dyDescent="0.25">
      <c r="F71" s="2"/>
      <c r="H71" s="16"/>
    </row>
    <row r="72" spans="6:8" x14ac:dyDescent="0.25">
      <c r="F72" s="2"/>
      <c r="H72" s="16"/>
    </row>
    <row r="73" spans="6:8" x14ac:dyDescent="0.25">
      <c r="F73" s="2"/>
      <c r="H73" s="16"/>
    </row>
    <row r="74" spans="6:8" x14ac:dyDescent="0.25">
      <c r="F74" s="2"/>
      <c r="H74" s="16"/>
    </row>
    <row r="75" spans="6:8" x14ac:dyDescent="0.25">
      <c r="F75" s="2"/>
      <c r="H75" s="16"/>
    </row>
    <row r="76" spans="6:8" x14ac:dyDescent="0.25">
      <c r="F76" s="2"/>
      <c r="H76" s="16"/>
    </row>
    <row r="77" spans="6:8" x14ac:dyDescent="0.25">
      <c r="F77" s="2"/>
      <c r="H77" s="16"/>
    </row>
    <row r="78" spans="6:8" x14ac:dyDescent="0.25">
      <c r="F78" s="2"/>
      <c r="H78" s="16"/>
    </row>
    <row r="79" spans="6:8" x14ac:dyDescent="0.25">
      <c r="F79" s="2"/>
      <c r="H79" s="16"/>
    </row>
    <row r="80" spans="6:8" x14ac:dyDescent="0.25">
      <c r="H80" s="16"/>
    </row>
    <row r="81" spans="8:8" x14ac:dyDescent="0.25">
      <c r="H81" s="16"/>
    </row>
    <row r="82" spans="8:8" x14ac:dyDescent="0.25">
      <c r="H82" s="16"/>
    </row>
    <row r="83" spans="8:8" x14ac:dyDescent="0.25">
      <c r="H83" s="16"/>
    </row>
    <row r="84" spans="8:8" x14ac:dyDescent="0.25">
      <c r="H84" s="16"/>
    </row>
    <row r="85" spans="8:8" x14ac:dyDescent="0.25">
      <c r="H85" s="16"/>
    </row>
    <row r="86" spans="8:8" x14ac:dyDescent="0.25">
      <c r="H86" s="16"/>
    </row>
    <row r="87" spans="8:8" x14ac:dyDescent="0.25">
      <c r="H87" s="16"/>
    </row>
    <row r="88" spans="8:8" x14ac:dyDescent="0.25">
      <c r="H88" s="16"/>
    </row>
    <row r="89" spans="8:8" x14ac:dyDescent="0.25">
      <c r="H89" s="16"/>
    </row>
    <row r="90" spans="8:8" x14ac:dyDescent="0.25">
      <c r="H90" s="16"/>
    </row>
    <row r="91" spans="8:8" x14ac:dyDescent="0.25">
      <c r="H91" s="16"/>
    </row>
    <row r="92" spans="8:8" x14ac:dyDescent="0.25">
      <c r="H92" s="16"/>
    </row>
    <row r="93" spans="8:8" x14ac:dyDescent="0.25">
      <c r="H93" s="16"/>
    </row>
    <row r="94" spans="8:8" x14ac:dyDescent="0.25">
      <c r="H94" s="16"/>
    </row>
    <row r="95" spans="8:8" x14ac:dyDescent="0.25">
      <c r="H95" s="16"/>
    </row>
    <row r="96" spans="8:8" x14ac:dyDescent="0.25">
      <c r="H96" s="16"/>
    </row>
    <row r="97" spans="8:8" x14ac:dyDescent="0.25">
      <c r="H97" s="16"/>
    </row>
    <row r="98" spans="8:8" x14ac:dyDescent="0.25">
      <c r="H98" s="16"/>
    </row>
    <row r="99" spans="8:8" x14ac:dyDescent="0.25">
      <c r="H99" s="16"/>
    </row>
    <row r="100" spans="8:8" x14ac:dyDescent="0.25">
      <c r="H100" s="16"/>
    </row>
    <row r="101" spans="8:8" x14ac:dyDescent="0.25">
      <c r="H101" s="16"/>
    </row>
    <row r="102" spans="8:8" x14ac:dyDescent="0.25">
      <c r="H102" s="16"/>
    </row>
    <row r="103" spans="8:8" x14ac:dyDescent="0.25">
      <c r="H103" s="16"/>
    </row>
    <row r="104" spans="8:8" x14ac:dyDescent="0.25">
      <c r="H104" s="16"/>
    </row>
    <row r="105" spans="8:8" x14ac:dyDescent="0.25">
      <c r="H105" s="16"/>
    </row>
    <row r="106" spans="8:8" x14ac:dyDescent="0.25">
      <c r="H106" s="16"/>
    </row>
    <row r="107" spans="8:8" x14ac:dyDescent="0.25">
      <c r="H107" s="16"/>
    </row>
    <row r="108" spans="8:8" x14ac:dyDescent="0.25">
      <c r="H108" s="16"/>
    </row>
    <row r="109" spans="8:8" x14ac:dyDescent="0.25">
      <c r="H109" s="16"/>
    </row>
    <row r="110" spans="8:8" x14ac:dyDescent="0.25">
      <c r="H110" s="16"/>
    </row>
    <row r="111" spans="8:8" x14ac:dyDescent="0.25">
      <c r="H111" s="16"/>
    </row>
    <row r="112" spans="8:8" x14ac:dyDescent="0.25">
      <c r="H112" s="16"/>
    </row>
    <row r="113" spans="8:8" x14ac:dyDescent="0.25">
      <c r="H113" s="16"/>
    </row>
    <row r="114" spans="8:8" x14ac:dyDescent="0.25">
      <c r="H114" s="16"/>
    </row>
    <row r="115" spans="8:8" x14ac:dyDescent="0.25">
      <c r="H115" s="16"/>
    </row>
    <row r="116" spans="8:8" x14ac:dyDescent="0.25">
      <c r="H116" s="16"/>
    </row>
    <row r="117" spans="8:8" x14ac:dyDescent="0.25">
      <c r="H117" s="16"/>
    </row>
  </sheetData>
  <sortState xmlns:xlrd2="http://schemas.microsoft.com/office/spreadsheetml/2017/richdata2" ref="F2:F116">
    <sortCondition ref="F2:F116"/>
  </sortState>
  <pageMargins left="0.7" right="0.7" top="0.75" bottom="0.75" header="0.3" footer="0.3"/>
  <pageSetup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EDD5D-4748-4B5F-B47A-467E6DE8419E}">
  <dimension ref="A1:P39"/>
  <sheetViews>
    <sheetView workbookViewId="0">
      <selection activeCell="S23" sqref="S23"/>
    </sheetView>
  </sheetViews>
  <sheetFormatPr defaultRowHeight="15" x14ac:dyDescent="0.25"/>
  <cols>
    <col min="4" max="4" width="14.85546875" customWidth="1"/>
    <col min="5" max="5" width="18.85546875" customWidth="1"/>
    <col min="6" max="6" width="15" customWidth="1"/>
    <col min="7" max="7" width="12" customWidth="1"/>
    <col min="8" max="8" width="12.140625" customWidth="1"/>
    <col min="9" max="9" width="26.140625" customWidth="1"/>
  </cols>
  <sheetData>
    <row r="1" spans="1:13" x14ac:dyDescent="0.25">
      <c r="D1" s="2" t="s">
        <v>99</v>
      </c>
      <c r="E1" s="2" t="s">
        <v>100</v>
      </c>
      <c r="F1" s="2" t="s">
        <v>103</v>
      </c>
      <c r="G1" s="2" t="s">
        <v>101</v>
      </c>
      <c r="H1" s="2" t="s">
        <v>102</v>
      </c>
      <c r="I1" s="2" t="s">
        <v>108</v>
      </c>
      <c r="J1" s="2" t="s">
        <v>104</v>
      </c>
      <c r="K1" s="2" t="s">
        <v>105</v>
      </c>
      <c r="M1" s="2" t="s">
        <v>107</v>
      </c>
    </row>
    <row r="2" spans="1:13" x14ac:dyDescent="0.25">
      <c r="A2" s="52" t="s">
        <v>97</v>
      </c>
      <c r="C2" t="s">
        <v>98</v>
      </c>
      <c r="D2">
        <v>114.7</v>
      </c>
      <c r="E2">
        <v>2.7300000000000001E-2</v>
      </c>
      <c r="F2">
        <f>LN(1+E2)</f>
        <v>2.6934001240081041E-2</v>
      </c>
      <c r="G2">
        <v>100</v>
      </c>
      <c r="H2">
        <v>6.25E-2</v>
      </c>
      <c r="I2">
        <f>H2/2</f>
        <v>3.125E-2</v>
      </c>
      <c r="J2">
        <v>0.5</v>
      </c>
      <c r="K2">
        <f>100*0.03125*EXP(-J2*0.026934001)</f>
        <v>3.0831977307977003</v>
      </c>
      <c r="L2">
        <f>K2*J2</f>
        <v>1.5415988653988502</v>
      </c>
    </row>
    <row r="3" spans="1:13" x14ac:dyDescent="0.25">
      <c r="J3">
        <v>1</v>
      </c>
      <c r="K3">
        <f t="shared" ref="K3:K8" si="0">100*0.03125*EXP(-J3*0.026934001)</f>
        <v>3.0419546391027481</v>
      </c>
      <c r="L3">
        <f t="shared" ref="L3:L9" si="1">K3*J3</f>
        <v>3.0419546391027481</v>
      </c>
    </row>
    <row r="4" spans="1:13" x14ac:dyDescent="0.25">
      <c r="J4">
        <v>1.5</v>
      </c>
      <c r="K4">
        <f t="shared" si="0"/>
        <v>3.0012632449507612</v>
      </c>
      <c r="L4">
        <f t="shared" si="1"/>
        <v>4.5018948674261416</v>
      </c>
    </row>
    <row r="5" spans="1:13" x14ac:dyDescent="0.25">
      <c r="J5">
        <v>2</v>
      </c>
      <c r="K5">
        <f t="shared" si="0"/>
        <v>2.9611161684347933</v>
      </c>
      <c r="L5">
        <f t="shared" si="1"/>
        <v>5.9222323368695866</v>
      </c>
    </row>
    <row r="6" spans="1:13" x14ac:dyDescent="0.25">
      <c r="J6">
        <v>2.5</v>
      </c>
      <c r="K6">
        <f t="shared" si="0"/>
        <v>2.9215061283668913</v>
      </c>
      <c r="L6">
        <f t="shared" si="1"/>
        <v>7.3037653209172282</v>
      </c>
    </row>
    <row r="7" spans="1:13" x14ac:dyDescent="0.25">
      <c r="J7">
        <v>3</v>
      </c>
      <c r="K7">
        <f t="shared" si="0"/>
        <v>2.8824259409575599</v>
      </c>
      <c r="L7">
        <f t="shared" si="1"/>
        <v>8.6472778228726792</v>
      </c>
    </row>
    <row r="8" spans="1:13" x14ac:dyDescent="0.25">
      <c r="J8">
        <v>3.5</v>
      </c>
      <c r="K8">
        <f t="shared" si="0"/>
        <v>2.8438685185128874</v>
      </c>
      <c r="L8">
        <f t="shared" si="1"/>
        <v>9.9535398147951053</v>
      </c>
    </row>
    <row r="9" spans="1:13" x14ac:dyDescent="0.25">
      <c r="I9" s="74"/>
      <c r="J9">
        <v>4</v>
      </c>
      <c r="K9">
        <f>100*1.03125*EXP(-J9*0.026934001)</f>
        <v>92.592286648920449</v>
      </c>
      <c r="L9">
        <f t="shared" si="1"/>
        <v>370.3691465956818</v>
      </c>
      <c r="M9" s="74"/>
    </row>
    <row r="12" spans="1:13" x14ac:dyDescent="0.25">
      <c r="M12" s="75">
        <f>SUM(L2:L13)/D2</f>
        <v>3.5857141260947176</v>
      </c>
    </row>
    <row r="15" spans="1:13" x14ac:dyDescent="0.25">
      <c r="A15" t="s">
        <v>106</v>
      </c>
      <c r="D15">
        <f ca="1">SUM(K15:K34)</f>
        <v>113590.32643389172</v>
      </c>
      <c r="E15">
        <v>0.04</v>
      </c>
      <c r="F15">
        <f>LN(1+E15)</f>
        <v>3.9220713153281329E-2</v>
      </c>
      <c r="G15">
        <v>100000</v>
      </c>
      <c r="H15">
        <v>0.05</v>
      </c>
      <c r="J15">
        <f ca="1">OFFSET(J15,-1,0)+1</f>
        <v>1</v>
      </c>
      <c r="K15">
        <f ca="1">100000*0.05*EXP(-0.039220713*J15)</f>
        <v>4807.6923084292375</v>
      </c>
      <c r="L15">
        <f t="shared" ref="L15:L34" ca="1" si="2">K15*J15</f>
        <v>4807.6923084292375</v>
      </c>
    </row>
    <row r="16" spans="1:13" x14ac:dyDescent="0.25">
      <c r="J16">
        <f t="shared" ref="J16:J34" ca="1" si="3">OFFSET(J16,-1,0)+1</f>
        <v>2</v>
      </c>
      <c r="K16">
        <f t="shared" ref="K16:K33" ca="1" si="4">100000*0.05*EXP(-0.039220713*J16)</f>
        <v>4622.7810665059296</v>
      </c>
      <c r="L16">
        <f t="shared" ca="1" si="2"/>
        <v>9245.5621330118593</v>
      </c>
    </row>
    <row r="17" spans="10:12" x14ac:dyDescent="0.25">
      <c r="J17">
        <f t="shared" ca="1" si="3"/>
        <v>3</v>
      </c>
      <c r="K17">
        <f t="shared" ca="1" si="4"/>
        <v>4444.9817953985721</v>
      </c>
      <c r="L17">
        <f t="shared" ca="1" si="2"/>
        <v>13334.945386195715</v>
      </c>
    </row>
    <row r="18" spans="10:12" x14ac:dyDescent="0.25">
      <c r="J18">
        <f t="shared" ca="1" si="3"/>
        <v>4</v>
      </c>
      <c r="K18">
        <f t="shared" ca="1" si="4"/>
        <v>4274.0209577691394</v>
      </c>
      <c r="L18">
        <f t="shared" ca="1" si="2"/>
        <v>17096.083831076558</v>
      </c>
    </row>
    <row r="19" spans="10:12" x14ac:dyDescent="0.25">
      <c r="J19">
        <f t="shared" ca="1" si="3"/>
        <v>5</v>
      </c>
      <c r="K19">
        <f t="shared" ca="1" si="4"/>
        <v>4109.6355369464109</v>
      </c>
      <c r="L19">
        <f t="shared" ca="1" si="2"/>
        <v>20548.177684732054</v>
      </c>
    </row>
    <row r="20" spans="10:12" x14ac:dyDescent="0.25">
      <c r="J20">
        <f t="shared" ca="1" si="3"/>
        <v>6</v>
      </c>
      <c r="K20">
        <f t="shared" ca="1" si="4"/>
        <v>3951.5726322849428</v>
      </c>
      <c r="L20">
        <f t="shared" ca="1" si="2"/>
        <v>23709.435793709657</v>
      </c>
    </row>
    <row r="21" spans="10:12" x14ac:dyDescent="0.25">
      <c r="J21">
        <f t="shared" ca="1" si="3"/>
        <v>7</v>
      </c>
      <c r="K21">
        <f t="shared" ca="1" si="4"/>
        <v>3799.5890700871587</v>
      </c>
      <c r="L21">
        <f t="shared" ca="1" si="2"/>
        <v>26597.123490610109</v>
      </c>
    </row>
    <row r="22" spans="10:12" x14ac:dyDescent="0.25">
      <c r="J22">
        <f t="shared" ca="1" si="3"/>
        <v>8</v>
      </c>
      <c r="K22">
        <f t="shared" ca="1" si="4"/>
        <v>3653.451029489966</v>
      </c>
      <c r="L22">
        <f t="shared" ca="1" si="2"/>
        <v>29227.608235919728</v>
      </c>
    </row>
    <row r="23" spans="10:12" x14ac:dyDescent="0.25">
      <c r="J23">
        <f t="shared" ca="1" si="3"/>
        <v>9</v>
      </c>
      <c r="K23">
        <f t="shared" ca="1" si="4"/>
        <v>3512.9336827403572</v>
      </c>
      <c r="L23">
        <f t="shared" ca="1" si="2"/>
        <v>31616.403144663214</v>
      </c>
    </row>
    <row r="24" spans="10:12" x14ac:dyDescent="0.25">
      <c r="J24">
        <f t="shared" ca="1" si="3"/>
        <v>10</v>
      </c>
      <c r="K24">
        <f t="shared" ca="1" si="4"/>
        <v>3377.8208493065622</v>
      </c>
      <c r="L24">
        <f t="shared" ca="1" si="2"/>
        <v>33778.20849306562</v>
      </c>
    </row>
    <row r="25" spans="10:12" x14ac:dyDescent="0.25">
      <c r="J25">
        <f t="shared" ca="1" si="3"/>
        <v>11</v>
      </c>
      <c r="K25">
        <f t="shared" ca="1" si="4"/>
        <v>3247.9046632926138</v>
      </c>
      <c r="L25">
        <f t="shared" ca="1" si="2"/>
        <v>35726.951296218751</v>
      </c>
    </row>
    <row r="26" spans="10:12" x14ac:dyDescent="0.25">
      <c r="J26">
        <f t="shared" ca="1" si="3"/>
        <v>12</v>
      </c>
      <c r="K26">
        <f t="shared" ca="1" si="4"/>
        <v>3122.9852536446701</v>
      </c>
      <c r="L26">
        <f t="shared" ca="1" si="2"/>
        <v>37475.82304373604</v>
      </c>
    </row>
    <row r="27" spans="10:12" x14ac:dyDescent="0.25">
      <c r="J27">
        <f t="shared" ca="1" si="3"/>
        <v>13</v>
      </c>
      <c r="K27">
        <f t="shared" ca="1" si="4"/>
        <v>3002.8704366570823</v>
      </c>
      <c r="L27">
        <f t="shared" ca="1" si="2"/>
        <v>39037.315676542072</v>
      </c>
    </row>
    <row r="28" spans="10:12" x14ac:dyDescent="0.25">
      <c r="J28">
        <f t="shared" ca="1" si="3"/>
        <v>14</v>
      </c>
      <c r="K28">
        <f t="shared" ca="1" si="4"/>
        <v>2887.3754203051599</v>
      </c>
      <c r="L28">
        <f t="shared" ca="1" si="2"/>
        <v>40423.255884272236</v>
      </c>
    </row>
    <row r="29" spans="10:12" x14ac:dyDescent="0.25">
      <c r="J29">
        <f t="shared" ca="1" si="3"/>
        <v>15</v>
      </c>
      <c r="K29">
        <f t="shared" ca="1" si="4"/>
        <v>2776.3225199497506</v>
      </c>
      <c r="L29">
        <f t="shared" ca="1" si="2"/>
        <v>41644.837799246256</v>
      </c>
    </row>
    <row r="30" spans="10:12" x14ac:dyDescent="0.25">
      <c r="J30">
        <f t="shared" ca="1" si="3"/>
        <v>16</v>
      </c>
      <c r="K30">
        <f t="shared" ca="1" si="4"/>
        <v>2669.5408849762584</v>
      </c>
      <c r="L30">
        <f t="shared" ca="1" si="2"/>
        <v>42712.654159620135</v>
      </c>
    </row>
    <row r="31" spans="10:12" x14ac:dyDescent="0.25">
      <c r="J31">
        <f t="shared" ca="1" si="3"/>
        <v>17</v>
      </c>
      <c r="K31">
        <f t="shared" ca="1" si="4"/>
        <v>2566.8662359475475</v>
      </c>
      <c r="L31">
        <f t="shared" ca="1" si="2"/>
        <v>43636.726011108309</v>
      </c>
    </row>
    <row r="32" spans="10:12" x14ac:dyDescent="0.25">
      <c r="J32">
        <f t="shared" ca="1" si="3"/>
        <v>18</v>
      </c>
      <c r="K32">
        <f t="shared" ca="1" si="4"/>
        <v>2468.1406118663458</v>
      </c>
      <c r="L32">
        <f t="shared" ca="1" si="2"/>
        <v>44426.531013594227</v>
      </c>
    </row>
    <row r="33" spans="1:16" x14ac:dyDescent="0.25">
      <c r="J33">
        <f t="shared" ca="1" si="3"/>
        <v>19</v>
      </c>
      <c r="K33">
        <f t="shared" ca="1" si="4"/>
        <v>2373.2121271583324</v>
      </c>
      <c r="L33">
        <f t="shared" ca="1" si="2"/>
        <v>45091.030416008318</v>
      </c>
    </row>
    <row r="34" spans="1:16" x14ac:dyDescent="0.25">
      <c r="J34">
        <f t="shared" ca="1" si="3"/>
        <v>20</v>
      </c>
      <c r="K34">
        <f ca="1">G15*(1.05)*EXP(-F15*J34)</f>
        <v>47920.629351135678</v>
      </c>
      <c r="L34">
        <f t="shared" ca="1" si="2"/>
        <v>958412.58702271362</v>
      </c>
      <c r="O34" s="75"/>
      <c r="P34" s="75"/>
    </row>
    <row r="35" spans="1:16" x14ac:dyDescent="0.25">
      <c r="M35" s="75">
        <f ca="1">SUM(L15:L34)/D15</f>
        <v>13.544718121044326</v>
      </c>
    </row>
    <row r="36" spans="1:16" x14ac:dyDescent="0.25">
      <c r="I36" s="74"/>
    </row>
    <row r="39" spans="1:16" x14ac:dyDescent="0.25">
      <c r="A39" t="s">
        <v>90</v>
      </c>
      <c r="B39">
        <f ca="1">(M12*10000000)/(M35*D15)</f>
        <v>23.305817598536926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4EBAD-2073-4A33-85AA-C940809A51A0}">
  <dimension ref="A1:H19"/>
  <sheetViews>
    <sheetView workbookViewId="0">
      <selection activeCell="D21" sqref="D21"/>
    </sheetView>
  </sheetViews>
  <sheetFormatPr defaultRowHeight="15" x14ac:dyDescent="0.25"/>
  <cols>
    <col min="4" max="4" width="37.42578125" customWidth="1"/>
    <col min="5" max="5" width="19.140625" customWidth="1"/>
    <col min="6" max="6" width="12" bestFit="1" customWidth="1"/>
    <col min="8" max="8" width="12" bestFit="1" customWidth="1"/>
    <col min="9" max="9" width="13.140625" customWidth="1"/>
    <col min="10" max="10" width="9.5703125" customWidth="1"/>
  </cols>
  <sheetData>
    <row r="1" spans="1:8" x14ac:dyDescent="0.25">
      <c r="A1" t="s">
        <v>90</v>
      </c>
      <c r="B1">
        <f>0.77*250000000/(122.53*100000/100)</f>
        <v>1571.0438260017954</v>
      </c>
      <c r="G1" t="s">
        <v>104</v>
      </c>
      <c r="H1" t="s">
        <v>110</v>
      </c>
    </row>
    <row r="2" spans="1:8" x14ac:dyDescent="0.25">
      <c r="F2">
        <v>2017</v>
      </c>
    </row>
    <row r="3" spans="1:8" x14ac:dyDescent="0.25">
      <c r="F3">
        <v>2018</v>
      </c>
      <c r="G3">
        <v>1</v>
      </c>
      <c r="H3">
        <f>(250000000*0.055)/((1+0.055)^G3)</f>
        <v>13033175.355450237</v>
      </c>
    </row>
    <row r="4" spans="1:8" x14ac:dyDescent="0.25">
      <c r="F4">
        <v>2019</v>
      </c>
      <c r="G4">
        <v>2</v>
      </c>
      <c r="H4">
        <f>(250000000*0.055)/((1+0.055)^G5)</f>
        <v>11709687.882527562</v>
      </c>
    </row>
    <row r="5" spans="1:8" x14ac:dyDescent="0.25">
      <c r="F5">
        <v>2020</v>
      </c>
      <c r="G5">
        <v>3</v>
      </c>
      <c r="H5">
        <f>(250000000*0.055)/((1+0.055)^G6)</f>
        <v>11099230.220405271</v>
      </c>
    </row>
    <row r="6" spans="1:8" x14ac:dyDescent="0.25">
      <c r="F6">
        <v>2021</v>
      </c>
      <c r="G6">
        <v>4</v>
      </c>
      <c r="H6">
        <f>(250000000*0.055)/((1+0.055)^G7)</f>
        <v>10520597.365313055</v>
      </c>
    </row>
    <row r="7" spans="1:8" x14ac:dyDescent="0.25">
      <c r="F7">
        <v>2022</v>
      </c>
      <c r="G7">
        <v>5</v>
      </c>
      <c r="H7">
        <f t="shared" ref="H7:H16" si="0">(250000000*0.055)/((1+0.075)^G8)</f>
        <v>8909470.8788968362</v>
      </c>
    </row>
    <row r="8" spans="1:8" x14ac:dyDescent="0.25">
      <c r="F8">
        <v>2023</v>
      </c>
      <c r="G8">
        <v>6</v>
      </c>
      <c r="H8">
        <f t="shared" si="0"/>
        <v>8287879.8873458933</v>
      </c>
    </row>
    <row r="9" spans="1:8" x14ac:dyDescent="0.25">
      <c r="F9">
        <v>2024</v>
      </c>
      <c r="G9">
        <v>7</v>
      </c>
      <c r="H9">
        <f t="shared" si="0"/>
        <v>7709655.709158971</v>
      </c>
    </row>
    <row r="10" spans="1:8" x14ac:dyDescent="0.25">
      <c r="F10">
        <v>2025</v>
      </c>
      <c r="G10">
        <v>8</v>
      </c>
      <c r="H10">
        <f t="shared" si="0"/>
        <v>7171772.7527060192</v>
      </c>
    </row>
    <row r="11" spans="1:8" x14ac:dyDescent="0.25">
      <c r="F11">
        <v>2026</v>
      </c>
      <c r="G11">
        <v>9</v>
      </c>
      <c r="H11">
        <f t="shared" si="0"/>
        <v>6671416.5141451359</v>
      </c>
    </row>
    <row r="12" spans="1:8" x14ac:dyDescent="0.25">
      <c r="F12">
        <v>2027</v>
      </c>
      <c r="G12">
        <v>10</v>
      </c>
      <c r="H12">
        <f t="shared" si="0"/>
        <v>6205968.8503675675</v>
      </c>
    </row>
    <row r="13" spans="1:8" x14ac:dyDescent="0.25">
      <c r="F13">
        <v>2028</v>
      </c>
      <c r="G13">
        <v>11</v>
      </c>
      <c r="H13">
        <f t="shared" si="0"/>
        <v>5772994.2794116903</v>
      </c>
    </row>
    <row r="14" spans="1:8" x14ac:dyDescent="0.25">
      <c r="F14">
        <v>2029</v>
      </c>
      <c r="G14">
        <v>12</v>
      </c>
      <c r="H14">
        <f t="shared" si="0"/>
        <v>5370227.2366620377</v>
      </c>
    </row>
    <row r="15" spans="1:8" x14ac:dyDescent="0.25">
      <c r="F15">
        <v>2030</v>
      </c>
      <c r="G15">
        <v>13</v>
      </c>
      <c r="H15">
        <f t="shared" si="0"/>
        <v>4995560.2201507334</v>
      </c>
    </row>
    <row r="16" spans="1:8" x14ac:dyDescent="0.25">
      <c r="F16">
        <v>2031</v>
      </c>
      <c r="G16">
        <v>14</v>
      </c>
      <c r="H16">
        <f t="shared" si="0"/>
        <v>4647032.7629309148</v>
      </c>
    </row>
    <row r="17" spans="4:8" x14ac:dyDescent="0.25">
      <c r="F17">
        <v>2032</v>
      </c>
      <c r="G17">
        <v>15</v>
      </c>
      <c r="H17">
        <f>250000000*1.055/(1+0.075)^G17</f>
        <v>89138537.543492988</v>
      </c>
    </row>
    <row r="19" spans="4:8" x14ac:dyDescent="0.25">
      <c r="D19" t="s">
        <v>109</v>
      </c>
      <c r="E19">
        <f>SUM(H3:H17)</f>
        <v>201243207.45896491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6B5FDA9B123204D970C9D73B39ED092" ma:contentTypeVersion="4" ma:contentTypeDescription="Create a new document." ma:contentTypeScope="" ma:versionID="1234d0702ac03a1711d8083ede8ae9b6">
  <xsd:schema xmlns:xsd="http://www.w3.org/2001/XMLSchema" xmlns:xs="http://www.w3.org/2001/XMLSchema" xmlns:p="http://schemas.microsoft.com/office/2006/metadata/properties" xmlns:ns3="202078a2-80ec-4ea3-b5a3-ef74790e2c84" targetNamespace="http://schemas.microsoft.com/office/2006/metadata/properties" ma:root="true" ma:fieldsID="969e5912d39506a8000541e23b177767" ns3:_="">
    <xsd:import namespace="202078a2-80ec-4ea3-b5a3-ef74790e2c84"/>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2078a2-80ec-4ea3-b5a3-ef74790e2c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66C3E7-E030-4162-8AF5-C6A9C1A62AE1}">
  <ds:schemaRefs>
    <ds:schemaRef ds:uri="http://schemas.microsoft.com/sharepoint/v3/contenttype/forms"/>
  </ds:schemaRefs>
</ds:datastoreItem>
</file>

<file path=customXml/itemProps2.xml><?xml version="1.0" encoding="utf-8"?>
<ds:datastoreItem xmlns:ds="http://schemas.openxmlformats.org/officeDocument/2006/customXml" ds:itemID="{12D05C97-0B71-44D3-9098-DCB92046A5FE}">
  <ds:schemaRefs>
    <ds:schemaRef ds:uri="http://schemas.microsoft.com/office/2006/documentManagement/types"/>
    <ds:schemaRef ds:uri="http://purl.org/dc/terms/"/>
    <ds:schemaRef ds:uri="http://purl.org/dc/elements/1.1/"/>
    <ds:schemaRef ds:uri="http://www.w3.org/XML/1998/namespace"/>
    <ds:schemaRef ds:uri="http://purl.org/dc/dcmitype/"/>
    <ds:schemaRef ds:uri="http://schemas.openxmlformats.org/package/2006/metadata/core-properties"/>
    <ds:schemaRef ds:uri="202078a2-80ec-4ea3-b5a3-ef74790e2c84"/>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25B94D23-D67B-4B5D-B066-9A6B3215FF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2078a2-80ec-4ea3-b5a3-ef74790e2c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Q1_1</vt:lpstr>
      <vt:lpstr>Q1_2</vt:lpstr>
      <vt:lpstr>Q1_3</vt:lpstr>
      <vt:lpstr>Q1_4</vt:lpstr>
      <vt:lpstr>Q2</vt:lpstr>
      <vt:lpstr>Q3</vt:lpstr>
      <vt:lpstr>Q4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Jahaan</dc:creator>
  <cp:lastModifiedBy>Jahaan</cp:lastModifiedBy>
  <dcterms:created xsi:type="dcterms:W3CDTF">2015-06-05T18:17:20Z</dcterms:created>
  <dcterms:modified xsi:type="dcterms:W3CDTF">2022-02-28T07:51:54Z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0x01010056B5FDA9B123204D970C9D73B39ED092</vt:lpwstr>
  </property>
</Properties>
</file>